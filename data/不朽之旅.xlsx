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anm\OneDrive\桌面\my-game\data\"/>
    </mc:Choice>
  </mc:AlternateContent>
  <xr:revisionPtr revIDLastSave="0" documentId="13_ncr:1_{53257648-59E4-4018-BE99-6E87D2384B19}" xr6:coauthVersionLast="47" xr6:coauthVersionMax="47" xr10:uidLastSave="{00000000-0000-0000-0000-000000000000}"/>
  <bookViews>
    <workbookView xWindow="-120" yWindow="-120" windowWidth="29040" windowHeight="15720" firstSheet="11" activeTab="14" xr2:uid="{00000000-000D-0000-FFFF-FFFF00000000}"/>
  </bookViews>
  <sheets>
    <sheet name="#上陣" sheetId="1" r:id="rId1"/>
    <sheet name="#基本說明" sheetId="2" r:id="rId2"/>
    <sheet name="#職業" sheetId="3" r:id="rId3"/>
    <sheet name="#副本玩法" sheetId="4" r:id="rId4"/>
    <sheet name="#向性" sheetId="5" r:id="rId5"/>
    <sheet name="#lock" sheetId="6" r:id="rId6"/>
    <sheet name="character" sheetId="7" r:id="rId7"/>
    <sheet name="nature" sheetId="8" r:id="rId8"/>
    <sheet name="skill" sheetId="9" r:id="rId9"/>
    <sheet name="buff" sheetId="10" r:id="rId10"/>
    <sheet name="card" sheetId="11" r:id="rId11"/>
    <sheet name="maplist" sheetId="12" r:id="rId12"/>
    <sheet name="mapdata" sheetId="13" r:id="rId13"/>
    <sheet name="dungeonprefeb" sheetId="14" r:id="rId14"/>
    <sheet name="text" sheetId="15" r:id="rId15"/>
    <sheet name="dungeon" sheetId="16" r:id="rId16"/>
    <sheet name="equipment" sheetId="17" r:id="rId17"/>
    <sheet name="build" sheetId="18" r:id="rId18"/>
    <sheet name="start_gift" sheetId="19" r:id="rId19"/>
    <sheet name="item" sheetId="20" r:id="rId20"/>
    <sheet name="idlezone" sheetId="21" r:id="rId21"/>
    <sheet name="refine" sheetId="22" r:id="rId22"/>
    <sheet name="cost" sheetId="23" r:id="rId23"/>
    <sheet name="taglist" sheetId="24" r:id="rId24"/>
    <sheet name="talentlist" sheetId="25" r:id="rId25"/>
    <sheet name="talent" sheetId="26" r:id="rId26"/>
    <sheet name="levelcurve" sheetId="27" r:id="rId27"/>
    <sheet name="curve" sheetId="28" r:id="rId28"/>
    <sheet name="gacha" sheetId="29" r:id="rId29"/>
    <sheet name="gachalist" sheetId="30" r:id="rId30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26" l="1"/>
  <c r="B232" i="29"/>
  <c r="B231" i="29"/>
  <c r="B230" i="29"/>
  <c r="B229" i="29"/>
  <c r="B228" i="29"/>
  <c r="B227" i="29"/>
  <c r="B226" i="29"/>
  <c r="B225" i="29"/>
  <c r="B224" i="29"/>
  <c r="B222" i="29"/>
  <c r="B221" i="29"/>
  <c r="B220" i="29"/>
  <c r="B219" i="29"/>
  <c r="B218" i="29"/>
  <c r="B217" i="29"/>
  <c r="B216" i="29"/>
  <c r="B215" i="29"/>
  <c r="B214" i="29"/>
  <c r="B213" i="29"/>
  <c r="B212" i="29"/>
  <c r="B211" i="29"/>
  <c r="B210" i="29"/>
  <c r="B209" i="29"/>
  <c r="B208" i="29"/>
  <c r="B207" i="29"/>
  <c r="B206" i="29"/>
  <c r="B205" i="29"/>
  <c r="B204" i="29"/>
  <c r="B203" i="29"/>
  <c r="B202" i="29"/>
  <c r="B201" i="29"/>
  <c r="B200" i="29"/>
  <c r="B199" i="29"/>
  <c r="B198" i="29"/>
  <c r="B197" i="29"/>
  <c r="B196" i="29"/>
  <c r="B195" i="29"/>
  <c r="B194" i="29"/>
  <c r="B193" i="29"/>
  <c r="B192" i="29"/>
  <c r="B191" i="29"/>
  <c r="B190" i="29"/>
  <c r="B189" i="29"/>
  <c r="B188" i="29"/>
  <c r="B187" i="29"/>
  <c r="B186" i="29"/>
  <c r="B185" i="29"/>
  <c r="B184" i="29"/>
  <c r="B183" i="29"/>
  <c r="B182" i="29"/>
  <c r="B181" i="29"/>
  <c r="B180" i="29"/>
  <c r="B179" i="29"/>
  <c r="B178" i="29"/>
  <c r="B177" i="29"/>
  <c r="B176" i="29"/>
  <c r="B172" i="29"/>
  <c r="B171" i="29"/>
  <c r="B170" i="29"/>
  <c r="B169" i="29"/>
  <c r="B168" i="29"/>
  <c r="B167" i="29"/>
  <c r="B166" i="29"/>
  <c r="B162" i="29"/>
  <c r="B161" i="29"/>
  <c r="B160" i="29"/>
  <c r="B159" i="29"/>
  <c r="B158" i="29"/>
  <c r="B157" i="29"/>
  <c r="B156" i="29"/>
  <c r="B149" i="29"/>
  <c r="B148" i="29"/>
  <c r="B147" i="29"/>
  <c r="B146" i="29"/>
  <c r="B145" i="29"/>
  <c r="B144" i="29"/>
  <c r="B143" i="29"/>
  <c r="B142" i="29"/>
  <c r="B141" i="29"/>
  <c r="B140" i="29"/>
  <c r="B139" i="29"/>
  <c r="B138" i="29"/>
  <c r="B137" i="29"/>
  <c r="B136" i="29"/>
  <c r="B135" i="29"/>
  <c r="B134" i="29"/>
  <c r="B133" i="29"/>
  <c r="B132" i="29"/>
  <c r="B131" i="29"/>
  <c r="B130" i="29"/>
  <c r="B129" i="29"/>
  <c r="B128" i="29"/>
  <c r="B127" i="29"/>
  <c r="B126" i="29"/>
  <c r="B125" i="29"/>
  <c r="B124" i="29"/>
  <c r="B123" i="29"/>
  <c r="B122" i="29"/>
  <c r="B121" i="29"/>
  <c r="B120" i="29"/>
  <c r="B119" i="29"/>
  <c r="B117" i="29"/>
  <c r="B116" i="29"/>
  <c r="B115" i="29"/>
  <c r="B114" i="29"/>
  <c r="B113" i="29"/>
  <c r="B112" i="29"/>
  <c r="B111" i="29"/>
  <c r="B110" i="29"/>
  <c r="B109" i="29"/>
  <c r="B108" i="29"/>
  <c r="B107" i="29"/>
  <c r="B106" i="29"/>
  <c r="B105" i="29"/>
  <c r="B104" i="29"/>
  <c r="B103" i="29"/>
  <c r="B102" i="29"/>
  <c r="B101" i="29"/>
  <c r="B100" i="29"/>
  <c r="B99" i="29"/>
  <c r="B98" i="29"/>
  <c r="B97" i="29"/>
  <c r="B96" i="29"/>
  <c r="B95" i="29"/>
  <c r="B94" i="29"/>
  <c r="B93" i="29"/>
  <c r="B92" i="29"/>
  <c r="B91" i="29"/>
  <c r="B90" i="29"/>
  <c r="B89" i="29"/>
  <c r="B88" i="29"/>
  <c r="B87" i="29"/>
  <c r="B86" i="29"/>
  <c r="B85" i="29"/>
  <c r="B84" i="29"/>
  <c r="C83" i="29"/>
  <c r="C89" i="29" s="1"/>
  <c r="C95" i="29" s="1"/>
  <c r="C101" i="29" s="1"/>
  <c r="C107" i="29" s="1"/>
  <c r="B83" i="29"/>
  <c r="B82" i="29"/>
  <c r="B81" i="29"/>
  <c r="B80" i="29"/>
  <c r="B79" i="29"/>
  <c r="B78" i="29"/>
  <c r="B77" i="29"/>
  <c r="B76" i="29"/>
  <c r="B75" i="29"/>
  <c r="B74" i="29"/>
  <c r="B73" i="29"/>
  <c r="B72" i="29"/>
  <c r="C71" i="29"/>
  <c r="C77" i="29" s="1"/>
  <c r="B71" i="29"/>
  <c r="B70" i="29"/>
  <c r="B69" i="29"/>
  <c r="B68" i="29"/>
  <c r="B67" i="29"/>
  <c r="B66" i="29"/>
  <c r="B65" i="29"/>
  <c r="B64" i="29"/>
  <c r="B63" i="29"/>
  <c r="B62" i="29"/>
  <c r="B61" i="29"/>
  <c r="B59" i="29"/>
  <c r="B58" i="29"/>
  <c r="B57" i="29"/>
  <c r="B56" i="29"/>
  <c r="B55" i="29"/>
  <c r="B54" i="29"/>
  <c r="C53" i="29"/>
  <c r="C59" i="29" s="1"/>
  <c r="C65" i="29" s="1"/>
  <c r="B53" i="29"/>
  <c r="B52" i="29"/>
  <c r="C51" i="29"/>
  <c r="C57" i="29" s="1"/>
  <c r="C63" i="29" s="1"/>
  <c r="C69" i="29" s="1"/>
  <c r="C75" i="29" s="1"/>
  <c r="C81" i="29" s="1"/>
  <c r="C87" i="29" s="1"/>
  <c r="C93" i="29" s="1"/>
  <c r="C99" i="29" s="1"/>
  <c r="C105" i="29" s="1"/>
  <c r="B51" i="29"/>
  <c r="B50" i="29"/>
  <c r="B49" i="29"/>
  <c r="B48" i="29"/>
  <c r="C47" i="29"/>
  <c r="B47" i="29"/>
  <c r="C46" i="29"/>
  <c r="C52" i="29" s="1"/>
  <c r="C58" i="29" s="1"/>
  <c r="C64" i="29" s="1"/>
  <c r="C70" i="29" s="1"/>
  <c r="C76" i="29" s="1"/>
  <c r="C82" i="29" s="1"/>
  <c r="C88" i="29" s="1"/>
  <c r="C94" i="29" s="1"/>
  <c r="C100" i="29" s="1"/>
  <c r="C106" i="29" s="1"/>
  <c r="B46" i="29"/>
  <c r="C45" i="29"/>
  <c r="B45" i="29"/>
  <c r="C44" i="29"/>
  <c r="C50" i="29" s="1"/>
  <c r="C56" i="29" s="1"/>
  <c r="C62" i="29" s="1"/>
  <c r="C68" i="29" s="1"/>
  <c r="C74" i="29" s="1"/>
  <c r="C80" i="29" s="1"/>
  <c r="C86" i="29" s="1"/>
  <c r="C92" i="29" s="1"/>
  <c r="C98" i="29" s="1"/>
  <c r="C104" i="29" s="1"/>
  <c r="B44" i="29"/>
  <c r="C43" i="29"/>
  <c r="C49" i="29" s="1"/>
  <c r="C55" i="29" s="1"/>
  <c r="C61" i="29" s="1"/>
  <c r="C67" i="29" s="1"/>
  <c r="C73" i="29" s="1"/>
  <c r="C79" i="29" s="1"/>
  <c r="C85" i="29" s="1"/>
  <c r="C91" i="29" s="1"/>
  <c r="C97" i="29" s="1"/>
  <c r="C103" i="29" s="1"/>
  <c r="B43" i="29"/>
  <c r="C42" i="29"/>
  <c r="C48" i="29" s="1"/>
  <c r="C54" i="29" s="1"/>
  <c r="C60" i="29" s="1"/>
  <c r="C66" i="29" s="1"/>
  <c r="C72" i="29" s="1"/>
  <c r="C78" i="29" s="1"/>
  <c r="C84" i="29" s="1"/>
  <c r="C90" i="29" s="1"/>
  <c r="C96" i="29" s="1"/>
  <c r="C102" i="29" s="1"/>
  <c r="B42" i="29"/>
  <c r="B41" i="29"/>
  <c r="B40" i="29"/>
  <c r="B39" i="29"/>
  <c r="B38" i="29"/>
  <c r="B37" i="29"/>
  <c r="B36" i="29"/>
  <c r="C4" i="29"/>
  <c r="C5" i="29" s="1"/>
  <c r="C6" i="29" s="1"/>
  <c r="C7" i="29" s="1"/>
  <c r="C8" i="29" s="1"/>
  <c r="C9" i="29" s="1"/>
  <c r="B14" i="28"/>
  <c r="B15" i="28" s="1"/>
  <c r="B13" i="28"/>
  <c r="C7" i="28"/>
  <c r="C8" i="28" s="1"/>
  <c r="D8" i="28" s="1"/>
  <c r="D4" i="28"/>
  <c r="C4" i="28"/>
  <c r="C5" i="28" s="1"/>
  <c r="C6" i="28" s="1"/>
  <c r="D6" i="28" s="1"/>
  <c r="D3" i="28"/>
  <c r="D2" i="28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5" i="27"/>
  <c r="C84" i="27"/>
  <c r="C83" i="27"/>
  <c r="C82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64" i="27"/>
  <c r="C63" i="27"/>
  <c r="C62" i="27"/>
  <c r="C61" i="27"/>
  <c r="C60" i="27"/>
  <c r="C59" i="27"/>
  <c r="C58" i="27"/>
  <c r="C57" i="27"/>
  <c r="C56" i="27"/>
  <c r="C55" i="27"/>
  <c r="C54" i="27"/>
  <c r="C53" i="27"/>
  <c r="C52" i="27"/>
  <c r="C51" i="27"/>
  <c r="C50" i="27"/>
  <c r="C49" i="27"/>
  <c r="C48" i="27"/>
  <c r="C47" i="27"/>
  <c r="C46" i="27"/>
  <c r="C45" i="27"/>
  <c r="C44" i="27"/>
  <c r="C43" i="27"/>
  <c r="C42" i="27"/>
  <c r="C41" i="27"/>
  <c r="C40" i="27"/>
  <c r="C39" i="27"/>
  <c r="C38" i="27"/>
  <c r="C37" i="27"/>
  <c r="C36" i="27"/>
  <c r="C35" i="27"/>
  <c r="C34" i="27"/>
  <c r="C33" i="27"/>
  <c r="C32" i="27"/>
  <c r="C31" i="27"/>
  <c r="C30" i="27"/>
  <c r="C29" i="27"/>
  <c r="C28" i="27"/>
  <c r="C27" i="27"/>
  <c r="C26" i="27"/>
  <c r="C25" i="27"/>
  <c r="C24" i="27"/>
  <c r="C23" i="27"/>
  <c r="C22" i="27"/>
  <c r="C21" i="27"/>
  <c r="C20" i="27"/>
  <c r="C19" i="27"/>
  <c r="C18" i="27"/>
  <c r="C17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D95" i="26"/>
  <c r="D90" i="26"/>
  <c r="D89" i="26"/>
  <c r="D87" i="26"/>
  <c r="F83" i="26"/>
  <c r="F84" i="26" s="1"/>
  <c r="F85" i="26" s="1"/>
  <c r="F86" i="26" s="1"/>
  <c r="F87" i="26" s="1"/>
  <c r="F88" i="26" s="1"/>
  <c r="F89" i="26" s="1"/>
  <c r="F90" i="26" s="1"/>
  <c r="F91" i="26" s="1"/>
  <c r="F92" i="26" s="1"/>
  <c r="F93" i="26" s="1"/>
  <c r="F94" i="26" s="1"/>
  <c r="F95" i="26" s="1"/>
  <c r="D80" i="26"/>
  <c r="D75" i="26"/>
  <c r="D74" i="26"/>
  <c r="D72" i="26"/>
  <c r="F68" i="26"/>
  <c r="F69" i="26" s="1"/>
  <c r="F70" i="26" s="1"/>
  <c r="F71" i="26" s="1"/>
  <c r="F72" i="26" s="1"/>
  <c r="F73" i="26" s="1"/>
  <c r="F74" i="26" s="1"/>
  <c r="F75" i="26" s="1"/>
  <c r="F76" i="26" s="1"/>
  <c r="F77" i="26" s="1"/>
  <c r="F78" i="26" s="1"/>
  <c r="F79" i="26" s="1"/>
  <c r="F80" i="26" s="1"/>
  <c r="D65" i="26"/>
  <c r="D60" i="26"/>
  <c r="D59" i="26"/>
  <c r="D57" i="26"/>
  <c r="F55" i="26"/>
  <c r="F56" i="26" s="1"/>
  <c r="F57" i="26" s="1"/>
  <c r="F58" i="26" s="1"/>
  <c r="F59" i="26" s="1"/>
  <c r="F60" i="26" s="1"/>
  <c r="F61" i="26" s="1"/>
  <c r="F62" i="26" s="1"/>
  <c r="F63" i="26" s="1"/>
  <c r="F64" i="26" s="1"/>
  <c r="F65" i="26" s="1"/>
  <c r="F54" i="26"/>
  <c r="F53" i="26"/>
  <c r="D50" i="26"/>
  <c r="D45" i="26"/>
  <c r="D44" i="26"/>
  <c r="D42" i="26"/>
  <c r="F38" i="26"/>
  <c r="F39" i="26" s="1"/>
  <c r="F40" i="26" s="1"/>
  <c r="F41" i="26" s="1"/>
  <c r="F42" i="26" s="1"/>
  <c r="F43" i="26" s="1"/>
  <c r="F44" i="26" s="1"/>
  <c r="F45" i="26" s="1"/>
  <c r="F46" i="26" s="1"/>
  <c r="F47" i="26" s="1"/>
  <c r="F48" i="26" s="1"/>
  <c r="F49" i="26" s="1"/>
  <c r="F50" i="26" s="1"/>
  <c r="D35" i="26"/>
  <c r="D34" i="26"/>
  <c r="D33" i="26"/>
  <c r="D32" i="26"/>
  <c r="D31" i="26"/>
  <c r="D30" i="26"/>
  <c r="D29" i="26"/>
  <c r="D28" i="26"/>
  <c r="D27" i="26"/>
  <c r="D26" i="26"/>
  <c r="D25" i="26"/>
  <c r="D24" i="26"/>
  <c r="F23" i="26"/>
  <c r="F24" i="26" s="1"/>
  <c r="F25" i="26" s="1"/>
  <c r="F26" i="26" s="1"/>
  <c r="F27" i="26" s="1"/>
  <c r="F28" i="26" s="1"/>
  <c r="F29" i="26" s="1"/>
  <c r="F30" i="26" s="1"/>
  <c r="F31" i="26" s="1"/>
  <c r="F32" i="26" s="1"/>
  <c r="F33" i="26" s="1"/>
  <c r="F34" i="26" s="1"/>
  <c r="F35" i="26" s="1"/>
  <c r="D23" i="26"/>
  <c r="D22" i="26"/>
  <c r="G7" i="26"/>
  <c r="A7" i="26"/>
  <c r="A8" i="26" s="1"/>
  <c r="G8" i="26" s="1"/>
  <c r="G6" i="26"/>
  <c r="C3" i="25"/>
  <c r="C4" i="25" s="1"/>
  <c r="C5" i="25" s="1"/>
  <c r="C6" i="25" s="1"/>
  <c r="C7" i="25" s="1"/>
  <c r="E66" i="23"/>
  <c r="E67" i="23" s="1"/>
  <c r="E68" i="23" s="1"/>
  <c r="E69" i="23" s="1"/>
  <c r="E70" i="23" s="1"/>
  <c r="E65" i="23"/>
  <c r="E52" i="23"/>
  <c r="E53" i="23" s="1"/>
  <c r="E54" i="23" s="1"/>
  <c r="E55" i="23" s="1"/>
  <c r="E56" i="23" s="1"/>
  <c r="E57" i="23" s="1"/>
  <c r="G37" i="23"/>
  <c r="G38" i="23" s="1"/>
  <c r="G39" i="23" s="1"/>
  <c r="G40" i="23" s="1"/>
  <c r="G41" i="23" s="1"/>
  <c r="G42" i="23" s="1"/>
  <c r="G43" i="23" s="1"/>
  <c r="G44" i="23" s="1"/>
  <c r="G45" i="23" s="1"/>
  <c r="G27" i="23"/>
  <c r="G28" i="23" s="1"/>
  <c r="G29" i="23" s="1"/>
  <c r="G30" i="23" s="1"/>
  <c r="G31" i="23" s="1"/>
  <c r="G32" i="23" s="1"/>
  <c r="G33" i="23" s="1"/>
  <c r="G26" i="23"/>
  <c r="G25" i="23"/>
  <c r="G15" i="23"/>
  <c r="G16" i="23" s="1"/>
  <c r="G17" i="23" s="1"/>
  <c r="G18" i="23" s="1"/>
  <c r="G19" i="23" s="1"/>
  <c r="G20" i="23" s="1"/>
  <c r="G21" i="23" s="1"/>
  <c r="G22" i="23" s="1"/>
  <c r="G23" i="23" s="1"/>
  <c r="G6" i="23"/>
  <c r="G7" i="23" s="1"/>
  <c r="G8" i="23" s="1"/>
  <c r="G9" i="23" s="1"/>
  <c r="G10" i="23" s="1"/>
  <c r="G11" i="23" s="1"/>
  <c r="G12" i="23" s="1"/>
  <c r="G13" i="23" s="1"/>
  <c r="G5" i="23"/>
  <c r="D105" i="22"/>
  <c r="F102" i="22"/>
  <c r="D102" i="22"/>
  <c r="I101" i="22"/>
  <c r="H99" i="22"/>
  <c r="G99" i="22"/>
  <c r="I98" i="22"/>
  <c r="A97" i="22"/>
  <c r="G95" i="22"/>
  <c r="I94" i="22"/>
  <c r="E94" i="22"/>
  <c r="D94" i="22"/>
  <c r="F92" i="22"/>
  <c r="D92" i="22"/>
  <c r="E90" i="22"/>
  <c r="D90" i="22"/>
  <c r="H89" i="22"/>
  <c r="G89" i="22"/>
  <c r="D89" i="22"/>
  <c r="A89" i="22"/>
  <c r="F88" i="22"/>
  <c r="F87" i="22"/>
  <c r="A86" i="22"/>
  <c r="A106" i="22" s="1"/>
  <c r="I85" i="22"/>
  <c r="I105" i="22" s="1"/>
  <c r="E85" i="22"/>
  <c r="E105" i="22" s="1"/>
  <c r="D85" i="22"/>
  <c r="A85" i="22"/>
  <c r="A105" i="22" s="1"/>
  <c r="F84" i="22"/>
  <c r="F104" i="22" s="1"/>
  <c r="E84" i="22"/>
  <c r="E104" i="22" s="1"/>
  <c r="D84" i="22"/>
  <c r="D104" i="22" s="1"/>
  <c r="A84" i="22"/>
  <c r="A104" i="22" s="1"/>
  <c r="G83" i="22"/>
  <c r="G103" i="22" s="1"/>
  <c r="F83" i="22"/>
  <c r="F103" i="22" s="1"/>
  <c r="A83" i="22"/>
  <c r="A103" i="22" s="1"/>
  <c r="I82" i="22"/>
  <c r="I102" i="22" s="1"/>
  <c r="H82" i="22"/>
  <c r="H102" i="22" s="1"/>
  <c r="G82" i="22"/>
  <c r="G102" i="22" s="1"/>
  <c r="F82" i="22"/>
  <c r="D82" i="22"/>
  <c r="A82" i="22"/>
  <c r="A102" i="22" s="1"/>
  <c r="I81" i="22"/>
  <c r="E81" i="22"/>
  <c r="E101" i="22" s="1"/>
  <c r="A81" i="22"/>
  <c r="A101" i="22" s="1"/>
  <c r="F80" i="22"/>
  <c r="F100" i="22" s="1"/>
  <c r="E80" i="22"/>
  <c r="E100" i="22" s="1"/>
  <c r="A80" i="22"/>
  <c r="A100" i="22" s="1"/>
  <c r="I79" i="22"/>
  <c r="I99" i="22" s="1"/>
  <c r="H79" i="22"/>
  <c r="G79" i="22"/>
  <c r="A79" i="22"/>
  <c r="A99" i="22" s="1"/>
  <c r="I78" i="22"/>
  <c r="H78" i="22"/>
  <c r="H98" i="22" s="1"/>
  <c r="E78" i="22"/>
  <c r="E98" i="22" s="1"/>
  <c r="D78" i="22"/>
  <c r="D98" i="22" s="1"/>
  <c r="A78" i="22"/>
  <c r="A98" i="22" s="1"/>
  <c r="I77" i="22"/>
  <c r="I97" i="22" s="1"/>
  <c r="H77" i="22"/>
  <c r="H97" i="22" s="1"/>
  <c r="G77" i="22"/>
  <c r="G97" i="22" s="1"/>
  <c r="F77" i="22"/>
  <c r="F97" i="22" s="1"/>
  <c r="E77" i="22"/>
  <c r="E97" i="22" s="1"/>
  <c r="D77" i="22"/>
  <c r="D97" i="22" s="1"/>
  <c r="A77" i="22"/>
  <c r="F76" i="22"/>
  <c r="F96" i="22" s="1"/>
  <c r="E76" i="22"/>
  <c r="E96" i="22" s="1"/>
  <c r="D76" i="22"/>
  <c r="D96" i="22" s="1"/>
  <c r="A76" i="22"/>
  <c r="A96" i="22" s="1"/>
  <c r="G75" i="22"/>
  <c r="A75" i="22"/>
  <c r="A95" i="22" s="1"/>
  <c r="I74" i="22"/>
  <c r="H74" i="22"/>
  <c r="H94" i="22" s="1"/>
  <c r="F74" i="22"/>
  <c r="F94" i="22" s="1"/>
  <c r="E74" i="22"/>
  <c r="D74" i="22"/>
  <c r="A74" i="22"/>
  <c r="A94" i="22" s="1"/>
  <c r="I73" i="22"/>
  <c r="I93" i="22" s="1"/>
  <c r="H73" i="22"/>
  <c r="H93" i="22" s="1"/>
  <c r="G73" i="22"/>
  <c r="G93" i="22" s="1"/>
  <c r="E73" i="22"/>
  <c r="E93" i="22" s="1"/>
  <c r="D73" i="22"/>
  <c r="D93" i="22" s="1"/>
  <c r="A73" i="22"/>
  <c r="A93" i="22" s="1"/>
  <c r="F72" i="22"/>
  <c r="D72" i="22"/>
  <c r="A72" i="22"/>
  <c r="A92" i="22" s="1"/>
  <c r="H71" i="22"/>
  <c r="H91" i="22" s="1"/>
  <c r="A71" i="22"/>
  <c r="A91" i="22" s="1"/>
  <c r="I70" i="22"/>
  <c r="I90" i="22" s="1"/>
  <c r="G70" i="22"/>
  <c r="G90" i="22" s="1"/>
  <c r="F70" i="22"/>
  <c r="F90" i="22" s="1"/>
  <c r="E70" i="22"/>
  <c r="D70" i="22"/>
  <c r="A70" i="22"/>
  <c r="A90" i="22" s="1"/>
  <c r="H69" i="22"/>
  <c r="G69" i="22"/>
  <c r="E69" i="22"/>
  <c r="E89" i="22" s="1"/>
  <c r="D69" i="22"/>
  <c r="A69" i="22"/>
  <c r="F68" i="22"/>
  <c r="A68" i="22"/>
  <c r="A88" i="22" s="1"/>
  <c r="I67" i="22"/>
  <c r="I87" i="22" s="1"/>
  <c r="H67" i="22"/>
  <c r="H87" i="22" s="1"/>
  <c r="G67" i="22"/>
  <c r="G87" i="22" s="1"/>
  <c r="F67" i="22"/>
  <c r="E67" i="22"/>
  <c r="E87" i="22" s="1"/>
  <c r="D67" i="22"/>
  <c r="D87" i="22" s="1"/>
  <c r="A67" i="22"/>
  <c r="A87" i="22" s="1"/>
  <c r="I66" i="22"/>
  <c r="I86" i="22" s="1"/>
  <c r="I106" i="22" s="1"/>
  <c r="H66" i="22"/>
  <c r="H86" i="22" s="1"/>
  <c r="H106" i="22" s="1"/>
  <c r="G66" i="22"/>
  <c r="G86" i="22" s="1"/>
  <c r="G106" i="22" s="1"/>
  <c r="F66" i="22"/>
  <c r="F86" i="22" s="1"/>
  <c r="F106" i="22" s="1"/>
  <c r="E66" i="22"/>
  <c r="E86" i="22" s="1"/>
  <c r="E106" i="22" s="1"/>
  <c r="D66" i="22"/>
  <c r="D86" i="22" s="1"/>
  <c r="D106" i="22" s="1"/>
  <c r="I65" i="22"/>
  <c r="H65" i="22"/>
  <c r="H85" i="22" s="1"/>
  <c r="H105" i="22" s="1"/>
  <c r="G65" i="22"/>
  <c r="G85" i="22" s="1"/>
  <c r="G105" i="22" s="1"/>
  <c r="F65" i="22"/>
  <c r="F85" i="22" s="1"/>
  <c r="F105" i="22" s="1"/>
  <c r="E65" i="22"/>
  <c r="D65" i="22"/>
  <c r="I64" i="22"/>
  <c r="I84" i="22" s="1"/>
  <c r="I104" i="22" s="1"/>
  <c r="H64" i="22"/>
  <c r="H84" i="22" s="1"/>
  <c r="H104" i="22" s="1"/>
  <c r="G64" i="22"/>
  <c r="G84" i="22" s="1"/>
  <c r="G104" i="22" s="1"/>
  <c r="F64" i="22"/>
  <c r="E64" i="22"/>
  <c r="D64" i="22"/>
  <c r="I63" i="22"/>
  <c r="I83" i="22" s="1"/>
  <c r="I103" i="22" s="1"/>
  <c r="H63" i="22"/>
  <c r="H83" i="22" s="1"/>
  <c r="H103" i="22" s="1"/>
  <c r="G63" i="22"/>
  <c r="F63" i="22"/>
  <c r="E63" i="22"/>
  <c r="E83" i="22" s="1"/>
  <c r="E103" i="22" s="1"/>
  <c r="D63" i="22"/>
  <c r="D83" i="22" s="1"/>
  <c r="D103" i="22" s="1"/>
  <c r="I62" i="22"/>
  <c r="H62" i="22"/>
  <c r="G62" i="22"/>
  <c r="F62" i="22"/>
  <c r="E62" i="22"/>
  <c r="E82" i="22" s="1"/>
  <c r="E102" i="22" s="1"/>
  <c r="D62" i="22"/>
  <c r="I61" i="22"/>
  <c r="H61" i="22"/>
  <c r="H81" i="22" s="1"/>
  <c r="H101" i="22" s="1"/>
  <c r="G61" i="22"/>
  <c r="G81" i="22" s="1"/>
  <c r="G101" i="22" s="1"/>
  <c r="F61" i="22"/>
  <c r="F81" i="22" s="1"/>
  <c r="F101" i="22" s="1"/>
  <c r="E61" i="22"/>
  <c r="D61" i="22"/>
  <c r="D81" i="22" s="1"/>
  <c r="D101" i="22" s="1"/>
  <c r="I60" i="22"/>
  <c r="I80" i="22" s="1"/>
  <c r="I100" i="22" s="1"/>
  <c r="H60" i="22"/>
  <c r="H80" i="22" s="1"/>
  <c r="H100" i="22" s="1"/>
  <c r="G60" i="22"/>
  <c r="G80" i="22" s="1"/>
  <c r="G100" i="22" s="1"/>
  <c r="F60" i="22"/>
  <c r="E60" i="22"/>
  <c r="D60" i="22"/>
  <c r="D80" i="22" s="1"/>
  <c r="D100" i="22" s="1"/>
  <c r="I59" i="22"/>
  <c r="H59" i="22"/>
  <c r="G59" i="22"/>
  <c r="F59" i="22"/>
  <c r="F79" i="22" s="1"/>
  <c r="F99" i="22" s="1"/>
  <c r="E59" i="22"/>
  <c r="E79" i="22" s="1"/>
  <c r="E99" i="22" s="1"/>
  <c r="D59" i="22"/>
  <c r="D79" i="22" s="1"/>
  <c r="D99" i="22" s="1"/>
  <c r="I58" i="22"/>
  <c r="H58" i="22"/>
  <c r="G58" i="22"/>
  <c r="G78" i="22" s="1"/>
  <c r="G98" i="22" s="1"/>
  <c r="F58" i="22"/>
  <c r="F78" i="22" s="1"/>
  <c r="F98" i="22" s="1"/>
  <c r="E58" i="22"/>
  <c r="D58" i="22"/>
  <c r="I56" i="22"/>
  <c r="I76" i="22" s="1"/>
  <c r="I96" i="22" s="1"/>
  <c r="H56" i="22"/>
  <c r="H76" i="22" s="1"/>
  <c r="H96" i="22" s="1"/>
  <c r="G56" i="22"/>
  <c r="G76" i="22" s="1"/>
  <c r="G96" i="22" s="1"/>
  <c r="F56" i="22"/>
  <c r="E56" i="22"/>
  <c r="D56" i="22"/>
  <c r="I55" i="22"/>
  <c r="I75" i="22" s="1"/>
  <c r="I95" i="22" s="1"/>
  <c r="H55" i="22"/>
  <c r="H75" i="22" s="1"/>
  <c r="H95" i="22" s="1"/>
  <c r="G55" i="22"/>
  <c r="F55" i="22"/>
  <c r="F75" i="22" s="1"/>
  <c r="F95" i="22" s="1"/>
  <c r="E55" i="22"/>
  <c r="E75" i="22" s="1"/>
  <c r="E95" i="22" s="1"/>
  <c r="D55" i="22"/>
  <c r="D75" i="22" s="1"/>
  <c r="D95" i="22" s="1"/>
  <c r="I54" i="22"/>
  <c r="H54" i="22"/>
  <c r="G54" i="22"/>
  <c r="G74" i="22" s="1"/>
  <c r="G94" i="22" s="1"/>
  <c r="F54" i="22"/>
  <c r="E54" i="22"/>
  <c r="D54" i="22"/>
  <c r="I53" i="22"/>
  <c r="H53" i="22"/>
  <c r="G53" i="22"/>
  <c r="F53" i="22"/>
  <c r="F73" i="22" s="1"/>
  <c r="F93" i="22" s="1"/>
  <c r="E53" i="22"/>
  <c r="D53" i="22"/>
  <c r="I52" i="22"/>
  <c r="I72" i="22" s="1"/>
  <c r="I92" i="22" s="1"/>
  <c r="H52" i="22"/>
  <c r="H72" i="22" s="1"/>
  <c r="H92" i="22" s="1"/>
  <c r="G52" i="22"/>
  <c r="G72" i="22" s="1"/>
  <c r="G92" i="22" s="1"/>
  <c r="F52" i="22"/>
  <c r="E52" i="22"/>
  <c r="E72" i="22" s="1"/>
  <c r="E92" i="22" s="1"/>
  <c r="D52" i="22"/>
  <c r="I51" i="22"/>
  <c r="I71" i="22" s="1"/>
  <c r="I91" i="22" s="1"/>
  <c r="H51" i="22"/>
  <c r="G51" i="22"/>
  <c r="G71" i="22" s="1"/>
  <c r="G91" i="22" s="1"/>
  <c r="F51" i="22"/>
  <c r="F71" i="22" s="1"/>
  <c r="F91" i="22" s="1"/>
  <c r="E51" i="22"/>
  <c r="E71" i="22" s="1"/>
  <c r="E91" i="22" s="1"/>
  <c r="D51" i="22"/>
  <c r="D71" i="22" s="1"/>
  <c r="D91" i="22" s="1"/>
  <c r="I50" i="22"/>
  <c r="H50" i="22"/>
  <c r="H70" i="22" s="1"/>
  <c r="H90" i="22" s="1"/>
  <c r="G50" i="22"/>
  <c r="F50" i="22"/>
  <c r="E50" i="22"/>
  <c r="D50" i="22"/>
  <c r="I49" i="22"/>
  <c r="I69" i="22" s="1"/>
  <c r="I89" i="22" s="1"/>
  <c r="H49" i="22"/>
  <c r="G49" i="22"/>
  <c r="F49" i="22"/>
  <c r="F69" i="22" s="1"/>
  <c r="F89" i="22" s="1"/>
  <c r="E49" i="22"/>
  <c r="D49" i="22"/>
  <c r="I48" i="22"/>
  <c r="I68" i="22" s="1"/>
  <c r="I88" i="22" s="1"/>
  <c r="H48" i="22"/>
  <c r="H68" i="22" s="1"/>
  <c r="H88" i="22" s="1"/>
  <c r="G48" i="22"/>
  <c r="G68" i="22" s="1"/>
  <c r="G88" i="22" s="1"/>
  <c r="F48" i="22"/>
  <c r="E48" i="22"/>
  <c r="E68" i="22" s="1"/>
  <c r="E88" i="22" s="1"/>
  <c r="D48" i="22"/>
  <c r="D68" i="22" s="1"/>
  <c r="D88" i="22" s="1"/>
  <c r="D24" i="22"/>
  <c r="D25" i="22" s="1"/>
  <c r="D26" i="22" s="1"/>
  <c r="D27" i="22" s="1"/>
  <c r="D28" i="22" s="1"/>
  <c r="D29" i="22" s="1"/>
  <c r="D30" i="22" s="1"/>
  <c r="D31" i="22" s="1"/>
  <c r="D32" i="22" s="1"/>
  <c r="D15" i="22"/>
  <c r="D16" i="22" s="1"/>
  <c r="D17" i="22" s="1"/>
  <c r="D18" i="22" s="1"/>
  <c r="D19" i="22" s="1"/>
  <c r="D20" i="22" s="1"/>
  <c r="D21" i="22" s="1"/>
  <c r="D22" i="22" s="1"/>
  <c r="D14" i="22"/>
  <c r="D4" i="22"/>
  <c r="D5" i="22" s="1"/>
  <c r="D6" i="22" s="1"/>
  <c r="D7" i="22" s="1"/>
  <c r="D8" i="22" s="1"/>
  <c r="D9" i="22" s="1"/>
  <c r="D10" i="22" s="1"/>
  <c r="D11" i="22" s="1"/>
  <c r="D12" i="22" s="1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2" i="20"/>
  <c r="A21" i="20"/>
  <c r="A20" i="20"/>
  <c r="A227" i="18"/>
  <c r="A226" i="18"/>
  <c r="A225" i="18"/>
  <c r="A224" i="18"/>
  <c r="A223" i="18"/>
  <c r="A222" i="18"/>
  <c r="A221" i="18"/>
  <c r="A220" i="18"/>
  <c r="A219" i="18"/>
  <c r="A218" i="18"/>
  <c r="A217" i="18"/>
  <c r="A216" i="18"/>
  <c r="A215" i="18"/>
  <c r="A214" i="18"/>
  <c r="A213" i="18"/>
  <c r="A212" i="18"/>
  <c r="A211" i="18"/>
  <c r="A210" i="18"/>
  <c r="A209" i="18"/>
  <c r="A208" i="18"/>
  <c r="A207" i="18"/>
  <c r="A206" i="18"/>
  <c r="A205" i="18"/>
  <c r="A204" i="18"/>
  <c r="A203" i="18"/>
  <c r="A202" i="18"/>
  <c r="A201" i="18"/>
  <c r="A200" i="18"/>
  <c r="A199" i="18"/>
  <c r="A198" i="18"/>
  <c r="A197" i="18"/>
  <c r="A196" i="18"/>
  <c r="A195" i="18"/>
  <c r="A194" i="18"/>
  <c r="A193" i="18"/>
  <c r="A192" i="18"/>
  <c r="A191" i="18"/>
  <c r="A190" i="18"/>
  <c r="A189" i="18"/>
  <c r="B188" i="18"/>
  <c r="A188" i="18"/>
  <c r="A187" i="18"/>
  <c r="A186" i="18"/>
  <c r="A185" i="18"/>
  <c r="A184" i="18"/>
  <c r="B183" i="18"/>
  <c r="A183" i="18"/>
  <c r="A182" i="18"/>
  <c r="A181" i="18"/>
  <c r="A180" i="18"/>
  <c r="A179" i="18"/>
  <c r="B178" i="18"/>
  <c r="A178" i="18"/>
  <c r="A177" i="18"/>
  <c r="A176" i="18"/>
  <c r="A175" i="18"/>
  <c r="A174" i="18"/>
  <c r="A173" i="18"/>
  <c r="A172" i="18"/>
  <c r="A171" i="18"/>
  <c r="B170" i="18"/>
  <c r="A170" i="18"/>
  <c r="A169" i="18"/>
  <c r="B168" i="18"/>
  <c r="A168" i="18"/>
  <c r="A167" i="18"/>
  <c r="A166" i="18"/>
  <c r="A165" i="18"/>
  <c r="A164" i="18"/>
  <c r="B163" i="18"/>
  <c r="A163" i="18"/>
  <c r="A162" i="18"/>
  <c r="A161" i="18"/>
  <c r="A160" i="18"/>
  <c r="A159" i="18"/>
  <c r="A158" i="18"/>
  <c r="A157" i="18"/>
  <c r="A156" i="18"/>
  <c r="B155" i="18"/>
  <c r="A155" i="18"/>
  <c r="B154" i="18"/>
  <c r="A154" i="18"/>
  <c r="B153" i="18"/>
  <c r="A153" i="18"/>
  <c r="B152" i="18"/>
  <c r="B173" i="18" s="1"/>
  <c r="A152" i="18"/>
  <c r="B151" i="18"/>
  <c r="A151" i="18"/>
  <c r="B150" i="18"/>
  <c r="A150" i="18"/>
  <c r="B149" i="18"/>
  <c r="A149" i="18"/>
  <c r="B148" i="18"/>
  <c r="A148" i="18"/>
  <c r="B147" i="18"/>
  <c r="A147" i="18"/>
  <c r="B146" i="18"/>
  <c r="A146" i="18"/>
  <c r="B145" i="18"/>
  <c r="A145" i="18"/>
  <c r="B144" i="18"/>
  <c r="B165" i="18" s="1"/>
  <c r="A144" i="18"/>
  <c r="B143" i="18"/>
  <c r="A143" i="18"/>
  <c r="B142" i="18"/>
  <c r="A142" i="18"/>
  <c r="B141" i="18"/>
  <c r="A141" i="18"/>
  <c r="B140" i="18"/>
  <c r="A140" i="18"/>
  <c r="B139" i="18"/>
  <c r="A139" i="18"/>
  <c r="B138" i="18"/>
  <c r="A138" i="18"/>
  <c r="B137" i="18"/>
  <c r="A137" i="18"/>
  <c r="B136" i="18"/>
  <c r="A136" i="18"/>
  <c r="A135" i="18"/>
  <c r="A134" i="18"/>
  <c r="A133" i="18"/>
  <c r="A132" i="18"/>
  <c r="A131" i="18"/>
  <c r="A130" i="18"/>
  <c r="A129" i="18"/>
  <c r="A128" i="18"/>
  <c r="A127" i="18"/>
  <c r="A126" i="18"/>
  <c r="A125" i="18"/>
  <c r="A124" i="18"/>
  <c r="A123" i="18"/>
  <c r="A122" i="18"/>
  <c r="A121" i="18"/>
  <c r="A120" i="18"/>
  <c r="A119" i="18"/>
  <c r="A118" i="18"/>
  <c r="A117" i="18"/>
  <c r="A116" i="18"/>
  <c r="A115" i="18"/>
  <c r="B75" i="18"/>
  <c r="B70" i="18"/>
  <c r="B65" i="18"/>
  <c r="B60" i="18"/>
  <c r="B55" i="18"/>
  <c r="B52" i="18"/>
  <c r="B50" i="18"/>
  <c r="B42" i="18"/>
  <c r="B41" i="18"/>
  <c r="B40" i="18"/>
  <c r="B39" i="18"/>
  <c r="B38" i="18"/>
  <c r="B37" i="18"/>
  <c r="B36" i="18"/>
  <c r="B57" i="18" s="1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E11" i="18"/>
  <c r="E10" i="18"/>
  <c r="E9" i="18"/>
  <c r="E8" i="18"/>
  <c r="R198" i="17"/>
  <c r="O198" i="17"/>
  <c r="R197" i="17"/>
  <c r="O197" i="17"/>
  <c r="R196" i="17"/>
  <c r="O196" i="17"/>
  <c r="R195" i="17"/>
  <c r="O195" i="17"/>
  <c r="R194" i="17"/>
  <c r="O194" i="17"/>
  <c r="R193" i="17"/>
  <c r="O193" i="17"/>
  <c r="R192" i="17"/>
  <c r="O192" i="17"/>
  <c r="R191" i="17"/>
  <c r="O191" i="17"/>
  <c r="R190" i="17"/>
  <c r="O190" i="17"/>
  <c r="R189" i="17"/>
  <c r="O189" i="17"/>
  <c r="R188" i="17"/>
  <c r="O188" i="17"/>
  <c r="R187" i="17"/>
  <c r="O187" i="17"/>
  <c r="R186" i="17"/>
  <c r="O186" i="17"/>
  <c r="R185" i="17"/>
  <c r="O185" i="17"/>
  <c r="R184" i="17"/>
  <c r="O184" i="17"/>
  <c r="R183" i="17"/>
  <c r="O183" i="17"/>
  <c r="R182" i="17"/>
  <c r="O182" i="17"/>
  <c r="R181" i="17"/>
  <c r="O181" i="17"/>
  <c r="R180" i="17"/>
  <c r="O180" i="17"/>
  <c r="R179" i="17"/>
  <c r="O179" i="17"/>
  <c r="R178" i="17"/>
  <c r="O178" i="17"/>
  <c r="R177" i="17"/>
  <c r="O177" i="17"/>
  <c r="R176" i="17"/>
  <c r="O176" i="17"/>
  <c r="R175" i="17"/>
  <c r="O175" i="17"/>
  <c r="R174" i="17"/>
  <c r="O174" i="17"/>
  <c r="R173" i="17"/>
  <c r="O173" i="17"/>
  <c r="R172" i="17"/>
  <c r="O172" i="17"/>
  <c r="R171" i="17"/>
  <c r="O171" i="17"/>
  <c r="R170" i="17"/>
  <c r="O170" i="17"/>
  <c r="R169" i="17"/>
  <c r="O169" i="17"/>
  <c r="R168" i="17"/>
  <c r="O168" i="17"/>
  <c r="R167" i="17"/>
  <c r="O167" i="17"/>
  <c r="R166" i="17"/>
  <c r="O166" i="17"/>
  <c r="R165" i="17"/>
  <c r="O165" i="17"/>
  <c r="R164" i="17"/>
  <c r="O164" i="17"/>
  <c r="R163" i="17"/>
  <c r="O163" i="17"/>
  <c r="R162" i="17"/>
  <c r="O162" i="17"/>
  <c r="R161" i="17"/>
  <c r="O161" i="17"/>
  <c r="R160" i="17"/>
  <c r="O160" i="17"/>
  <c r="R159" i="17"/>
  <c r="O159" i="17"/>
  <c r="R158" i="17"/>
  <c r="O158" i="17"/>
  <c r="R157" i="17"/>
  <c r="O157" i="17"/>
  <c r="R155" i="17"/>
  <c r="O155" i="17"/>
  <c r="K155" i="17"/>
  <c r="I155" i="17"/>
  <c r="H155" i="17"/>
  <c r="G155" i="17"/>
  <c r="R154" i="17"/>
  <c r="O154" i="17"/>
  <c r="K154" i="17"/>
  <c r="G154" i="17"/>
  <c r="F154" i="17"/>
  <c r="R153" i="17"/>
  <c r="O153" i="17"/>
  <c r="J153" i="17"/>
  <c r="H153" i="17"/>
  <c r="F153" i="17"/>
  <c r="R152" i="17"/>
  <c r="O152" i="17"/>
  <c r="F152" i="17"/>
  <c r="R151" i="17"/>
  <c r="O151" i="17"/>
  <c r="J151" i="17"/>
  <c r="F151" i="17"/>
  <c r="R150" i="17"/>
  <c r="O150" i="17"/>
  <c r="I150" i="17"/>
  <c r="R149" i="17"/>
  <c r="O149" i="17"/>
  <c r="J149" i="17"/>
  <c r="I149" i="17"/>
  <c r="F149" i="17"/>
  <c r="R148" i="17"/>
  <c r="O148" i="17"/>
  <c r="K148" i="17"/>
  <c r="J148" i="17"/>
  <c r="F148" i="17"/>
  <c r="R147" i="17"/>
  <c r="O147" i="17"/>
  <c r="J147" i="17"/>
  <c r="I147" i="17"/>
  <c r="H147" i="17"/>
  <c r="F147" i="17"/>
  <c r="R146" i="17"/>
  <c r="O146" i="17"/>
  <c r="K146" i="17"/>
  <c r="J146" i="17"/>
  <c r="I146" i="17"/>
  <c r="F146" i="17"/>
  <c r="R145" i="17"/>
  <c r="O145" i="17"/>
  <c r="J145" i="17"/>
  <c r="I145" i="17"/>
  <c r="R144" i="17"/>
  <c r="O144" i="17"/>
  <c r="I144" i="17"/>
  <c r="H144" i="17"/>
  <c r="R143" i="17"/>
  <c r="O143" i="17"/>
  <c r="K143" i="17"/>
  <c r="K149" i="17" s="1"/>
  <c r="J143" i="17"/>
  <c r="J155" i="17" s="1"/>
  <c r="I143" i="17"/>
  <c r="H143" i="17"/>
  <c r="H149" i="17" s="1"/>
  <c r="G143" i="17"/>
  <c r="G149" i="17" s="1"/>
  <c r="F143" i="17"/>
  <c r="F155" i="17" s="1"/>
  <c r="R142" i="17"/>
  <c r="O142" i="17"/>
  <c r="K142" i="17"/>
  <c r="J142" i="17"/>
  <c r="J154" i="17" s="1"/>
  <c r="I142" i="17"/>
  <c r="H142" i="17"/>
  <c r="H148" i="17" s="1"/>
  <c r="G142" i="17"/>
  <c r="G148" i="17" s="1"/>
  <c r="F142" i="17"/>
  <c r="R141" i="17"/>
  <c r="O141" i="17"/>
  <c r="K141" i="17"/>
  <c r="K147" i="17" s="1"/>
  <c r="J141" i="17"/>
  <c r="I141" i="17"/>
  <c r="I153" i="17" s="1"/>
  <c r="H141" i="17"/>
  <c r="G141" i="17"/>
  <c r="F141" i="17"/>
  <c r="R140" i="17"/>
  <c r="O140" i="17"/>
  <c r="K140" i="17"/>
  <c r="K152" i="17" s="1"/>
  <c r="J140" i="17"/>
  <c r="J152" i="17" s="1"/>
  <c r="I140" i="17"/>
  <c r="I152" i="17" s="1"/>
  <c r="H140" i="17"/>
  <c r="H152" i="17" s="1"/>
  <c r="G140" i="17"/>
  <c r="G146" i="17" s="1"/>
  <c r="F140" i="17"/>
  <c r="R139" i="17"/>
  <c r="O139" i="17"/>
  <c r="K139" i="17"/>
  <c r="K145" i="17" s="1"/>
  <c r="J139" i="17"/>
  <c r="I139" i="17"/>
  <c r="I151" i="17" s="1"/>
  <c r="H139" i="17"/>
  <c r="G139" i="17"/>
  <c r="G145" i="17" s="1"/>
  <c r="F139" i="17"/>
  <c r="F145" i="17" s="1"/>
  <c r="R138" i="17"/>
  <c r="O138" i="17"/>
  <c r="K138" i="17"/>
  <c r="K144" i="17" s="1"/>
  <c r="J138" i="17"/>
  <c r="J144" i="17" s="1"/>
  <c r="I138" i="17"/>
  <c r="H138" i="17"/>
  <c r="H150" i="17" s="1"/>
  <c r="G138" i="17"/>
  <c r="G144" i="17" s="1"/>
  <c r="F138" i="17"/>
  <c r="R137" i="17"/>
  <c r="O137" i="17"/>
  <c r="R136" i="17"/>
  <c r="O136" i="17"/>
  <c r="R135" i="17"/>
  <c r="O135" i="17"/>
  <c r="R134" i="17"/>
  <c r="O134" i="17"/>
  <c r="R133" i="17"/>
  <c r="O133" i="17"/>
  <c r="R132" i="17"/>
  <c r="O132" i="17"/>
  <c r="R131" i="17"/>
  <c r="O131" i="17"/>
  <c r="K131" i="17"/>
  <c r="J131" i="17"/>
  <c r="I131" i="17"/>
  <c r="F131" i="17"/>
  <c r="R130" i="17"/>
  <c r="O130" i="17"/>
  <c r="I130" i="17"/>
  <c r="H130" i="17"/>
  <c r="G130" i="17"/>
  <c r="F130" i="17"/>
  <c r="R129" i="17"/>
  <c r="O129" i="17"/>
  <c r="K129" i="17"/>
  <c r="I129" i="17"/>
  <c r="R128" i="17"/>
  <c r="O128" i="17"/>
  <c r="I128" i="17"/>
  <c r="H128" i="17"/>
  <c r="R127" i="17"/>
  <c r="O127" i="17"/>
  <c r="J127" i="17"/>
  <c r="G127" i="17"/>
  <c r="R126" i="17"/>
  <c r="O126" i="17"/>
  <c r="J126" i="17"/>
  <c r="I126" i="17"/>
  <c r="H126" i="17"/>
  <c r="R125" i="17"/>
  <c r="O125" i="17"/>
  <c r="I125" i="17"/>
  <c r="H125" i="17"/>
  <c r="R124" i="17"/>
  <c r="O124" i="17"/>
  <c r="I124" i="17"/>
  <c r="H124" i="17"/>
  <c r="F124" i="17"/>
  <c r="R123" i="17"/>
  <c r="O123" i="17"/>
  <c r="K123" i="17"/>
  <c r="I123" i="17"/>
  <c r="H123" i="17"/>
  <c r="G123" i="17"/>
  <c r="R122" i="17"/>
  <c r="O122" i="17"/>
  <c r="H122" i="17"/>
  <c r="G122" i="17"/>
  <c r="R121" i="17"/>
  <c r="O121" i="17"/>
  <c r="K121" i="17"/>
  <c r="H121" i="17"/>
  <c r="G121" i="17"/>
  <c r="R120" i="17"/>
  <c r="O120" i="17"/>
  <c r="H120" i="17"/>
  <c r="G120" i="17"/>
  <c r="F120" i="17"/>
  <c r="R119" i="17"/>
  <c r="O119" i="17"/>
  <c r="K119" i="17"/>
  <c r="K125" i="17" s="1"/>
  <c r="J119" i="17"/>
  <c r="J125" i="17" s="1"/>
  <c r="I119" i="17"/>
  <c r="H119" i="17"/>
  <c r="H131" i="17" s="1"/>
  <c r="G119" i="17"/>
  <c r="G131" i="17" s="1"/>
  <c r="F119" i="17"/>
  <c r="F125" i="17" s="1"/>
  <c r="R118" i="17"/>
  <c r="O118" i="17"/>
  <c r="K118" i="17"/>
  <c r="K124" i="17" s="1"/>
  <c r="J118" i="17"/>
  <c r="I118" i="17"/>
  <c r="H118" i="17"/>
  <c r="G118" i="17"/>
  <c r="G124" i="17" s="1"/>
  <c r="F118" i="17"/>
  <c r="R117" i="17"/>
  <c r="O117" i="17"/>
  <c r="K117" i="17"/>
  <c r="J117" i="17"/>
  <c r="J123" i="17" s="1"/>
  <c r="I117" i="17"/>
  <c r="H117" i="17"/>
  <c r="H129" i="17" s="1"/>
  <c r="G117" i="17"/>
  <c r="G129" i="17" s="1"/>
  <c r="F117" i="17"/>
  <c r="F123" i="17" s="1"/>
  <c r="R116" i="17"/>
  <c r="O116" i="17"/>
  <c r="K116" i="17"/>
  <c r="J116" i="17"/>
  <c r="J122" i="17" s="1"/>
  <c r="I116" i="17"/>
  <c r="I122" i="17" s="1"/>
  <c r="H116" i="17"/>
  <c r="G116" i="17"/>
  <c r="G128" i="17" s="1"/>
  <c r="F116" i="17"/>
  <c r="F128" i="17" s="1"/>
  <c r="R115" i="17"/>
  <c r="O115" i="17"/>
  <c r="K115" i="17"/>
  <c r="K127" i="17" s="1"/>
  <c r="J115" i="17"/>
  <c r="J121" i="17" s="1"/>
  <c r="I115" i="17"/>
  <c r="H115" i="17"/>
  <c r="H127" i="17" s="1"/>
  <c r="G115" i="17"/>
  <c r="F115" i="17"/>
  <c r="F121" i="17" s="1"/>
  <c r="R114" i="17"/>
  <c r="O114" i="17"/>
  <c r="K114" i="17"/>
  <c r="K126" i="17" s="1"/>
  <c r="J114" i="17"/>
  <c r="J120" i="17" s="1"/>
  <c r="I114" i="17"/>
  <c r="I120" i="17" s="1"/>
  <c r="H114" i="17"/>
  <c r="G114" i="17"/>
  <c r="G126" i="17" s="1"/>
  <c r="F114" i="17"/>
  <c r="F126" i="17" s="1"/>
  <c r="R113" i="17"/>
  <c r="O113" i="17"/>
  <c r="R112" i="17"/>
  <c r="O112" i="17"/>
  <c r="R111" i="17"/>
  <c r="O111" i="17"/>
  <c r="A111" i="17"/>
  <c r="A117" i="17" s="1"/>
  <c r="A123" i="17" s="1"/>
  <c r="A129" i="17" s="1"/>
  <c r="A135" i="17" s="1"/>
  <c r="A141" i="17" s="1"/>
  <c r="A147" i="17" s="1"/>
  <c r="A153" i="17" s="1"/>
  <c r="R110" i="17"/>
  <c r="O110" i="17"/>
  <c r="R109" i="17"/>
  <c r="O109" i="17"/>
  <c r="R108" i="17"/>
  <c r="O108" i="17"/>
  <c r="R107" i="17"/>
  <c r="O107" i="17"/>
  <c r="J107" i="17"/>
  <c r="I107" i="17"/>
  <c r="H107" i="17"/>
  <c r="G107" i="17"/>
  <c r="R106" i="17"/>
  <c r="O106" i="17"/>
  <c r="J106" i="17"/>
  <c r="I106" i="17"/>
  <c r="R105" i="17"/>
  <c r="O105" i="17"/>
  <c r="H105" i="17"/>
  <c r="G105" i="17"/>
  <c r="F105" i="17"/>
  <c r="R104" i="17"/>
  <c r="O104" i="17"/>
  <c r="K104" i="17"/>
  <c r="J104" i="17"/>
  <c r="I104" i="17"/>
  <c r="H104" i="17"/>
  <c r="G104" i="17"/>
  <c r="F104" i="17"/>
  <c r="R103" i="17"/>
  <c r="O103" i="17"/>
  <c r="K103" i="17"/>
  <c r="G103" i="17"/>
  <c r="R102" i="17"/>
  <c r="O102" i="17"/>
  <c r="K102" i="17"/>
  <c r="J102" i="17"/>
  <c r="R101" i="17"/>
  <c r="O101" i="17"/>
  <c r="I101" i="17"/>
  <c r="H101" i="17"/>
  <c r="G101" i="17"/>
  <c r="F101" i="17"/>
  <c r="R100" i="17"/>
  <c r="O100" i="17"/>
  <c r="L100" i="17"/>
  <c r="J100" i="17"/>
  <c r="I100" i="17"/>
  <c r="R99" i="17"/>
  <c r="O99" i="17"/>
  <c r="L99" i="17"/>
  <c r="J99" i="17"/>
  <c r="I99" i="17"/>
  <c r="H99" i="17"/>
  <c r="G99" i="17"/>
  <c r="A99" i="17"/>
  <c r="A105" i="17" s="1"/>
  <c r="R98" i="17"/>
  <c r="O98" i="17"/>
  <c r="K98" i="17"/>
  <c r="J98" i="17"/>
  <c r="I98" i="17"/>
  <c r="H98" i="17"/>
  <c r="F98" i="17"/>
  <c r="A98" i="17"/>
  <c r="A104" i="17" s="1"/>
  <c r="A110" i="17" s="1"/>
  <c r="A116" i="17" s="1"/>
  <c r="A122" i="17" s="1"/>
  <c r="A128" i="17" s="1"/>
  <c r="A134" i="17" s="1"/>
  <c r="A140" i="17" s="1"/>
  <c r="A146" i="17" s="1"/>
  <c r="A152" i="17" s="1"/>
  <c r="R97" i="17"/>
  <c r="O97" i="17"/>
  <c r="L97" i="17"/>
  <c r="K97" i="17"/>
  <c r="J97" i="17"/>
  <c r="F97" i="17"/>
  <c r="R96" i="17"/>
  <c r="O96" i="17"/>
  <c r="L96" i="17"/>
  <c r="J96" i="17"/>
  <c r="G96" i="17"/>
  <c r="R95" i="17"/>
  <c r="O95" i="17"/>
  <c r="L95" i="17"/>
  <c r="L101" i="17" s="1"/>
  <c r="K95" i="17"/>
  <c r="K101" i="17" s="1"/>
  <c r="J95" i="17"/>
  <c r="J101" i="17" s="1"/>
  <c r="I95" i="17"/>
  <c r="H95" i="17"/>
  <c r="G95" i="17"/>
  <c r="F95" i="17"/>
  <c r="F107" i="17" s="1"/>
  <c r="A95" i="17"/>
  <c r="A101" i="17" s="1"/>
  <c r="A107" i="17" s="1"/>
  <c r="A113" i="17" s="1"/>
  <c r="A119" i="17" s="1"/>
  <c r="A125" i="17" s="1"/>
  <c r="A131" i="17" s="1"/>
  <c r="A137" i="17" s="1"/>
  <c r="A143" i="17" s="1"/>
  <c r="A149" i="17" s="1"/>
  <c r="A155" i="17" s="1"/>
  <c r="R94" i="17"/>
  <c r="O94" i="17"/>
  <c r="L94" i="17"/>
  <c r="K94" i="17"/>
  <c r="K106" i="17" s="1"/>
  <c r="J94" i="17"/>
  <c r="I94" i="17"/>
  <c r="H94" i="17"/>
  <c r="H106" i="17" s="1"/>
  <c r="G94" i="17"/>
  <c r="F94" i="17"/>
  <c r="A94" i="17"/>
  <c r="A100" i="17" s="1"/>
  <c r="A106" i="17" s="1"/>
  <c r="A112" i="17" s="1"/>
  <c r="A118" i="17" s="1"/>
  <c r="A124" i="17" s="1"/>
  <c r="A130" i="17" s="1"/>
  <c r="A136" i="17" s="1"/>
  <c r="A142" i="17" s="1"/>
  <c r="A148" i="17" s="1"/>
  <c r="A154" i="17" s="1"/>
  <c r="R93" i="17"/>
  <c r="O93" i="17"/>
  <c r="L93" i="17"/>
  <c r="K93" i="17"/>
  <c r="K99" i="17" s="1"/>
  <c r="J93" i="17"/>
  <c r="J105" i="17" s="1"/>
  <c r="I93" i="17"/>
  <c r="I105" i="17" s="1"/>
  <c r="H93" i="17"/>
  <c r="G93" i="17"/>
  <c r="F93" i="17"/>
  <c r="F99" i="17" s="1"/>
  <c r="A93" i="17"/>
  <c r="R92" i="17"/>
  <c r="O92" i="17"/>
  <c r="L92" i="17"/>
  <c r="L98" i="17" s="1"/>
  <c r="K92" i="17"/>
  <c r="J92" i="17"/>
  <c r="I92" i="17"/>
  <c r="H92" i="17"/>
  <c r="G92" i="17"/>
  <c r="G98" i="17" s="1"/>
  <c r="F92" i="17"/>
  <c r="A92" i="17"/>
  <c r="R91" i="17"/>
  <c r="O91" i="17"/>
  <c r="L91" i="17"/>
  <c r="K91" i="17"/>
  <c r="J91" i="17"/>
  <c r="J103" i="17" s="1"/>
  <c r="I91" i="17"/>
  <c r="H91" i="17"/>
  <c r="H97" i="17" s="1"/>
  <c r="G91" i="17"/>
  <c r="G97" i="17" s="1"/>
  <c r="F91" i="17"/>
  <c r="F103" i="17" s="1"/>
  <c r="A91" i="17"/>
  <c r="A97" i="17" s="1"/>
  <c r="A103" i="17" s="1"/>
  <c r="A109" i="17" s="1"/>
  <c r="A115" i="17" s="1"/>
  <c r="A121" i="17" s="1"/>
  <c r="A127" i="17" s="1"/>
  <c r="A133" i="17" s="1"/>
  <c r="A139" i="17" s="1"/>
  <c r="A145" i="17" s="1"/>
  <c r="A151" i="17" s="1"/>
  <c r="R90" i="17"/>
  <c r="O90" i="17"/>
  <c r="L90" i="17"/>
  <c r="K90" i="17"/>
  <c r="K96" i="17" s="1"/>
  <c r="J90" i="17"/>
  <c r="I90" i="17"/>
  <c r="I102" i="17" s="1"/>
  <c r="H90" i="17"/>
  <c r="G90" i="17"/>
  <c r="G102" i="17" s="1"/>
  <c r="F90" i="17"/>
  <c r="F96" i="17" s="1"/>
  <c r="A90" i="17"/>
  <c r="A96" i="17" s="1"/>
  <c r="A102" i="17" s="1"/>
  <c r="A108" i="17" s="1"/>
  <c r="A114" i="17" s="1"/>
  <c r="A120" i="17" s="1"/>
  <c r="A126" i="17" s="1"/>
  <c r="A132" i="17" s="1"/>
  <c r="A138" i="17" s="1"/>
  <c r="A144" i="17" s="1"/>
  <c r="A150" i="17" s="1"/>
  <c r="R89" i="17"/>
  <c r="O89" i="17"/>
  <c r="R88" i="17"/>
  <c r="O88" i="17"/>
  <c r="R87" i="17"/>
  <c r="O87" i="17"/>
  <c r="R86" i="17"/>
  <c r="O86" i="17"/>
  <c r="R85" i="17"/>
  <c r="O85" i="17"/>
  <c r="R84" i="17"/>
  <c r="O84" i="17"/>
  <c r="M83" i="17"/>
  <c r="F83" i="17"/>
  <c r="M82" i="17"/>
  <c r="F82" i="17"/>
  <c r="M81" i="17"/>
  <c r="M80" i="17"/>
  <c r="F80" i="17"/>
  <c r="M79" i="17"/>
  <c r="N78" i="17"/>
  <c r="N79" i="17" s="1"/>
  <c r="M78" i="17"/>
  <c r="N77" i="17"/>
  <c r="M77" i="17"/>
  <c r="M76" i="17"/>
  <c r="M75" i="17"/>
  <c r="M73" i="17"/>
  <c r="M72" i="17"/>
  <c r="M71" i="17"/>
  <c r="M70" i="17"/>
  <c r="N69" i="17"/>
  <c r="M69" i="17"/>
  <c r="M68" i="17"/>
  <c r="N67" i="17"/>
  <c r="N68" i="17" s="1"/>
  <c r="M67" i="17"/>
  <c r="M66" i="17"/>
  <c r="M65" i="17"/>
  <c r="M63" i="17"/>
  <c r="F63" i="17"/>
  <c r="M62" i="17"/>
  <c r="F62" i="17"/>
  <c r="M61" i="17"/>
  <c r="F61" i="17"/>
  <c r="F81" i="17" s="1"/>
  <c r="M60" i="17"/>
  <c r="F60" i="17"/>
  <c r="M59" i="17"/>
  <c r="M58" i="17"/>
  <c r="N57" i="17"/>
  <c r="N58" i="17" s="1"/>
  <c r="N59" i="17" s="1"/>
  <c r="M57" i="17"/>
  <c r="M56" i="17"/>
  <c r="M55" i="17"/>
  <c r="F55" i="17"/>
  <c r="F54" i="17"/>
  <c r="M53" i="17"/>
  <c r="M52" i="17"/>
  <c r="M51" i="17"/>
  <c r="M50" i="17"/>
  <c r="M49" i="17"/>
  <c r="M48" i="17"/>
  <c r="N47" i="17"/>
  <c r="N48" i="17" s="1"/>
  <c r="N49" i="17" s="1"/>
  <c r="M47" i="17"/>
  <c r="M46" i="17"/>
  <c r="K46" i="17"/>
  <c r="K47" i="17" s="1"/>
  <c r="M45" i="17"/>
  <c r="K45" i="17"/>
  <c r="M43" i="17"/>
  <c r="M42" i="17"/>
  <c r="M41" i="17"/>
  <c r="M40" i="17"/>
  <c r="M39" i="17"/>
  <c r="M38" i="17"/>
  <c r="N37" i="17"/>
  <c r="N38" i="17" s="1"/>
  <c r="N39" i="17" s="1"/>
  <c r="M37" i="17"/>
  <c r="M36" i="17"/>
  <c r="M35" i="17"/>
  <c r="I35" i="17"/>
  <c r="I36" i="17" s="1"/>
  <c r="I37" i="17" s="1"/>
  <c r="I38" i="17" s="1"/>
  <c r="I39" i="17" s="1"/>
  <c r="I40" i="17" s="1"/>
  <c r="I41" i="17" s="1"/>
  <c r="I42" i="17" s="1"/>
  <c r="I43" i="17" s="1"/>
  <c r="M33" i="17"/>
  <c r="M32" i="17"/>
  <c r="M31" i="17"/>
  <c r="M30" i="17"/>
  <c r="O29" i="17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M29" i="17"/>
  <c r="O28" i="17"/>
  <c r="N28" i="17"/>
  <c r="N29" i="17" s="1"/>
  <c r="M28" i="17"/>
  <c r="N27" i="17"/>
  <c r="M27" i="17"/>
  <c r="O26" i="17"/>
  <c r="O27" i="17" s="1"/>
  <c r="M26" i="17"/>
  <c r="J26" i="17"/>
  <c r="J27" i="17" s="1"/>
  <c r="J28" i="17" s="1"/>
  <c r="J29" i="17" s="1"/>
  <c r="J30" i="17" s="1"/>
  <c r="J31" i="17" s="1"/>
  <c r="J32" i="17" s="1"/>
  <c r="O25" i="17"/>
  <c r="M25" i="17"/>
  <c r="J25" i="17"/>
  <c r="M23" i="17"/>
  <c r="M22" i="17"/>
  <c r="M21" i="17"/>
  <c r="M20" i="17"/>
  <c r="M19" i="17"/>
  <c r="M18" i="17"/>
  <c r="N17" i="17"/>
  <c r="N18" i="17" s="1"/>
  <c r="N19" i="17" s="1"/>
  <c r="M17" i="17"/>
  <c r="M16" i="17"/>
  <c r="M15" i="17"/>
  <c r="H15" i="17"/>
  <c r="H16" i="17" s="1"/>
  <c r="H17" i="17" s="1"/>
  <c r="H18" i="17" s="1"/>
  <c r="H19" i="17" s="1"/>
  <c r="H20" i="17" s="1"/>
  <c r="H21" i="17" s="1"/>
  <c r="H22" i="17" s="1"/>
  <c r="M13" i="17"/>
  <c r="M12" i="17"/>
  <c r="M11" i="17"/>
  <c r="M10" i="17"/>
  <c r="M9" i="17"/>
  <c r="N8" i="17"/>
  <c r="N9" i="17" s="1"/>
  <c r="M8" i="17"/>
  <c r="N7" i="17"/>
  <c r="M7" i="17"/>
  <c r="M6" i="17"/>
  <c r="M5" i="17"/>
  <c r="G5" i="17"/>
  <c r="G6" i="17" s="1"/>
  <c r="G7" i="17" s="1"/>
  <c r="G8" i="17" s="1"/>
  <c r="G9" i="17" s="1"/>
  <c r="G10" i="17" s="1"/>
  <c r="G11" i="17" s="1"/>
  <c r="G12" i="17" s="1"/>
  <c r="G13" i="17" s="1"/>
  <c r="D122" i="16"/>
  <c r="C122" i="16" s="1"/>
  <c r="E122" i="16" s="1"/>
  <c r="B122" i="16"/>
  <c r="E121" i="16"/>
  <c r="D121" i="16"/>
  <c r="C121" i="16"/>
  <c r="B121" i="16"/>
  <c r="E120" i="16"/>
  <c r="D120" i="16"/>
  <c r="C120" i="16" s="1"/>
  <c r="B120" i="16"/>
  <c r="E119" i="16"/>
  <c r="D119" i="16"/>
  <c r="C119" i="16" s="1"/>
  <c r="B119" i="16"/>
  <c r="D118" i="16"/>
  <c r="C118" i="16"/>
  <c r="E118" i="16" s="1"/>
  <c r="B118" i="16"/>
  <c r="E117" i="16"/>
  <c r="D117" i="16"/>
  <c r="C117" i="16"/>
  <c r="B117" i="16"/>
  <c r="D116" i="16"/>
  <c r="C116" i="16" s="1"/>
  <c r="E116" i="16" s="1"/>
  <c r="B116" i="16"/>
  <c r="E115" i="16"/>
  <c r="D115" i="16"/>
  <c r="C115" i="16"/>
  <c r="B115" i="16"/>
  <c r="D114" i="16"/>
  <c r="C114" i="16"/>
  <c r="E114" i="16" s="1"/>
  <c r="B114" i="16"/>
  <c r="E113" i="16"/>
  <c r="D113" i="16"/>
  <c r="C113" i="16" s="1"/>
  <c r="B113" i="16"/>
  <c r="D112" i="16"/>
  <c r="C112" i="16" s="1"/>
  <c r="E112" i="16" s="1"/>
  <c r="B112" i="16"/>
  <c r="D111" i="16"/>
  <c r="C111" i="16" s="1"/>
  <c r="E111" i="16" s="1"/>
  <c r="B111" i="16"/>
  <c r="D110" i="16"/>
  <c r="C110" i="16"/>
  <c r="E110" i="16" s="1"/>
  <c r="B110" i="16"/>
  <c r="D109" i="16"/>
  <c r="C109" i="16" s="1"/>
  <c r="E109" i="16" s="1"/>
  <c r="B109" i="16"/>
  <c r="D108" i="16"/>
  <c r="C108" i="16"/>
  <c r="E108" i="16" s="1"/>
  <c r="B108" i="16"/>
  <c r="E107" i="16"/>
  <c r="D107" i="16"/>
  <c r="C107" i="16"/>
  <c r="B107" i="16"/>
  <c r="D106" i="16"/>
  <c r="C106" i="16" s="1"/>
  <c r="E106" i="16" s="1"/>
  <c r="B106" i="16"/>
  <c r="D105" i="16"/>
  <c r="C105" i="16" s="1"/>
  <c r="E105" i="16" s="1"/>
  <c r="B105" i="16"/>
  <c r="D104" i="16"/>
  <c r="C104" i="16"/>
  <c r="E104" i="16" s="1"/>
  <c r="B104" i="16"/>
  <c r="D103" i="16"/>
  <c r="C103" i="16" s="1"/>
  <c r="E103" i="16" s="1"/>
  <c r="B103" i="16"/>
  <c r="D102" i="16"/>
  <c r="C102" i="16" s="1"/>
  <c r="E102" i="16" s="1"/>
  <c r="B102" i="16"/>
  <c r="D101" i="16"/>
  <c r="C101" i="16"/>
  <c r="E101" i="16" s="1"/>
  <c r="B101" i="16"/>
  <c r="D100" i="16"/>
  <c r="C100" i="16"/>
  <c r="E100" i="16" s="1"/>
  <c r="B100" i="16"/>
  <c r="E99" i="16"/>
  <c r="D99" i="16"/>
  <c r="C99" i="16" s="1"/>
  <c r="B99" i="16"/>
  <c r="E98" i="16"/>
  <c r="D98" i="16"/>
  <c r="C98" i="16" s="1"/>
  <c r="B98" i="16"/>
  <c r="D97" i="16"/>
  <c r="C97" i="16"/>
  <c r="E97" i="16" s="1"/>
  <c r="B97" i="16"/>
  <c r="D96" i="16"/>
  <c r="C96" i="16"/>
  <c r="E96" i="16" s="1"/>
  <c r="B96" i="16"/>
  <c r="D95" i="16"/>
  <c r="C95" i="16" s="1"/>
  <c r="E95" i="16" s="1"/>
  <c r="B95" i="16"/>
  <c r="D94" i="16"/>
  <c r="C94" i="16"/>
  <c r="E94" i="16" s="1"/>
  <c r="B94" i="16"/>
  <c r="D93" i="16"/>
  <c r="C93" i="16"/>
  <c r="E93" i="16" s="1"/>
  <c r="B93" i="16"/>
  <c r="E92" i="16"/>
  <c r="D92" i="16"/>
  <c r="C92" i="16" s="1"/>
  <c r="B92" i="16"/>
  <c r="D91" i="16"/>
  <c r="C91" i="16" s="1"/>
  <c r="E91" i="16" s="1"/>
  <c r="B91" i="16"/>
  <c r="D90" i="16"/>
  <c r="C90" i="16" s="1"/>
  <c r="E90" i="16" s="1"/>
  <c r="B90" i="16"/>
  <c r="D89" i="16"/>
  <c r="C89" i="16"/>
  <c r="E89" i="16" s="1"/>
  <c r="B89" i="16"/>
  <c r="D88" i="16"/>
  <c r="C88" i="16" s="1"/>
  <c r="E88" i="16" s="1"/>
  <c r="B88" i="16"/>
  <c r="D87" i="16"/>
  <c r="C87" i="16" s="1"/>
  <c r="E87" i="16" s="1"/>
  <c r="B87" i="16"/>
  <c r="D86" i="16"/>
  <c r="C86" i="16"/>
  <c r="E86" i="16" s="1"/>
  <c r="B86" i="16"/>
  <c r="E85" i="16"/>
  <c r="D85" i="16"/>
  <c r="C85" i="16" s="1"/>
  <c r="B85" i="16"/>
  <c r="D84" i="16"/>
  <c r="C84" i="16" s="1"/>
  <c r="E84" i="16" s="1"/>
  <c r="B84" i="16"/>
  <c r="D83" i="16"/>
  <c r="C83" i="16"/>
  <c r="E83" i="16" s="1"/>
  <c r="B83" i="16"/>
  <c r="D82" i="16"/>
  <c r="C82" i="16" s="1"/>
  <c r="E82" i="16" s="1"/>
  <c r="B82" i="16"/>
  <c r="D81" i="16"/>
  <c r="C81" i="16" s="1"/>
  <c r="E81" i="16" s="1"/>
  <c r="B81" i="16"/>
  <c r="E80" i="16"/>
  <c r="D80" i="16"/>
  <c r="C80" i="16"/>
  <c r="B80" i="16"/>
  <c r="E79" i="16"/>
  <c r="D79" i="16"/>
  <c r="C79" i="16"/>
  <c r="B79" i="16"/>
  <c r="E78" i="16"/>
  <c r="D78" i="16"/>
  <c r="C78" i="16" s="1"/>
  <c r="B78" i="16"/>
  <c r="D77" i="16"/>
  <c r="C77" i="16" s="1"/>
  <c r="E77" i="16" s="1"/>
  <c r="B77" i="16"/>
  <c r="E76" i="16"/>
  <c r="D76" i="16"/>
  <c r="C76" i="16"/>
  <c r="B76" i="16"/>
  <c r="D75" i="16"/>
  <c r="C75" i="16"/>
  <c r="E75" i="16" s="1"/>
  <c r="B75" i="16"/>
  <c r="D74" i="16"/>
  <c r="C74" i="16" s="1"/>
  <c r="E74" i="16" s="1"/>
  <c r="B74" i="16"/>
  <c r="D73" i="16"/>
  <c r="C73" i="16" s="1"/>
  <c r="E73" i="16" s="1"/>
  <c r="B73" i="16"/>
  <c r="E72" i="16"/>
  <c r="D72" i="16"/>
  <c r="C72" i="16"/>
  <c r="B72" i="16"/>
  <c r="E71" i="16"/>
  <c r="D71" i="16"/>
  <c r="C71" i="16" s="1"/>
  <c r="B71" i="16"/>
  <c r="E70" i="16"/>
  <c r="D70" i="16"/>
  <c r="C70" i="16" s="1"/>
  <c r="B70" i="16"/>
  <c r="D69" i="16"/>
  <c r="C69" i="16"/>
  <c r="E69" i="16" s="1"/>
  <c r="B69" i="16"/>
  <c r="E68" i="16"/>
  <c r="D68" i="16"/>
  <c r="C68" i="16"/>
  <c r="B68" i="16"/>
  <c r="D67" i="16"/>
  <c r="C67" i="16" s="1"/>
  <c r="E67" i="16" s="1"/>
  <c r="B67" i="16"/>
  <c r="E66" i="16"/>
  <c r="D66" i="16"/>
  <c r="C66" i="16"/>
  <c r="B66" i="16"/>
  <c r="D65" i="16"/>
  <c r="C65" i="16"/>
  <c r="E65" i="16" s="1"/>
  <c r="B65" i="16"/>
  <c r="E64" i="16"/>
  <c r="D64" i="16"/>
  <c r="C64" i="16" s="1"/>
  <c r="B64" i="16"/>
  <c r="D63" i="16"/>
  <c r="C63" i="16" s="1"/>
  <c r="E63" i="16" s="1"/>
  <c r="B63" i="16"/>
  <c r="D62" i="16"/>
  <c r="C62" i="16" s="1"/>
  <c r="E62" i="16" s="1"/>
  <c r="B62" i="16"/>
  <c r="D61" i="16"/>
  <c r="C61" i="16"/>
  <c r="E61" i="16" s="1"/>
  <c r="B61" i="16"/>
  <c r="D60" i="16"/>
  <c r="C60" i="16" s="1"/>
  <c r="E60" i="16" s="1"/>
  <c r="B60" i="16"/>
  <c r="D59" i="16"/>
  <c r="C59" i="16"/>
  <c r="E59" i="16" s="1"/>
  <c r="B59" i="16"/>
  <c r="E58" i="16"/>
  <c r="D58" i="16"/>
  <c r="C58" i="16"/>
  <c r="B58" i="16"/>
  <c r="D57" i="16"/>
  <c r="C57" i="16" s="1"/>
  <c r="E57" i="16" s="1"/>
  <c r="B57" i="16"/>
  <c r="D56" i="16"/>
  <c r="C56" i="16" s="1"/>
  <c r="E56" i="16" s="1"/>
  <c r="B56" i="16"/>
  <c r="D55" i="16"/>
  <c r="C55" i="16"/>
  <c r="E55" i="16" s="1"/>
  <c r="B55" i="16"/>
  <c r="D54" i="16"/>
  <c r="C54" i="16" s="1"/>
  <c r="E54" i="16" s="1"/>
  <c r="B54" i="16"/>
  <c r="D53" i="16"/>
  <c r="C53" i="16" s="1"/>
  <c r="E53" i="16" s="1"/>
  <c r="B53" i="16"/>
  <c r="D52" i="16"/>
  <c r="C52" i="16"/>
  <c r="E52" i="16" s="1"/>
  <c r="B52" i="16"/>
  <c r="D51" i="16"/>
  <c r="C51" i="16"/>
  <c r="E51" i="16" s="1"/>
  <c r="B51" i="16"/>
  <c r="E50" i="16"/>
  <c r="D50" i="16"/>
  <c r="C50" i="16" s="1"/>
  <c r="B50" i="16"/>
  <c r="E49" i="16"/>
  <c r="D49" i="16"/>
  <c r="C49" i="16" s="1"/>
  <c r="B49" i="16"/>
  <c r="D48" i="16"/>
  <c r="C48" i="16"/>
  <c r="E48" i="16" s="1"/>
  <c r="B48" i="16"/>
  <c r="D47" i="16"/>
  <c r="C47" i="16"/>
  <c r="E47" i="16" s="1"/>
  <c r="B47" i="16"/>
  <c r="D46" i="16"/>
  <c r="C46" i="16" s="1"/>
  <c r="E46" i="16" s="1"/>
  <c r="B46" i="16"/>
  <c r="D45" i="16"/>
  <c r="C45" i="16"/>
  <c r="E45" i="16" s="1"/>
  <c r="B45" i="16"/>
  <c r="D44" i="16"/>
  <c r="C44" i="16"/>
  <c r="E44" i="16" s="1"/>
  <c r="B44" i="16"/>
  <c r="E43" i="16"/>
  <c r="D43" i="16"/>
  <c r="C43" i="16" s="1"/>
  <c r="B43" i="16"/>
  <c r="D42" i="16"/>
  <c r="C42" i="16" s="1"/>
  <c r="E42" i="16" s="1"/>
  <c r="B42" i="16"/>
  <c r="D41" i="16"/>
  <c r="C41" i="16" s="1"/>
  <c r="E41" i="16" s="1"/>
  <c r="B41" i="16"/>
  <c r="D40" i="16"/>
  <c r="C40" i="16"/>
  <c r="E40" i="16" s="1"/>
  <c r="B40" i="16"/>
  <c r="D39" i="16"/>
  <c r="C39" i="16" s="1"/>
  <c r="E39" i="16" s="1"/>
  <c r="B39" i="16"/>
  <c r="D38" i="16"/>
  <c r="C38" i="16" s="1"/>
  <c r="E38" i="16" s="1"/>
  <c r="B38" i="16"/>
  <c r="D37" i="16"/>
  <c r="C37" i="16"/>
  <c r="E37" i="16" s="1"/>
  <c r="B37" i="16"/>
  <c r="E36" i="16"/>
  <c r="D36" i="16"/>
  <c r="C36" i="16" s="1"/>
  <c r="B36" i="16"/>
  <c r="D35" i="16"/>
  <c r="C35" i="16" s="1"/>
  <c r="E35" i="16" s="1"/>
  <c r="B35" i="16"/>
  <c r="D34" i="16"/>
  <c r="C34" i="16"/>
  <c r="E34" i="16" s="1"/>
  <c r="B34" i="16"/>
  <c r="D33" i="16"/>
  <c r="C33" i="16" s="1"/>
  <c r="E33" i="16" s="1"/>
  <c r="B33" i="16"/>
  <c r="D32" i="16"/>
  <c r="C32" i="16" s="1"/>
  <c r="E32" i="16" s="1"/>
  <c r="B32" i="16"/>
  <c r="E31" i="16"/>
  <c r="D31" i="16"/>
  <c r="C31" i="16"/>
  <c r="B31" i="16"/>
  <c r="E30" i="16"/>
  <c r="D30" i="16"/>
  <c r="C30" i="16"/>
  <c r="B30" i="16"/>
  <c r="E29" i="16"/>
  <c r="D29" i="16"/>
  <c r="C29" i="16" s="1"/>
  <c r="B29" i="16"/>
  <c r="D28" i="16"/>
  <c r="C28" i="16" s="1"/>
  <c r="E28" i="16" s="1"/>
  <c r="B28" i="16"/>
  <c r="E27" i="16"/>
  <c r="D27" i="16"/>
  <c r="C27" i="16"/>
  <c r="B27" i="16"/>
  <c r="D26" i="16"/>
  <c r="C26" i="16"/>
  <c r="E26" i="16" s="1"/>
  <c r="B26" i="16"/>
  <c r="D25" i="16"/>
  <c r="C25" i="16" s="1"/>
  <c r="E25" i="16" s="1"/>
  <c r="B25" i="16"/>
  <c r="D24" i="16"/>
  <c r="C24" i="16" s="1"/>
  <c r="E24" i="16" s="1"/>
  <c r="B24" i="16"/>
  <c r="E23" i="16"/>
  <c r="D23" i="16"/>
  <c r="C23" i="16"/>
  <c r="B23" i="16"/>
  <c r="E22" i="16"/>
  <c r="D22" i="16"/>
  <c r="C22" i="16" s="1"/>
  <c r="B22" i="16"/>
  <c r="E21" i="16"/>
  <c r="D21" i="16"/>
  <c r="C21" i="16" s="1"/>
  <c r="B21" i="16"/>
  <c r="D20" i="16"/>
  <c r="C20" i="16" s="1"/>
  <c r="E20" i="16" s="1"/>
  <c r="B20" i="16"/>
  <c r="E19" i="16"/>
  <c r="D19" i="16"/>
  <c r="C19" i="16"/>
  <c r="B19" i="16"/>
  <c r="D18" i="16"/>
  <c r="C18" i="16" s="1"/>
  <c r="E18" i="16" s="1"/>
  <c r="B18" i="16"/>
  <c r="E17" i="16"/>
  <c r="D17" i="16"/>
  <c r="C17" i="16"/>
  <c r="B17" i="16"/>
  <c r="D16" i="16"/>
  <c r="C16" i="16"/>
  <c r="E16" i="16" s="1"/>
  <c r="B16" i="16"/>
  <c r="E15" i="16"/>
  <c r="D15" i="16"/>
  <c r="C15" i="16" s="1"/>
  <c r="B15" i="16"/>
  <c r="D14" i="16"/>
  <c r="C14" i="16" s="1"/>
  <c r="E14" i="16" s="1"/>
  <c r="B14" i="16"/>
  <c r="D13" i="16"/>
  <c r="C13" i="16" s="1"/>
  <c r="E13" i="16" s="1"/>
  <c r="B13" i="16"/>
  <c r="D12" i="16"/>
  <c r="C12" i="16" s="1"/>
  <c r="E12" i="16" s="1"/>
  <c r="B12" i="16"/>
  <c r="D11" i="16"/>
  <c r="C11" i="16" s="1"/>
  <c r="E11" i="16" s="1"/>
  <c r="B11" i="16"/>
  <c r="D10" i="16"/>
  <c r="C10" i="16"/>
  <c r="E10" i="16" s="1"/>
  <c r="B10" i="16"/>
  <c r="E9" i="16"/>
  <c r="D9" i="16"/>
  <c r="C9" i="16"/>
  <c r="B9" i="16"/>
  <c r="D8" i="16"/>
  <c r="C8" i="16" s="1"/>
  <c r="E8" i="16" s="1"/>
  <c r="B8" i="16"/>
  <c r="D7" i="16"/>
  <c r="C7" i="16" s="1"/>
  <c r="E7" i="16" s="1"/>
  <c r="B7" i="16"/>
  <c r="D6" i="16"/>
  <c r="C6" i="16"/>
  <c r="E6" i="16" s="1"/>
  <c r="B6" i="16"/>
  <c r="D5" i="16"/>
  <c r="C5" i="16" s="1"/>
  <c r="E5" i="16" s="1"/>
  <c r="B5" i="16"/>
  <c r="D4" i="16"/>
  <c r="C4" i="16" s="1"/>
  <c r="E4" i="16" s="1"/>
  <c r="B4" i="16"/>
  <c r="D3" i="16"/>
  <c r="C3" i="16"/>
  <c r="E3" i="16" s="1"/>
  <c r="B3" i="16"/>
  <c r="D2" i="16"/>
  <c r="C2" i="16"/>
  <c r="E2" i="16" s="1"/>
  <c r="B2" i="16"/>
  <c r="B11" i="14"/>
  <c r="B10" i="14"/>
  <c r="B9" i="14"/>
  <c r="B8" i="14"/>
  <c r="B7" i="14"/>
  <c r="B6" i="14"/>
  <c r="B5" i="14"/>
  <c r="B4" i="14"/>
  <c r="B3" i="14"/>
  <c r="B2" i="14"/>
  <c r="S166" i="11"/>
  <c r="S167" i="11" s="1"/>
  <c r="S168" i="11" s="1"/>
  <c r="S169" i="11" s="1"/>
  <c r="S170" i="11" s="1"/>
  <c r="S171" i="11" s="1"/>
  <c r="S172" i="11" s="1"/>
  <c r="S173" i="11" s="1"/>
  <c r="S174" i="11" s="1"/>
  <c r="S175" i="11" s="1"/>
  <c r="Q166" i="11"/>
  <c r="Q167" i="11" s="1"/>
  <c r="Q168" i="11" s="1"/>
  <c r="Q169" i="11" s="1"/>
  <c r="Q170" i="11" s="1"/>
  <c r="Q171" i="11" s="1"/>
  <c r="Q172" i="11" s="1"/>
  <c r="Q173" i="11" s="1"/>
  <c r="Q174" i="11" s="1"/>
  <c r="Q175" i="11" s="1"/>
  <c r="P166" i="11"/>
  <c r="P167" i="11" s="1"/>
  <c r="P168" i="11" s="1"/>
  <c r="P169" i="11" s="1"/>
  <c r="P170" i="11" s="1"/>
  <c r="P171" i="11" s="1"/>
  <c r="P172" i="11" s="1"/>
  <c r="P173" i="11" s="1"/>
  <c r="P174" i="11" s="1"/>
  <c r="P175" i="11" s="1"/>
  <c r="O166" i="11"/>
  <c r="O167" i="11" s="1"/>
  <c r="O168" i="11" s="1"/>
  <c r="O169" i="11" s="1"/>
  <c r="O170" i="11" s="1"/>
  <c r="O171" i="11" s="1"/>
  <c r="O172" i="11" s="1"/>
  <c r="O173" i="11" s="1"/>
  <c r="O174" i="11" s="1"/>
  <c r="O175" i="11" s="1"/>
  <c r="N166" i="11"/>
  <c r="N167" i="11" s="1"/>
  <c r="N168" i="11" s="1"/>
  <c r="N169" i="11" s="1"/>
  <c r="N170" i="11" s="1"/>
  <c r="N171" i="11" s="1"/>
  <c r="N172" i="11" s="1"/>
  <c r="N173" i="11" s="1"/>
  <c r="N174" i="11" s="1"/>
  <c r="N175" i="11" s="1"/>
  <c r="E166" i="11"/>
  <c r="E167" i="11" s="1"/>
  <c r="E168" i="11" s="1"/>
  <c r="E169" i="11" s="1"/>
  <c r="E170" i="11" s="1"/>
  <c r="E171" i="11" s="1"/>
  <c r="E172" i="11" s="1"/>
  <c r="E173" i="11" s="1"/>
  <c r="E174" i="11" s="1"/>
  <c r="E175" i="11" s="1"/>
  <c r="S165" i="11"/>
  <c r="R165" i="11"/>
  <c r="R166" i="11" s="1"/>
  <c r="R167" i="11" s="1"/>
  <c r="R168" i="11" s="1"/>
  <c r="R169" i="11" s="1"/>
  <c r="R170" i="11" s="1"/>
  <c r="R171" i="11" s="1"/>
  <c r="R172" i="11" s="1"/>
  <c r="R173" i="11" s="1"/>
  <c r="R174" i="11" s="1"/>
  <c r="R175" i="11" s="1"/>
  <c r="Q165" i="11"/>
  <c r="P165" i="11"/>
  <c r="O165" i="11"/>
  <c r="N165" i="11"/>
  <c r="E165" i="11"/>
  <c r="V147" i="11"/>
  <c r="H147" i="11"/>
  <c r="E147" i="11"/>
  <c r="V146" i="11"/>
  <c r="H146" i="11"/>
  <c r="E146" i="11"/>
  <c r="Z69" i="11"/>
  <c r="W69" i="11"/>
  <c r="V69" i="11"/>
  <c r="F69" i="11"/>
  <c r="E69" i="11"/>
  <c r="Z68" i="11"/>
  <c r="W68" i="11"/>
  <c r="V68" i="11"/>
  <c r="F68" i="11"/>
  <c r="E68" i="11"/>
  <c r="Z67" i="11"/>
  <c r="W67" i="11"/>
  <c r="V67" i="11"/>
  <c r="F67" i="11"/>
  <c r="E67" i="11"/>
  <c r="Z66" i="11"/>
  <c r="W66" i="11"/>
  <c r="V66" i="11"/>
  <c r="F66" i="11"/>
  <c r="E66" i="11"/>
  <c r="Z65" i="11"/>
  <c r="W65" i="11"/>
  <c r="V65" i="11"/>
  <c r="F65" i="11"/>
  <c r="E65" i="11"/>
  <c r="Z64" i="11"/>
  <c r="W64" i="11"/>
  <c r="V64" i="11"/>
  <c r="F64" i="11"/>
  <c r="E64" i="11"/>
  <c r="Z63" i="11"/>
  <c r="W63" i="11"/>
  <c r="V63" i="11"/>
  <c r="F63" i="11"/>
  <c r="E63" i="11"/>
  <c r="Z62" i="11"/>
  <c r="W62" i="11"/>
  <c r="V62" i="11"/>
  <c r="F62" i="11"/>
  <c r="E62" i="11"/>
  <c r="Z61" i="11"/>
  <c r="W61" i="11"/>
  <c r="V61" i="11"/>
  <c r="F61" i="11"/>
  <c r="E61" i="11"/>
  <c r="Z60" i="11"/>
  <c r="W60" i="11"/>
  <c r="V60" i="11"/>
  <c r="F60" i="11"/>
  <c r="E60" i="11"/>
  <c r="Z59" i="11"/>
  <c r="W59" i="11"/>
  <c r="V59" i="11"/>
  <c r="F59" i="11"/>
  <c r="E59" i="11"/>
  <c r="Z58" i="11"/>
  <c r="W58" i="11"/>
  <c r="V58" i="11"/>
  <c r="F58" i="11"/>
  <c r="E58" i="11"/>
  <c r="Z57" i="11"/>
  <c r="W57" i="11"/>
  <c r="V57" i="11"/>
  <c r="F57" i="11"/>
  <c r="E57" i="11"/>
  <c r="Z56" i="11"/>
  <c r="W56" i="11"/>
  <c r="V56" i="11"/>
  <c r="F56" i="11"/>
  <c r="E56" i="11"/>
  <c r="Z55" i="11"/>
  <c r="W55" i="11"/>
  <c r="V55" i="11"/>
  <c r="F55" i="11"/>
  <c r="E55" i="11"/>
  <c r="Z54" i="11"/>
  <c r="W54" i="11"/>
  <c r="V54" i="11"/>
  <c r="F54" i="11"/>
  <c r="E54" i="11"/>
  <c r="T48" i="11"/>
  <c r="R48" i="11"/>
  <c r="Q48" i="11"/>
  <c r="P48" i="11"/>
  <c r="O48" i="11"/>
  <c r="N48" i="11"/>
  <c r="M48" i="11"/>
  <c r="H48" i="11"/>
  <c r="T47" i="11"/>
  <c r="R47" i="11"/>
  <c r="Q47" i="11"/>
  <c r="P47" i="11"/>
  <c r="O47" i="11"/>
  <c r="N47" i="11"/>
  <c r="M47" i="11"/>
  <c r="H47" i="11"/>
  <c r="T46" i="11"/>
  <c r="R46" i="11"/>
  <c r="Q46" i="11"/>
  <c r="P46" i="11"/>
  <c r="O46" i="11"/>
  <c r="N46" i="11"/>
  <c r="M46" i="11"/>
  <c r="H46" i="11"/>
  <c r="T45" i="11"/>
  <c r="R45" i="11"/>
  <c r="Q45" i="11"/>
  <c r="P45" i="11"/>
  <c r="O45" i="11"/>
  <c r="N45" i="11"/>
  <c r="M45" i="11"/>
  <c r="H45" i="11"/>
  <c r="T44" i="11"/>
  <c r="R44" i="11"/>
  <c r="Q44" i="11"/>
  <c r="P44" i="11"/>
  <c r="O44" i="11"/>
  <c r="N44" i="11"/>
  <c r="M44" i="11"/>
  <c r="H44" i="11"/>
  <c r="A44" i="11"/>
  <c r="A45" i="11" s="1"/>
  <c r="A46" i="11" s="1"/>
  <c r="A47" i="11" s="1"/>
  <c r="A48" i="11" s="1"/>
  <c r="T43" i="11"/>
  <c r="R43" i="11"/>
  <c r="Q43" i="11"/>
  <c r="P43" i="11"/>
  <c r="O43" i="11"/>
  <c r="O42" i="11" s="1"/>
  <c r="N43" i="11"/>
  <c r="N42" i="11" s="1"/>
  <c r="M43" i="11"/>
  <c r="H43" i="11"/>
  <c r="A43" i="11"/>
  <c r="R42" i="11"/>
  <c r="Q42" i="11"/>
  <c r="P42" i="11"/>
  <c r="K42" i="11"/>
  <c r="J42" i="11"/>
  <c r="H42" i="11"/>
  <c r="M41" i="11"/>
  <c r="K41" i="11"/>
  <c r="J41" i="11"/>
  <c r="H41" i="11"/>
  <c r="M40" i="11"/>
  <c r="J40" i="11"/>
  <c r="K40" i="11" s="1"/>
  <c r="H40" i="11"/>
  <c r="M39" i="11"/>
  <c r="J39" i="11"/>
  <c r="K39" i="11" s="1"/>
  <c r="H39" i="11"/>
  <c r="M38" i="11"/>
  <c r="K38" i="11"/>
  <c r="J38" i="11"/>
  <c r="H38" i="11"/>
  <c r="M37" i="11"/>
  <c r="J37" i="11"/>
  <c r="K37" i="11" s="1"/>
  <c r="H37" i="11"/>
  <c r="M36" i="11"/>
  <c r="J36" i="11"/>
  <c r="K36" i="11" s="1"/>
  <c r="H36" i="11"/>
  <c r="Z33" i="11"/>
  <c r="Y33" i="11"/>
  <c r="V33" i="11"/>
  <c r="F33" i="11"/>
  <c r="Z32" i="11"/>
  <c r="Y32" i="11"/>
  <c r="V32" i="11"/>
  <c r="F32" i="11"/>
  <c r="Z31" i="11"/>
  <c r="Y31" i="11"/>
  <c r="V31" i="11"/>
  <c r="F31" i="11"/>
  <c r="Z30" i="11"/>
  <c r="Y30" i="11"/>
  <c r="V30" i="11"/>
  <c r="F30" i="11"/>
  <c r="Z29" i="11"/>
  <c r="Y29" i="11"/>
  <c r="V29" i="11"/>
  <c r="F29" i="11"/>
  <c r="Z28" i="11"/>
  <c r="Y28" i="11"/>
  <c r="V28" i="11"/>
  <c r="F28" i="11"/>
  <c r="Z27" i="11"/>
  <c r="Y27" i="11"/>
  <c r="V27" i="11"/>
  <c r="F27" i="11"/>
  <c r="Z26" i="11"/>
  <c r="Y26" i="11"/>
  <c r="V26" i="11"/>
  <c r="F26" i="11"/>
  <c r="Z25" i="11"/>
  <c r="Y25" i="11"/>
  <c r="V25" i="11"/>
  <c r="F25" i="11"/>
  <c r="Z24" i="11"/>
  <c r="Y24" i="11"/>
  <c r="V24" i="11"/>
  <c r="F24" i="11"/>
  <c r="Z23" i="11"/>
  <c r="Y23" i="11"/>
  <c r="V23" i="11"/>
  <c r="F23" i="11"/>
  <c r="Z22" i="11"/>
  <c r="Y22" i="11"/>
  <c r="V22" i="11"/>
  <c r="F22" i="11"/>
  <c r="Z21" i="11"/>
  <c r="Y21" i="11"/>
  <c r="V21" i="11"/>
  <c r="F21" i="11"/>
  <c r="Z20" i="11"/>
  <c r="Y20" i="11"/>
  <c r="V20" i="11"/>
  <c r="F20" i="11"/>
  <c r="Z19" i="11"/>
  <c r="Y19" i="11"/>
  <c r="V19" i="11"/>
  <c r="F19" i="11"/>
  <c r="Z18" i="11"/>
  <c r="Y18" i="11"/>
  <c r="V18" i="11"/>
  <c r="K18" i="11"/>
  <c r="AG18" i="11" s="1"/>
  <c r="AH18" i="11" s="1"/>
  <c r="AI18" i="11" s="1"/>
  <c r="J18" i="11"/>
  <c r="AB18" i="11" s="1"/>
  <c r="AC18" i="11" s="1"/>
  <c r="AD18" i="11" s="1"/>
  <c r="F18" i="11"/>
  <c r="AG17" i="11"/>
  <c r="AH17" i="11" s="1"/>
  <c r="AI17" i="11" s="1"/>
  <c r="AB17" i="11"/>
  <c r="AC17" i="11" s="1"/>
  <c r="AD17" i="11" s="1"/>
  <c r="Z17" i="11"/>
  <c r="Y17" i="11"/>
  <c r="V17" i="11"/>
  <c r="F17" i="11"/>
  <c r="AH16" i="11"/>
  <c r="AI16" i="11" s="1"/>
  <c r="AG16" i="11"/>
  <c r="AC16" i="11"/>
  <c r="AD16" i="11" s="1"/>
  <c r="AB16" i="11"/>
  <c r="Z16" i="11"/>
  <c r="Y16" i="11"/>
  <c r="V16" i="11"/>
  <c r="F16" i="11"/>
  <c r="AG15" i="11"/>
  <c r="AH15" i="11" s="1"/>
  <c r="AI15" i="11" s="1"/>
  <c r="AB15" i="11"/>
  <c r="AC15" i="11" s="1"/>
  <c r="AD15" i="11" s="1"/>
  <c r="Z15" i="11"/>
  <c r="Y15" i="11"/>
  <c r="V15" i="11"/>
  <c r="F15" i="11"/>
  <c r="Z14" i="11"/>
  <c r="Y14" i="11"/>
  <c r="V14" i="11"/>
  <c r="F14" i="11"/>
  <c r="Z13" i="11"/>
  <c r="Y13" i="11"/>
  <c r="V13" i="11"/>
  <c r="F13" i="11"/>
  <c r="Z12" i="11"/>
  <c r="Y12" i="11"/>
  <c r="V12" i="11"/>
  <c r="F12" i="11"/>
  <c r="Z11" i="11"/>
  <c r="Y11" i="11"/>
  <c r="V11" i="11"/>
  <c r="G11" i="11"/>
  <c r="F11" i="11"/>
  <c r="Z10" i="11"/>
  <c r="Y10" i="11"/>
  <c r="V10" i="11"/>
  <c r="F10" i="11"/>
  <c r="Z9" i="11"/>
  <c r="Y9" i="11"/>
  <c r="V9" i="11"/>
  <c r="G9" i="11"/>
  <c r="F9" i="11"/>
  <c r="Z8" i="11"/>
  <c r="Y8" i="11"/>
  <c r="V8" i="11"/>
  <c r="G8" i="11"/>
  <c r="F8" i="11"/>
  <c r="Z7" i="11"/>
  <c r="Y7" i="11"/>
  <c r="V7" i="11"/>
  <c r="G7" i="11"/>
  <c r="F7" i="11"/>
  <c r="A7" i="11"/>
  <c r="A8" i="11" s="1"/>
  <c r="Z6" i="11"/>
  <c r="Y6" i="11"/>
  <c r="V6" i="11"/>
  <c r="F6" i="11"/>
  <c r="A6" i="11"/>
  <c r="A23" i="20" s="1"/>
  <c r="Z5" i="11"/>
  <c r="Y5" i="11"/>
  <c r="V5" i="11"/>
  <c r="J5" i="11"/>
  <c r="K5" i="11" s="1"/>
  <c r="G5" i="11"/>
  <c r="F5" i="11"/>
  <c r="A5" i="11"/>
  <c r="Z4" i="11"/>
  <c r="Y4" i="11"/>
  <c r="V4" i="11"/>
  <c r="J4" i="11"/>
  <c r="K4" i="11" s="1"/>
  <c r="G4" i="11"/>
  <c r="F4" i="11"/>
  <c r="A4" i="11"/>
  <c r="Z3" i="11"/>
  <c r="Y3" i="11"/>
  <c r="V3" i="11"/>
  <c r="J3" i="11"/>
  <c r="AB3" i="11" s="1"/>
  <c r="AC3" i="11" s="1"/>
  <c r="G3" i="11"/>
  <c r="F3" i="11"/>
  <c r="W327" i="10"/>
  <c r="W326" i="10"/>
  <c r="W325" i="10"/>
  <c r="W324" i="10"/>
  <c r="W323" i="10"/>
  <c r="W322" i="10"/>
  <c r="W321" i="10"/>
  <c r="W320" i="10"/>
  <c r="W319" i="10"/>
  <c r="W318" i="10"/>
  <c r="W317" i="10"/>
  <c r="W316" i="10"/>
  <c r="W315" i="10"/>
  <c r="W314" i="10"/>
  <c r="W313" i="10"/>
  <c r="A313" i="10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W312" i="10"/>
  <c r="W305" i="10"/>
  <c r="W304" i="10"/>
  <c r="W303" i="10"/>
  <c r="W302" i="10"/>
  <c r="W301" i="10"/>
  <c r="W300" i="10"/>
  <c r="W299" i="10"/>
  <c r="W298" i="10"/>
  <c r="W297" i="10"/>
  <c r="W296" i="10"/>
  <c r="W295" i="10"/>
  <c r="W294" i="10"/>
  <c r="W187" i="10"/>
  <c r="W186" i="10"/>
  <c r="W185" i="10"/>
  <c r="W184" i="10"/>
  <c r="W183" i="10"/>
  <c r="W182" i="10"/>
  <c r="W181" i="10"/>
  <c r="W180" i="10"/>
  <c r="W179" i="10"/>
  <c r="V179" i="10"/>
  <c r="V180" i="10" s="1"/>
  <c r="W178" i="10"/>
  <c r="C178" i="10"/>
  <c r="W177" i="10"/>
  <c r="W176" i="10"/>
  <c r="W175" i="10"/>
  <c r="W174" i="10"/>
  <c r="W173" i="10"/>
  <c r="W172" i="10"/>
  <c r="W171" i="10"/>
  <c r="U171" i="10"/>
  <c r="U172" i="10" s="1"/>
  <c r="C171" i="10"/>
  <c r="W170" i="10"/>
  <c r="W169" i="10"/>
  <c r="U169" i="10"/>
  <c r="U170" i="10" s="1"/>
  <c r="C170" i="10" s="1"/>
  <c r="C169" i="10"/>
  <c r="W168" i="10"/>
  <c r="C168" i="10"/>
  <c r="W167" i="10"/>
  <c r="W166" i="10"/>
  <c r="W165" i="10"/>
  <c r="W164" i="10"/>
  <c r="W163" i="10"/>
  <c r="W162" i="10"/>
  <c r="W161" i="10"/>
  <c r="T161" i="10"/>
  <c r="T162" i="10" s="1"/>
  <c r="C161" i="10"/>
  <c r="W160" i="10"/>
  <c r="C160" i="10"/>
  <c r="W159" i="10"/>
  <c r="T159" i="10"/>
  <c r="T160" i="10" s="1"/>
  <c r="C159" i="10"/>
  <c r="W158" i="10"/>
  <c r="C158" i="10"/>
  <c r="W157" i="10"/>
  <c r="W156" i="10"/>
  <c r="W155" i="10"/>
  <c r="W154" i="10"/>
  <c r="W153" i="10"/>
  <c r="W152" i="10"/>
  <c r="W151" i="10"/>
  <c r="W150" i="10"/>
  <c r="W149" i="10"/>
  <c r="S149" i="10"/>
  <c r="S150" i="10" s="1"/>
  <c r="C149" i="10"/>
  <c r="W148" i="10"/>
  <c r="C148" i="10"/>
  <c r="W147" i="10"/>
  <c r="W146" i="10"/>
  <c r="W145" i="10"/>
  <c r="W144" i="10"/>
  <c r="W143" i="10"/>
  <c r="W142" i="10"/>
  <c r="W141" i="10"/>
  <c r="W140" i="10"/>
  <c r="W139" i="10"/>
  <c r="J139" i="10"/>
  <c r="J140" i="10" s="1"/>
  <c r="C139" i="10"/>
  <c r="W138" i="10"/>
  <c r="C138" i="10"/>
  <c r="W137" i="10"/>
  <c r="W136" i="10"/>
  <c r="W135" i="10"/>
  <c r="W134" i="10"/>
  <c r="W133" i="10"/>
  <c r="W132" i="10"/>
  <c r="W131" i="10"/>
  <c r="W130" i="10"/>
  <c r="K130" i="10"/>
  <c r="K131" i="10" s="1"/>
  <c r="K132" i="10" s="1"/>
  <c r="W129" i="10"/>
  <c r="K129" i="10"/>
  <c r="C129" i="10"/>
  <c r="W128" i="10"/>
  <c r="C128" i="10"/>
  <c r="W127" i="10"/>
  <c r="W126" i="10"/>
  <c r="W125" i="10"/>
  <c r="W124" i="10"/>
  <c r="W123" i="10"/>
  <c r="W122" i="10"/>
  <c r="W121" i="10"/>
  <c r="W120" i="10"/>
  <c r="W119" i="10"/>
  <c r="I119" i="10"/>
  <c r="I120" i="10" s="1"/>
  <c r="C119" i="10"/>
  <c r="W118" i="10"/>
  <c r="C118" i="10"/>
  <c r="W117" i="10"/>
  <c r="W116" i="10"/>
  <c r="W115" i="10"/>
  <c r="W114" i="10"/>
  <c r="W113" i="10"/>
  <c r="W112" i="10"/>
  <c r="W111" i="10"/>
  <c r="W110" i="10"/>
  <c r="W109" i="10"/>
  <c r="H109" i="10"/>
  <c r="C109" i="10" s="1"/>
  <c r="W108" i="10"/>
  <c r="C108" i="10"/>
  <c r="W99" i="10"/>
  <c r="W98" i="10"/>
  <c r="W97" i="10"/>
  <c r="W96" i="10"/>
  <c r="W95" i="10"/>
  <c r="W94" i="10"/>
  <c r="W93" i="10"/>
  <c r="W92" i="10"/>
  <c r="W91" i="10"/>
  <c r="W90" i="10"/>
  <c r="W89" i="10"/>
  <c r="W88" i="10"/>
  <c r="W87" i="10"/>
  <c r="W86" i="10"/>
  <c r="W85" i="10"/>
  <c r="W84" i="10"/>
  <c r="W83" i="10"/>
  <c r="W82" i="10"/>
  <c r="W81" i="10"/>
  <c r="W80" i="10"/>
  <c r="W79" i="10"/>
  <c r="W78" i="10"/>
  <c r="W77" i="10"/>
  <c r="W76" i="10"/>
  <c r="W75" i="10"/>
  <c r="W74" i="10"/>
  <c r="W71" i="10"/>
  <c r="W70" i="10"/>
  <c r="W69" i="10"/>
  <c r="W68" i="10"/>
  <c r="W67" i="10"/>
  <c r="W66" i="10"/>
  <c r="W63" i="10"/>
  <c r="W62" i="10"/>
  <c r="C62" i="10"/>
  <c r="W61" i="10"/>
  <c r="C61" i="10"/>
  <c r="W60" i="10"/>
  <c r="C60" i="10"/>
  <c r="W59" i="10"/>
  <c r="C59" i="10"/>
  <c r="W56" i="10"/>
  <c r="W55" i="10"/>
  <c r="W54" i="10"/>
  <c r="W53" i="10"/>
  <c r="W52" i="10"/>
  <c r="W51" i="10"/>
  <c r="W50" i="10"/>
  <c r="W49" i="10"/>
  <c r="W48" i="10"/>
  <c r="W47" i="10"/>
  <c r="W46" i="10"/>
  <c r="W45" i="10"/>
  <c r="W44" i="10"/>
  <c r="W43" i="10"/>
  <c r="W42" i="10"/>
  <c r="W41" i="10"/>
  <c r="W40" i="10"/>
  <c r="W39" i="10"/>
  <c r="C39" i="10"/>
  <c r="W38" i="10"/>
  <c r="C38" i="10"/>
  <c r="W37" i="10"/>
  <c r="C37" i="10"/>
  <c r="W34" i="10"/>
  <c r="C34" i="10"/>
  <c r="W33" i="10"/>
  <c r="C33" i="10"/>
  <c r="W32" i="10"/>
  <c r="C32" i="10"/>
  <c r="W31" i="10"/>
  <c r="C31" i="10"/>
  <c r="W28" i="10"/>
  <c r="C28" i="10"/>
  <c r="W27" i="10"/>
  <c r="C27" i="10"/>
  <c r="W26" i="10"/>
  <c r="C26" i="10"/>
  <c r="W25" i="10"/>
  <c r="C25" i="10"/>
  <c r="W24" i="10"/>
  <c r="C24" i="10"/>
  <c r="W23" i="10"/>
  <c r="C23" i="10"/>
  <c r="W22" i="10"/>
  <c r="C22" i="10"/>
  <c r="W21" i="10"/>
  <c r="C21" i="10"/>
  <c r="W20" i="10"/>
  <c r="C20" i="10"/>
  <c r="W19" i="10"/>
  <c r="C19" i="10"/>
  <c r="W18" i="10"/>
  <c r="C18" i="10"/>
  <c r="W17" i="10"/>
  <c r="C17" i="10"/>
  <c r="W13" i="10"/>
  <c r="C13" i="10"/>
  <c r="W12" i="10"/>
  <c r="C12" i="10"/>
  <c r="W11" i="10"/>
  <c r="C11" i="10"/>
  <c r="W10" i="10"/>
  <c r="C10" i="10"/>
  <c r="W9" i="10"/>
  <c r="C9" i="10"/>
  <c r="W8" i="10"/>
  <c r="C8" i="10"/>
  <c r="W7" i="10"/>
  <c r="C7" i="10"/>
  <c r="W6" i="10"/>
  <c r="C6" i="10"/>
  <c r="W5" i="10"/>
  <c r="C5" i="10"/>
  <c r="W4" i="10"/>
  <c r="C4" i="10"/>
  <c r="W3" i="10"/>
  <c r="C3" i="10"/>
  <c r="W2" i="10"/>
  <c r="C2" i="10"/>
  <c r="R297" i="9"/>
  <c r="A287" i="9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299" i="9" s="1"/>
  <c r="A300" i="9" s="1"/>
  <c r="A301" i="9" s="1"/>
  <c r="A302" i="9" s="1"/>
  <c r="R285" i="9"/>
  <c r="R283" i="9"/>
  <c r="P279" i="9"/>
  <c r="R272" i="9"/>
  <c r="R248" i="9"/>
  <c r="K222" i="9"/>
  <c r="K223" i="9" s="1"/>
  <c r="N221" i="9"/>
  <c r="N222" i="9" s="1"/>
  <c r="N223" i="9" s="1"/>
  <c r="K221" i="9"/>
  <c r="N220" i="9"/>
  <c r="K220" i="9"/>
  <c r="P218" i="9"/>
  <c r="P217" i="9"/>
  <c r="K217" i="9"/>
  <c r="K218" i="9" s="1"/>
  <c r="P216" i="9"/>
  <c r="K216" i="9"/>
  <c r="P215" i="9"/>
  <c r="N215" i="9"/>
  <c r="N216" i="9" s="1"/>
  <c r="N217" i="9" s="1"/>
  <c r="N218" i="9" s="1"/>
  <c r="K215" i="9"/>
  <c r="R213" i="9"/>
  <c r="R212" i="9"/>
  <c r="R211" i="9"/>
  <c r="K211" i="9"/>
  <c r="K212" i="9" s="1"/>
  <c r="K213" i="9" s="1"/>
  <c r="R210" i="9"/>
  <c r="N210" i="9"/>
  <c r="N211" i="9" s="1"/>
  <c r="N212" i="9" s="1"/>
  <c r="N213" i="9" s="1"/>
  <c r="K210" i="9"/>
  <c r="N208" i="9"/>
  <c r="K208" i="9"/>
  <c r="N207" i="9"/>
  <c r="K206" i="9"/>
  <c r="K207" i="9" s="1"/>
  <c r="N205" i="9"/>
  <c r="N206" i="9" s="1"/>
  <c r="K205" i="9"/>
  <c r="R203" i="9"/>
  <c r="R202" i="9"/>
  <c r="K202" i="9"/>
  <c r="K203" i="9" s="1"/>
  <c r="R201" i="9"/>
  <c r="K201" i="9"/>
  <c r="R200" i="9"/>
  <c r="N200" i="9"/>
  <c r="N201" i="9" s="1"/>
  <c r="N202" i="9" s="1"/>
  <c r="N203" i="9" s="1"/>
  <c r="K200" i="9"/>
  <c r="R199" i="9"/>
  <c r="R198" i="9"/>
  <c r="R197" i="9"/>
  <c r="R196" i="9"/>
  <c r="K196" i="9"/>
  <c r="K197" i="9" s="1"/>
  <c r="K198" i="9" s="1"/>
  <c r="R195" i="9"/>
  <c r="N195" i="9"/>
  <c r="N196" i="9" s="1"/>
  <c r="N197" i="9" s="1"/>
  <c r="N198" i="9" s="1"/>
  <c r="K195" i="9"/>
  <c r="R193" i="9"/>
  <c r="R192" i="9"/>
  <c r="N192" i="9"/>
  <c r="N193" i="9" s="1"/>
  <c r="R191" i="9"/>
  <c r="N191" i="9"/>
  <c r="K191" i="9"/>
  <c r="K192" i="9" s="1"/>
  <c r="K193" i="9" s="1"/>
  <c r="R190" i="9"/>
  <c r="N190" i="9"/>
  <c r="K190" i="9"/>
  <c r="P188" i="9"/>
  <c r="P187" i="9"/>
  <c r="P186" i="9"/>
  <c r="N186" i="9"/>
  <c r="N187" i="9" s="1"/>
  <c r="N188" i="9" s="1"/>
  <c r="K186" i="9"/>
  <c r="K187" i="9" s="1"/>
  <c r="K188" i="9" s="1"/>
  <c r="N185" i="9"/>
  <c r="K185" i="9"/>
  <c r="N181" i="9"/>
  <c r="N182" i="9" s="1"/>
  <c r="N183" i="9" s="1"/>
  <c r="K181" i="9"/>
  <c r="K182" i="9" s="1"/>
  <c r="K183" i="9" s="1"/>
  <c r="N180" i="9"/>
  <c r="K180" i="9"/>
  <c r="R178" i="9"/>
  <c r="R177" i="9"/>
  <c r="A177" i="9"/>
  <c r="A182" i="9" s="1"/>
  <c r="A187" i="9" s="1"/>
  <c r="A192" i="9" s="1"/>
  <c r="A197" i="9" s="1"/>
  <c r="A202" i="9" s="1"/>
  <c r="A207" i="9" s="1"/>
  <c r="A212" i="9" s="1"/>
  <c r="A217" i="9" s="1"/>
  <c r="A222" i="9" s="1"/>
  <c r="R176" i="9"/>
  <c r="N176" i="9"/>
  <c r="N177" i="9" s="1"/>
  <c r="N178" i="9" s="1"/>
  <c r="K176" i="9"/>
  <c r="K177" i="9" s="1"/>
  <c r="K178" i="9" s="1"/>
  <c r="A176" i="9"/>
  <c r="A181" i="9" s="1"/>
  <c r="A186" i="9" s="1"/>
  <c r="A191" i="9" s="1"/>
  <c r="A196" i="9" s="1"/>
  <c r="A201" i="9" s="1"/>
  <c r="A206" i="9" s="1"/>
  <c r="A211" i="9" s="1"/>
  <c r="A216" i="9" s="1"/>
  <c r="A221" i="9" s="1"/>
  <c r="R175" i="9"/>
  <c r="N175" i="9"/>
  <c r="K175" i="9"/>
  <c r="A175" i="9"/>
  <c r="A180" i="9" s="1"/>
  <c r="A185" i="9" s="1"/>
  <c r="A190" i="9" s="1"/>
  <c r="A195" i="9" s="1"/>
  <c r="A200" i="9" s="1"/>
  <c r="A205" i="9" s="1"/>
  <c r="A210" i="9" s="1"/>
  <c r="A215" i="9" s="1"/>
  <c r="A220" i="9" s="1"/>
  <c r="R173" i="9"/>
  <c r="A173" i="9"/>
  <c r="A178" i="9" s="1"/>
  <c r="A183" i="9" s="1"/>
  <c r="A188" i="9" s="1"/>
  <c r="A193" i="9" s="1"/>
  <c r="A198" i="9" s="1"/>
  <c r="A203" i="9" s="1"/>
  <c r="A208" i="9" s="1"/>
  <c r="A213" i="9" s="1"/>
  <c r="A218" i="9" s="1"/>
  <c r="A223" i="9" s="1"/>
  <c r="R172" i="9"/>
  <c r="A172" i="9"/>
  <c r="R171" i="9"/>
  <c r="K171" i="9"/>
  <c r="K172" i="9" s="1"/>
  <c r="K173" i="9" s="1"/>
  <c r="A171" i="9"/>
  <c r="R170" i="9"/>
  <c r="N170" i="9"/>
  <c r="N171" i="9" s="1"/>
  <c r="N172" i="9" s="1"/>
  <c r="N173" i="9" s="1"/>
  <c r="K170" i="9"/>
  <c r="A170" i="9"/>
  <c r="A169" i="9"/>
  <c r="A174" i="9" s="1"/>
  <c r="A179" i="9" s="1"/>
  <c r="A184" i="9" s="1"/>
  <c r="A189" i="9" s="1"/>
  <c r="A194" i="9" s="1"/>
  <c r="A199" i="9" s="1"/>
  <c r="A204" i="9" s="1"/>
  <c r="A209" i="9" s="1"/>
  <c r="A214" i="9" s="1"/>
  <c r="A219" i="9" s="1"/>
  <c r="K167" i="9"/>
  <c r="K168" i="9" s="1"/>
  <c r="N166" i="9"/>
  <c r="N167" i="9" s="1"/>
  <c r="N168" i="9" s="1"/>
  <c r="K166" i="9"/>
  <c r="N165" i="9"/>
  <c r="K165" i="9"/>
  <c r="R156" i="9"/>
  <c r="R155" i="9"/>
  <c r="R154" i="9"/>
  <c r="N154" i="9"/>
  <c r="N155" i="9" s="1"/>
  <c r="N156" i="9" s="1"/>
  <c r="N153" i="9"/>
  <c r="R151" i="9"/>
  <c r="R150" i="9"/>
  <c r="R149" i="9"/>
  <c r="R148" i="9"/>
  <c r="N148" i="9"/>
  <c r="N149" i="9" s="1"/>
  <c r="N150" i="9" s="1"/>
  <c r="N151" i="9" s="1"/>
  <c r="R147" i="9"/>
  <c r="R146" i="9"/>
  <c r="R145" i="9"/>
  <c r="R144" i="9"/>
  <c r="R143" i="9"/>
  <c r="N143" i="9"/>
  <c r="N144" i="9" s="1"/>
  <c r="N145" i="9" s="1"/>
  <c r="N146" i="9" s="1"/>
  <c r="R142" i="9"/>
  <c r="P141" i="9"/>
  <c r="P140" i="9"/>
  <c r="P139" i="9"/>
  <c r="P138" i="9"/>
  <c r="N138" i="9"/>
  <c r="N139" i="9" s="1"/>
  <c r="N140" i="9" s="1"/>
  <c r="N141" i="9" s="1"/>
  <c r="P137" i="9"/>
  <c r="N133" i="9"/>
  <c r="N134" i="9" s="1"/>
  <c r="N135" i="9" s="1"/>
  <c r="N136" i="9" s="1"/>
  <c r="R131" i="9"/>
  <c r="P131" i="9"/>
  <c r="R130" i="9"/>
  <c r="P130" i="9"/>
  <c r="R129" i="9"/>
  <c r="P129" i="9"/>
  <c r="R128" i="9"/>
  <c r="N128" i="9"/>
  <c r="N129" i="9" s="1"/>
  <c r="N130" i="9" s="1"/>
  <c r="N131" i="9" s="1"/>
  <c r="R127" i="9"/>
  <c r="P126" i="9"/>
  <c r="P125" i="9"/>
  <c r="P124" i="9"/>
  <c r="P123" i="9"/>
  <c r="N123" i="9"/>
  <c r="N124" i="9" s="1"/>
  <c r="N125" i="9" s="1"/>
  <c r="N126" i="9" s="1"/>
  <c r="P121" i="9"/>
  <c r="P120" i="9"/>
  <c r="P119" i="9"/>
  <c r="P118" i="9"/>
  <c r="N118" i="9"/>
  <c r="N119" i="9" s="1"/>
  <c r="N120" i="9" s="1"/>
  <c r="N121" i="9" s="1"/>
  <c r="A117" i="9"/>
  <c r="A122" i="9" s="1"/>
  <c r="A127" i="9" s="1"/>
  <c r="A132" i="9" s="1"/>
  <c r="A137" i="9" s="1"/>
  <c r="A142" i="9" s="1"/>
  <c r="A147" i="9" s="1"/>
  <c r="A152" i="9" s="1"/>
  <c r="T116" i="9"/>
  <c r="R116" i="9"/>
  <c r="R115" i="9"/>
  <c r="R114" i="9"/>
  <c r="R113" i="9"/>
  <c r="N113" i="9"/>
  <c r="N114" i="9" s="1"/>
  <c r="N115" i="9" s="1"/>
  <c r="N116" i="9" s="1"/>
  <c r="R112" i="9"/>
  <c r="A112" i="9"/>
  <c r="T111" i="9"/>
  <c r="R111" i="9"/>
  <c r="T110" i="9"/>
  <c r="R110" i="9"/>
  <c r="T109" i="9"/>
  <c r="R109" i="9"/>
  <c r="A109" i="9"/>
  <c r="A114" i="9" s="1"/>
  <c r="A119" i="9" s="1"/>
  <c r="A124" i="9" s="1"/>
  <c r="A129" i="9" s="1"/>
  <c r="A134" i="9" s="1"/>
  <c r="A139" i="9" s="1"/>
  <c r="A144" i="9" s="1"/>
  <c r="A149" i="9" s="1"/>
  <c r="A154" i="9" s="1"/>
  <c r="T108" i="9"/>
  <c r="R108" i="9"/>
  <c r="N108" i="9"/>
  <c r="N109" i="9" s="1"/>
  <c r="N110" i="9" s="1"/>
  <c r="N111" i="9" s="1"/>
  <c r="A108" i="9"/>
  <c r="A113" i="9" s="1"/>
  <c r="A118" i="9" s="1"/>
  <c r="A123" i="9" s="1"/>
  <c r="A128" i="9" s="1"/>
  <c r="A133" i="9" s="1"/>
  <c r="A138" i="9" s="1"/>
  <c r="A143" i="9" s="1"/>
  <c r="A148" i="9" s="1"/>
  <c r="A153" i="9" s="1"/>
  <c r="R107" i="9"/>
  <c r="A107" i="9"/>
  <c r="R106" i="9"/>
  <c r="A106" i="9"/>
  <c r="A111" i="9" s="1"/>
  <c r="A116" i="9" s="1"/>
  <c r="A121" i="9" s="1"/>
  <c r="A126" i="9" s="1"/>
  <c r="A131" i="9" s="1"/>
  <c r="A136" i="9" s="1"/>
  <c r="A141" i="9" s="1"/>
  <c r="A146" i="9" s="1"/>
  <c r="A151" i="9" s="1"/>
  <c r="A156" i="9" s="1"/>
  <c r="R105" i="9"/>
  <c r="A105" i="9"/>
  <c r="A110" i="9" s="1"/>
  <c r="A115" i="9" s="1"/>
  <c r="A120" i="9" s="1"/>
  <c r="A125" i="9" s="1"/>
  <c r="A130" i="9" s="1"/>
  <c r="A135" i="9" s="1"/>
  <c r="A140" i="9" s="1"/>
  <c r="A145" i="9" s="1"/>
  <c r="A150" i="9" s="1"/>
  <c r="A155" i="9" s="1"/>
  <c r="R104" i="9"/>
  <c r="N104" i="9"/>
  <c r="N105" i="9" s="1"/>
  <c r="N106" i="9" s="1"/>
  <c r="A104" i="9"/>
  <c r="R103" i="9"/>
  <c r="N103" i="9"/>
  <c r="A103" i="9"/>
  <c r="R102" i="9"/>
  <c r="A102" i="9"/>
  <c r="N99" i="9"/>
  <c r="N100" i="9" s="1"/>
  <c r="N101" i="9" s="1"/>
  <c r="N98" i="9"/>
  <c r="R85" i="9"/>
  <c r="A61" i="9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R53" i="9"/>
  <c r="R47" i="9"/>
  <c r="A28" i="9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H5" i="8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4" i="8"/>
  <c r="H3" i="8"/>
  <c r="A88" i="5"/>
  <c r="A86" i="5"/>
  <c r="A84" i="5"/>
  <c r="A82" i="5"/>
  <c r="A80" i="5"/>
  <c r="A78" i="5"/>
  <c r="A76" i="5"/>
  <c r="A74" i="5"/>
  <c r="A72" i="5"/>
  <c r="A70" i="5"/>
  <c r="A56" i="5"/>
  <c r="A54" i="5"/>
  <c r="A52" i="5"/>
  <c r="A50" i="5"/>
  <c r="A48" i="5"/>
  <c r="A46" i="5"/>
  <c r="A44" i="5"/>
  <c r="A42" i="5"/>
  <c r="A40" i="5"/>
  <c r="A36" i="5"/>
  <c r="A35" i="5"/>
  <c r="A34" i="5"/>
  <c r="A33" i="5"/>
  <c r="A32" i="5"/>
  <c r="A31" i="5"/>
  <c r="A30" i="5"/>
  <c r="A29" i="5"/>
  <c r="A25" i="5"/>
  <c r="A23" i="5"/>
  <c r="A21" i="5"/>
  <c r="A19" i="5"/>
  <c r="A17" i="5"/>
  <c r="A15" i="5"/>
  <c r="A13" i="5"/>
  <c r="A11" i="5"/>
  <c r="A9" i="5"/>
  <c r="A7" i="5"/>
  <c r="A5" i="5"/>
  <c r="A3" i="5"/>
  <c r="B37" i="4"/>
  <c r="B36" i="4"/>
  <c r="B35" i="4"/>
  <c r="B34" i="4"/>
  <c r="B33" i="4"/>
  <c r="B31" i="4"/>
  <c r="B30" i="4"/>
  <c r="B29" i="4"/>
  <c r="B28" i="4"/>
  <c r="A50" i="2"/>
  <c r="A46" i="2"/>
  <c r="A44" i="2"/>
  <c r="D64" i="1"/>
  <c r="F64" i="1" s="1"/>
  <c r="F63" i="1"/>
  <c r="F62" i="1"/>
  <c r="H62" i="1" s="1"/>
  <c r="AK15" i="11" l="1"/>
  <c r="AJ15" i="11"/>
  <c r="B16" i="28"/>
  <c r="AF17" i="11"/>
  <c r="AE17" i="11"/>
  <c r="J141" i="10"/>
  <c r="C140" i="10"/>
  <c r="V181" i="10"/>
  <c r="C180" i="10"/>
  <c r="AF16" i="11"/>
  <c r="AE16" i="11"/>
  <c r="AK16" i="11"/>
  <c r="AJ16" i="11"/>
  <c r="AK17" i="11"/>
  <c r="AJ17" i="11"/>
  <c r="I121" i="10"/>
  <c r="C120" i="10"/>
  <c r="K48" i="17"/>
  <c r="F57" i="17"/>
  <c r="C162" i="10"/>
  <c r="T163" i="10"/>
  <c r="AF18" i="11"/>
  <c r="AE18" i="11"/>
  <c r="S151" i="10"/>
  <c r="C150" i="10"/>
  <c r="C132" i="10"/>
  <c r="K133" i="10"/>
  <c r="C172" i="10"/>
  <c r="U173" i="10"/>
  <c r="AD3" i="11"/>
  <c r="AC4" i="11"/>
  <c r="AC5" i="11" s="1"/>
  <c r="AC6" i="11" s="1"/>
  <c r="AC7" i="11" s="1"/>
  <c r="AC8" i="11" s="1"/>
  <c r="AC9" i="11" s="1"/>
  <c r="AC10" i="11" s="1"/>
  <c r="AC11" i="11" s="1"/>
  <c r="AC12" i="11" s="1"/>
  <c r="AC13" i="11" s="1"/>
  <c r="AC14" i="11" s="1"/>
  <c r="G63" i="1"/>
  <c r="G64" i="1"/>
  <c r="A25" i="20"/>
  <c r="J8" i="11"/>
  <c r="K8" i="11" s="1"/>
  <c r="A9" i="11"/>
  <c r="AK18" i="11"/>
  <c r="AJ18" i="11"/>
  <c r="AF15" i="11"/>
  <c r="AE15" i="11"/>
  <c r="G147" i="17"/>
  <c r="G153" i="17"/>
  <c r="J19" i="11"/>
  <c r="K19" i="11"/>
  <c r="F144" i="17"/>
  <c r="F150" i="17"/>
  <c r="G151" i="17"/>
  <c r="H103" i="17"/>
  <c r="K107" i="17"/>
  <c r="K153" i="17"/>
  <c r="J6" i="11"/>
  <c r="K6" i="11" s="1"/>
  <c r="H102" i="17"/>
  <c r="H96" i="17"/>
  <c r="K130" i="17"/>
  <c r="D5" i="28"/>
  <c r="I103" i="17"/>
  <c r="I97" i="17"/>
  <c r="C179" i="10"/>
  <c r="I121" i="17"/>
  <c r="I127" i="17"/>
  <c r="J124" i="17"/>
  <c r="J130" i="17"/>
  <c r="F122" i="17"/>
  <c r="I96" i="17"/>
  <c r="G150" i="17"/>
  <c r="D7" i="28"/>
  <c r="F127" i="17"/>
  <c r="H146" i="17"/>
  <c r="H154" i="17"/>
  <c r="C9" i="28"/>
  <c r="F56" i="17"/>
  <c r="H100" i="17"/>
  <c r="I148" i="17"/>
  <c r="I154" i="17"/>
  <c r="J150" i="17"/>
  <c r="F106" i="17"/>
  <c r="F100" i="17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K150" i="17"/>
  <c r="H145" i="17"/>
  <c r="H151" i="17"/>
  <c r="K122" i="17"/>
  <c r="K128" i="17"/>
  <c r="J128" i="17"/>
  <c r="K151" i="17"/>
  <c r="A9" i="26"/>
  <c r="K105" i="17"/>
  <c r="J7" i="11"/>
  <c r="K7" i="11" s="1"/>
  <c r="A24" i="20"/>
  <c r="C130" i="10"/>
  <c r="K3" i="11"/>
  <c r="AG3" i="11" s="1"/>
  <c r="F129" i="17"/>
  <c r="G152" i="17"/>
  <c r="C131" i="10"/>
  <c r="K120" i="17"/>
  <c r="H110" i="10"/>
  <c r="J129" i="17"/>
  <c r="F102" i="17"/>
  <c r="G125" i="17"/>
  <c r="G106" i="17"/>
  <c r="G100" i="17"/>
  <c r="K100" i="17"/>
  <c r="K49" i="17" l="1"/>
  <c r="F59" i="17" s="1"/>
  <c r="F58" i="17"/>
  <c r="C133" i="10"/>
  <c r="K134" i="10"/>
  <c r="AB19" i="11"/>
  <c r="AC19" i="11" s="1"/>
  <c r="AD19" i="11" s="1"/>
  <c r="J20" i="11"/>
  <c r="C181" i="10"/>
  <c r="V182" i="10"/>
  <c r="C10" i="28"/>
  <c r="D9" i="28"/>
  <c r="T164" i="10"/>
  <c r="C163" i="10"/>
  <c r="C121" i="10"/>
  <c r="I122" i="10"/>
  <c r="A26" i="20"/>
  <c r="J9" i="11"/>
  <c r="K9" i="11" s="1"/>
  <c r="H111" i="10"/>
  <c r="C110" i="10"/>
  <c r="S152" i="10"/>
  <c r="C151" i="10"/>
  <c r="AH3" i="11"/>
  <c r="AG4" i="11"/>
  <c r="AG5" i="11" s="1"/>
  <c r="AG6" i="11" s="1"/>
  <c r="AG7" i="11" s="1"/>
  <c r="AG8" i="11" s="1"/>
  <c r="AG9" i="11" s="1"/>
  <c r="AG10" i="11" s="1"/>
  <c r="AG11" i="11" s="1"/>
  <c r="AG12" i="11" s="1"/>
  <c r="AG13" i="11" s="1"/>
  <c r="AG14" i="11" s="1"/>
  <c r="A10" i="26"/>
  <c r="G9" i="26"/>
  <c r="AE3" i="11"/>
  <c r="AD4" i="11"/>
  <c r="AD5" i="11" s="1"/>
  <c r="AD6" i="11" s="1"/>
  <c r="AD7" i="11" s="1"/>
  <c r="AD8" i="11" s="1"/>
  <c r="AD9" i="11" s="1"/>
  <c r="AD10" i="11" s="1"/>
  <c r="AD11" i="11" s="1"/>
  <c r="AD12" i="11" s="1"/>
  <c r="AD13" i="11" s="1"/>
  <c r="AD14" i="11" s="1"/>
  <c r="B17" i="28"/>
  <c r="U174" i="10"/>
  <c r="C173" i="10"/>
  <c r="AG19" i="11"/>
  <c r="AH19" i="11" s="1"/>
  <c r="AI19" i="11" s="1"/>
  <c r="K20" i="11"/>
  <c r="C141" i="10"/>
  <c r="J142" i="10"/>
  <c r="A11" i="26" l="1"/>
  <c r="G10" i="26"/>
  <c r="B18" i="28"/>
  <c r="AF3" i="11"/>
  <c r="AF4" i="11" s="1"/>
  <c r="AF5" i="11" s="1"/>
  <c r="AF6" i="11" s="1"/>
  <c r="AF7" i="11" s="1"/>
  <c r="AF8" i="11" s="1"/>
  <c r="AF9" i="11" s="1"/>
  <c r="AF10" i="11" s="1"/>
  <c r="AF11" i="11" s="1"/>
  <c r="AF12" i="11" s="1"/>
  <c r="AF13" i="11" s="1"/>
  <c r="AF14" i="11" s="1"/>
  <c r="AE4" i="11"/>
  <c r="AE5" i="11" s="1"/>
  <c r="AE6" i="11" s="1"/>
  <c r="AE7" i="11" s="1"/>
  <c r="AE8" i="11" s="1"/>
  <c r="AE9" i="11" s="1"/>
  <c r="AE10" i="11" s="1"/>
  <c r="AE11" i="11" s="1"/>
  <c r="AE12" i="11" s="1"/>
  <c r="AE13" i="11" s="1"/>
  <c r="AE14" i="11" s="1"/>
  <c r="AI3" i="11"/>
  <c r="AH4" i="11"/>
  <c r="AH5" i="11" s="1"/>
  <c r="AH6" i="11" s="1"/>
  <c r="AH7" i="11" s="1"/>
  <c r="AH8" i="11" s="1"/>
  <c r="AH9" i="11" s="1"/>
  <c r="AH10" i="11" s="1"/>
  <c r="AH11" i="11" s="1"/>
  <c r="AH12" i="11" s="1"/>
  <c r="AH13" i="11" s="1"/>
  <c r="AH14" i="11" s="1"/>
  <c r="I123" i="10"/>
  <c r="C122" i="10"/>
  <c r="C11" i="28"/>
  <c r="D10" i="28"/>
  <c r="AB20" i="11"/>
  <c r="AC20" i="11" s="1"/>
  <c r="AD20" i="11" s="1"/>
  <c r="J21" i="11"/>
  <c r="K135" i="10"/>
  <c r="C134" i="10"/>
  <c r="T165" i="10"/>
  <c r="C164" i="10"/>
  <c r="V183" i="10"/>
  <c r="C182" i="10"/>
  <c r="J143" i="10"/>
  <c r="C142" i="10"/>
  <c r="S153" i="10"/>
  <c r="C152" i="10"/>
  <c r="H112" i="10"/>
  <c r="C111" i="10"/>
  <c r="AF19" i="11"/>
  <c r="AE19" i="11"/>
  <c r="K21" i="11"/>
  <c r="AG20" i="11"/>
  <c r="AH20" i="11" s="1"/>
  <c r="AI20" i="11" s="1"/>
  <c r="AK19" i="11"/>
  <c r="AJ19" i="11"/>
  <c r="C174" i="10"/>
  <c r="U175" i="10"/>
  <c r="AE20" i="11" l="1"/>
  <c r="AF20" i="11"/>
  <c r="I124" i="10"/>
  <c r="C123" i="10"/>
  <c r="AJ3" i="11"/>
  <c r="AI4" i="11"/>
  <c r="AI5" i="11" s="1"/>
  <c r="AI6" i="11" s="1"/>
  <c r="AI7" i="11" s="1"/>
  <c r="AI8" i="11" s="1"/>
  <c r="AI9" i="11" s="1"/>
  <c r="AI10" i="11" s="1"/>
  <c r="AI11" i="11" s="1"/>
  <c r="AI12" i="11" s="1"/>
  <c r="AI13" i="11" s="1"/>
  <c r="AI14" i="11" s="1"/>
  <c r="U176" i="10"/>
  <c r="C175" i="10"/>
  <c r="J22" i="11"/>
  <c r="AB21" i="11"/>
  <c r="AC21" i="11" s="1"/>
  <c r="AD21" i="11" s="1"/>
  <c r="D11" i="28"/>
  <c r="C12" i="28"/>
  <c r="C112" i="10"/>
  <c r="H113" i="10"/>
  <c r="C143" i="10"/>
  <c r="J144" i="10"/>
  <c r="S154" i="10"/>
  <c r="C153" i="10"/>
  <c r="C183" i="10"/>
  <c r="V184" i="10"/>
  <c r="C165" i="10"/>
  <c r="T166" i="10"/>
  <c r="K136" i="10"/>
  <c r="C135" i="10"/>
  <c r="B19" i="28"/>
  <c r="AK20" i="11"/>
  <c r="AJ20" i="11"/>
  <c r="AG21" i="11"/>
  <c r="AH21" i="11" s="1"/>
  <c r="AI21" i="11" s="1"/>
  <c r="K22" i="11"/>
  <c r="A12" i="26"/>
  <c r="G11" i="26"/>
  <c r="C166" i="10" l="1"/>
  <c r="T167" i="10"/>
  <c r="C167" i="10" s="1"/>
  <c r="B20" i="28"/>
  <c r="V185" i="10"/>
  <c r="C184" i="10"/>
  <c r="C154" i="10"/>
  <c r="S155" i="10"/>
  <c r="J145" i="10"/>
  <c r="C144" i="10"/>
  <c r="AE21" i="11"/>
  <c r="AF21" i="11"/>
  <c r="K137" i="10"/>
  <c r="C137" i="10" s="1"/>
  <c r="C136" i="10"/>
  <c r="J23" i="11"/>
  <c r="AB22" i="11"/>
  <c r="AC22" i="11" s="1"/>
  <c r="AD22" i="11" s="1"/>
  <c r="A13" i="26"/>
  <c r="G12" i="26"/>
  <c r="H114" i="10"/>
  <c r="C113" i="10"/>
  <c r="C176" i="10"/>
  <c r="U177" i="10"/>
  <c r="C177" i="10" s="1"/>
  <c r="AK3" i="11"/>
  <c r="AK4" i="11" s="1"/>
  <c r="AK5" i="11" s="1"/>
  <c r="AK6" i="11" s="1"/>
  <c r="AK7" i="11" s="1"/>
  <c r="AK8" i="11" s="1"/>
  <c r="AK9" i="11" s="1"/>
  <c r="AK10" i="11" s="1"/>
  <c r="AK11" i="11" s="1"/>
  <c r="AK12" i="11" s="1"/>
  <c r="AK13" i="11" s="1"/>
  <c r="AK14" i="11" s="1"/>
  <c r="AJ4" i="11"/>
  <c r="AJ5" i="11" s="1"/>
  <c r="AJ6" i="11" s="1"/>
  <c r="AJ7" i="11" s="1"/>
  <c r="AJ8" i="11" s="1"/>
  <c r="AJ9" i="11" s="1"/>
  <c r="AJ10" i="11" s="1"/>
  <c r="AJ11" i="11" s="1"/>
  <c r="AJ12" i="11" s="1"/>
  <c r="AJ13" i="11" s="1"/>
  <c r="AJ14" i="11" s="1"/>
  <c r="AG22" i="11"/>
  <c r="AH22" i="11" s="1"/>
  <c r="AI22" i="11" s="1"/>
  <c r="K23" i="11"/>
  <c r="C13" i="28"/>
  <c r="D12" i="28"/>
  <c r="I125" i="10"/>
  <c r="C124" i="10"/>
  <c r="AK21" i="11"/>
  <c r="AJ21" i="11"/>
  <c r="C14" i="28" l="1"/>
  <c r="D13" i="28"/>
  <c r="AE22" i="11"/>
  <c r="AF22" i="11"/>
  <c r="H115" i="10"/>
  <c r="C114" i="10"/>
  <c r="K24" i="11"/>
  <c r="AG23" i="11"/>
  <c r="AH23" i="11" s="1"/>
  <c r="AI23" i="11" s="1"/>
  <c r="G13" i="26"/>
  <c r="J24" i="11"/>
  <c r="AB23" i="11"/>
  <c r="AC23" i="11" s="1"/>
  <c r="AD23" i="11" s="1"/>
  <c r="AJ22" i="11"/>
  <c r="AK22" i="11"/>
  <c r="J146" i="10"/>
  <c r="C145" i="10"/>
  <c r="S156" i="10"/>
  <c r="C155" i="10"/>
  <c r="V186" i="10"/>
  <c r="C185" i="10"/>
  <c r="B21" i="28"/>
  <c r="I126" i="10"/>
  <c r="C125" i="10"/>
  <c r="C186" i="10" l="1"/>
  <c r="V187" i="10"/>
  <c r="C187" i="10" s="1"/>
  <c r="I127" i="10"/>
  <c r="C127" i="10" s="1"/>
  <c r="C126" i="10"/>
  <c r="S157" i="10"/>
  <c r="C157" i="10" s="1"/>
  <c r="C156" i="10"/>
  <c r="AF23" i="11"/>
  <c r="AE23" i="11"/>
  <c r="AK23" i="11"/>
  <c r="AJ23" i="11"/>
  <c r="J147" i="10"/>
  <c r="C147" i="10" s="1"/>
  <c r="C146" i="10"/>
  <c r="J25" i="11"/>
  <c r="AB24" i="11"/>
  <c r="AC24" i="11" s="1"/>
  <c r="AD24" i="11" s="1"/>
  <c r="K25" i="11"/>
  <c r="AG24" i="11"/>
  <c r="AH24" i="11" s="1"/>
  <c r="AI24" i="11" s="1"/>
  <c r="H116" i="10"/>
  <c r="C115" i="10"/>
  <c r="C15" i="28"/>
  <c r="D14" i="28"/>
  <c r="C16" i="28" l="1"/>
  <c r="D15" i="28"/>
  <c r="AF24" i="11"/>
  <c r="AE24" i="11"/>
  <c r="J26" i="11"/>
  <c r="AB25" i="11"/>
  <c r="AC25" i="11" s="1"/>
  <c r="AD25" i="11" s="1"/>
  <c r="H117" i="10"/>
  <c r="C117" i="10" s="1"/>
  <c r="C116" i="10"/>
  <c r="AK24" i="11"/>
  <c r="AJ24" i="11"/>
  <c r="K26" i="11"/>
  <c r="AG25" i="11"/>
  <c r="AH25" i="11" s="1"/>
  <c r="AI25" i="11" s="1"/>
  <c r="AK25" i="11" l="1"/>
  <c r="AJ25" i="11"/>
  <c r="AG26" i="11"/>
  <c r="AH26" i="11" s="1"/>
  <c r="AI26" i="11" s="1"/>
  <c r="K27" i="11"/>
  <c r="AF25" i="11"/>
  <c r="AE25" i="11"/>
  <c r="AB26" i="11"/>
  <c r="AC26" i="11" s="1"/>
  <c r="AD26" i="11" s="1"/>
  <c r="J27" i="11"/>
  <c r="C17" i="28"/>
  <c r="D16" i="28"/>
  <c r="C18" i="28" l="1"/>
  <c r="D17" i="28"/>
  <c r="AF26" i="11"/>
  <c r="AE26" i="11"/>
  <c r="K28" i="11"/>
  <c r="AG27" i="11"/>
  <c r="AH27" i="11" s="1"/>
  <c r="AI27" i="11" s="1"/>
  <c r="J28" i="11"/>
  <c r="AB27" i="11"/>
  <c r="AC27" i="11" s="1"/>
  <c r="AD27" i="11" s="1"/>
  <c r="AK26" i="11"/>
  <c r="AJ26" i="11"/>
  <c r="AE27" i="11" l="1"/>
  <c r="AF27" i="11"/>
  <c r="AJ27" i="11"/>
  <c r="AK27" i="11"/>
  <c r="J29" i="11"/>
  <c r="AB28" i="11"/>
  <c r="AC28" i="11" s="1"/>
  <c r="AD28" i="11" s="1"/>
  <c r="AG28" i="11"/>
  <c r="AH28" i="11" s="1"/>
  <c r="AI28" i="11" s="1"/>
  <c r="K29" i="11"/>
  <c r="C19" i="28"/>
  <c r="D18" i="28"/>
  <c r="AK28" i="11" l="1"/>
  <c r="AJ28" i="11"/>
  <c r="K30" i="11"/>
  <c r="AG29" i="11"/>
  <c r="AH29" i="11" s="1"/>
  <c r="AI29" i="11" s="1"/>
  <c r="AB29" i="11"/>
  <c r="AC29" i="11" s="1"/>
  <c r="AD29" i="11" s="1"/>
  <c r="J30" i="11"/>
  <c r="C20" i="28"/>
  <c r="D19" i="28"/>
  <c r="AF28" i="11"/>
  <c r="AE28" i="11"/>
  <c r="AF29" i="11" l="1"/>
  <c r="AE29" i="11"/>
  <c r="C21" i="28"/>
  <c r="D21" i="28" s="1"/>
  <c r="D20" i="28"/>
  <c r="AJ29" i="11"/>
  <c r="AK29" i="11"/>
  <c r="J31" i="11"/>
  <c r="AB30" i="11"/>
  <c r="AC30" i="11" s="1"/>
  <c r="AD30" i="11" s="1"/>
  <c r="A21" i="26"/>
  <c r="K31" i="11"/>
  <c r="AG30" i="11"/>
  <c r="AH30" i="11" s="1"/>
  <c r="AI30" i="11" s="1"/>
  <c r="K32" i="11" l="1"/>
  <c r="AG31" i="11"/>
  <c r="AH31" i="11" s="1"/>
  <c r="AI31" i="11" s="1"/>
  <c r="AK30" i="11"/>
  <c r="AJ30" i="11"/>
  <c r="G21" i="26"/>
  <c r="A22" i="26"/>
  <c r="AE30" i="11"/>
  <c r="AF30" i="11"/>
  <c r="AB31" i="11"/>
  <c r="AC31" i="11" s="1"/>
  <c r="AD31" i="11" s="1"/>
  <c r="J32" i="11"/>
  <c r="J33" i="11" l="1"/>
  <c r="AB33" i="11" s="1"/>
  <c r="AC33" i="11" s="1"/>
  <c r="AD33" i="11" s="1"/>
  <c r="AB32" i="11"/>
  <c r="AC32" i="11" s="1"/>
  <c r="AD32" i="11" s="1"/>
  <c r="A23" i="26"/>
  <c r="G22" i="26"/>
  <c r="AF31" i="11"/>
  <c r="AE31" i="11"/>
  <c r="AK31" i="11"/>
  <c r="AJ31" i="11"/>
  <c r="K33" i="11"/>
  <c r="AG33" i="11" s="1"/>
  <c r="AH33" i="11" s="1"/>
  <c r="AI33" i="11" s="1"/>
  <c r="AG32" i="11"/>
  <c r="AH32" i="11" s="1"/>
  <c r="AI32" i="11" s="1"/>
  <c r="AK32" i="11" l="1"/>
  <c r="AJ32" i="11"/>
  <c r="AK33" i="11"/>
  <c r="AJ33" i="11"/>
  <c r="A24" i="26"/>
  <c r="G23" i="26"/>
  <c r="AF32" i="11"/>
  <c r="AE32" i="11"/>
  <c r="AF33" i="11"/>
  <c r="AE33" i="11"/>
  <c r="G24" i="26" l="1"/>
  <c r="A25" i="26"/>
  <c r="A26" i="26" l="1"/>
  <c r="G25" i="26"/>
  <c r="A27" i="26" l="1"/>
  <c r="G26" i="26"/>
  <c r="A28" i="26" l="1"/>
  <c r="G27" i="26"/>
  <c r="G28" i="26" l="1"/>
  <c r="A29" i="26"/>
  <c r="A30" i="26" l="1"/>
  <c r="G29" i="26"/>
  <c r="G30" i="26" l="1"/>
  <c r="A31" i="26"/>
  <c r="G31" i="26" l="1"/>
  <c r="A32" i="26"/>
  <c r="A33" i="26" l="1"/>
  <c r="G32" i="26"/>
  <c r="A34" i="26" l="1"/>
  <c r="G33" i="26"/>
  <c r="A35" i="26" l="1"/>
  <c r="G34" i="26"/>
  <c r="G35" i="26" l="1"/>
  <c r="A36" i="26"/>
  <c r="A37" i="26" l="1"/>
  <c r="G36" i="26"/>
  <c r="A38" i="26" l="1"/>
  <c r="G37" i="26"/>
  <c r="A39" i="26" l="1"/>
  <c r="G38" i="26"/>
  <c r="G39" i="26" l="1"/>
  <c r="A40" i="26"/>
  <c r="A41" i="26" l="1"/>
  <c r="G40" i="26"/>
  <c r="A42" i="26" l="1"/>
  <c r="G41" i="26"/>
  <c r="G42" i="26" l="1"/>
  <c r="A43" i="26"/>
  <c r="A44" i="26" l="1"/>
  <c r="G43" i="26"/>
  <c r="A45" i="26" l="1"/>
  <c r="G44" i="26"/>
  <c r="A46" i="26" l="1"/>
  <c r="G45" i="26"/>
  <c r="A47" i="26" l="1"/>
  <c r="G46" i="26"/>
  <c r="A48" i="26" l="1"/>
  <c r="G47" i="26"/>
  <c r="G48" i="26" l="1"/>
  <c r="A49" i="26"/>
  <c r="A50" i="26" l="1"/>
  <c r="G49" i="26"/>
  <c r="G50" i="26" l="1"/>
  <c r="A51" i="26"/>
  <c r="A52" i="26" l="1"/>
  <c r="G51" i="26"/>
  <c r="A53" i="26" l="1"/>
  <c r="G52" i="26"/>
  <c r="A54" i="26" l="1"/>
  <c r="G53" i="26"/>
  <c r="G54" i="26" l="1"/>
  <c r="A55" i="26"/>
  <c r="A56" i="26" l="1"/>
  <c r="G55" i="26"/>
  <c r="A57" i="26" l="1"/>
  <c r="G56" i="26"/>
  <c r="A58" i="26" l="1"/>
  <c r="G57" i="26"/>
  <c r="G58" i="26" l="1"/>
  <c r="A59" i="26"/>
  <c r="A60" i="26" l="1"/>
  <c r="G59" i="26"/>
  <c r="A61" i="26" l="1"/>
  <c r="G60" i="26"/>
  <c r="G61" i="26" l="1"/>
  <c r="A62" i="26"/>
  <c r="G62" i="26" l="1"/>
  <c r="A63" i="26"/>
  <c r="A64" i="26" l="1"/>
  <c r="G63" i="26"/>
  <c r="A65" i="26" l="1"/>
  <c r="G64" i="26"/>
  <c r="G65" i="26" l="1"/>
  <c r="A66" i="26"/>
  <c r="G66" i="26" l="1"/>
  <c r="A67" i="26"/>
  <c r="G67" i="26" l="1"/>
  <c r="A68" i="26"/>
  <c r="A69" i="26" l="1"/>
  <c r="G68" i="26"/>
  <c r="G69" i="26" l="1"/>
  <c r="A70" i="26"/>
  <c r="A71" i="26" l="1"/>
  <c r="G70" i="26"/>
  <c r="A72" i="26" l="1"/>
  <c r="G71" i="26"/>
  <c r="A73" i="26" l="1"/>
  <c r="G72" i="26"/>
  <c r="G73" i="26" l="1"/>
  <c r="A74" i="26"/>
  <c r="A75" i="26" l="1"/>
  <c r="G74" i="26"/>
  <c r="A76" i="26" l="1"/>
  <c r="G75" i="26"/>
  <c r="A77" i="26" l="1"/>
  <c r="G76" i="26"/>
  <c r="G77" i="26" l="1"/>
  <c r="A78" i="26"/>
  <c r="A79" i="26" l="1"/>
  <c r="G78" i="26"/>
  <c r="G79" i="26" l="1"/>
  <c r="A80" i="26"/>
  <c r="G80" i="26" l="1"/>
  <c r="A81" i="26"/>
  <c r="A82" i="26" l="1"/>
  <c r="G81" i="26"/>
  <c r="G82" i="26" l="1"/>
  <c r="A83" i="26"/>
  <c r="G83" i="26" l="1"/>
  <c r="A84" i="26"/>
  <c r="A85" i="26" l="1"/>
  <c r="G84" i="26"/>
  <c r="G85" i="26" l="1"/>
  <c r="A86" i="26"/>
  <c r="A87" i="26" l="1"/>
  <c r="G86" i="26"/>
  <c r="A88" i="26" l="1"/>
  <c r="G87" i="26"/>
  <c r="A89" i="26" l="1"/>
  <c r="G88" i="26"/>
  <c r="G89" i="26" l="1"/>
  <c r="A90" i="26"/>
  <c r="A91" i="26" l="1"/>
  <c r="G90" i="26"/>
  <c r="A92" i="26" l="1"/>
  <c r="G91" i="26"/>
  <c r="G92" i="26" l="1"/>
  <c r="A93" i="26"/>
  <c r="A94" i="26" l="1"/>
  <c r="G93" i="26"/>
  <c r="A95" i="26" l="1"/>
  <c r="G95" i="26" s="1"/>
  <c r="G94" i="2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S1" authorId="0" shapeId="0" xr:uid="{00000000-0006-0000-0400-000001000000}">
      <text>
        <r>
          <rPr>
            <sz val="10"/>
            <color rgb="FF000000"/>
            <rFont val="Arial"/>
            <family val="2"/>
          </rPr>
          <t>係數一定都會增加；但效果額外換技能製作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0"/>
            <color rgb="FF000000"/>
            <rFont val="Arial"/>
            <family val="2"/>
          </rPr>
          <t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Q2" authorId="0" shapeId="0" xr:uid="{00000000-0006-0000-0800-000001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12" authorId="0" shapeId="0" xr:uid="{00000000-0006-0000-0800-000002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45" authorId="0" shapeId="0" xr:uid="{00000000-0006-0000-0800-000003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78" authorId="0" shapeId="0" xr:uid="{00000000-0006-0000-0800-000004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  <comment ref="Q87" authorId="0" shapeId="0" xr:uid="{00000000-0006-0000-0800-000005000000}">
      <text>
        <r>
          <rPr>
            <sz val="10"/>
            <color rgb="FF000000"/>
            <rFont val="Arial"/>
            <family val="2"/>
          </rPr>
          <t>沒填機率=1
填了取代機率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G1" authorId="0" shapeId="0" xr:uid="{00000000-0006-0000-0900-000001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" authorId="0" shapeId="0" xr:uid="{00000000-0006-0000-0900-000002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" authorId="0" shapeId="0" xr:uid="{00000000-0006-0000-0900-000003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" authorId="0" shapeId="0" xr:uid="{00000000-0006-0000-0900-000004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6" authorId="0" shapeId="0" xr:uid="{00000000-0006-0000-0900-000005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6" authorId="0" shapeId="0" xr:uid="{00000000-0006-0000-0900-000006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6" authorId="0" shapeId="0" xr:uid="{00000000-0006-0000-0900-000007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6" authorId="0" shapeId="0" xr:uid="{00000000-0006-0000-0900-000008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0" authorId="0" shapeId="0" xr:uid="{00000000-0006-0000-09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0" authorId="0" shapeId="0" xr:uid="{00000000-0006-0000-0900-00000A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0" authorId="0" shapeId="0" xr:uid="{00000000-0006-0000-0900-00000B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0" authorId="0" shapeId="0" xr:uid="{00000000-0006-0000-0900-00000C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6" authorId="0" shapeId="0" xr:uid="{00000000-0006-0000-0900-00000D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6" authorId="0" shapeId="0" xr:uid="{00000000-0006-0000-0900-00000E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6" authorId="0" shapeId="0" xr:uid="{00000000-0006-0000-0900-00000F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6" authorId="0" shapeId="0" xr:uid="{00000000-0006-0000-0900-000010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37" authorId="0" shapeId="0" xr:uid="{00000000-0006-0000-0900-000011000000}">
      <text>
        <r>
          <rPr>
            <sz val="10"/>
            <color rgb="FF000000"/>
            <rFont val="Arial"/>
            <family val="2"/>
          </rPr>
          <t>特例</t>
        </r>
      </text>
    </comment>
    <comment ref="B38" authorId="0" shapeId="0" xr:uid="{00000000-0006-0000-0900-000012000000}">
      <text>
        <r>
          <rPr>
            <sz val="10"/>
            <color rgb="FF000000"/>
            <rFont val="Arial"/>
            <family val="2"/>
          </rPr>
          <t>特例</t>
        </r>
      </text>
    </comment>
    <comment ref="G58" authorId="0" shapeId="0" xr:uid="{00000000-0006-0000-0900-00001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58" authorId="0" shapeId="0" xr:uid="{00000000-0006-0000-0900-00001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58" authorId="0" shapeId="0" xr:uid="{00000000-0006-0000-0900-00001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58" authorId="0" shapeId="0" xr:uid="{00000000-0006-0000-0900-00001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59" authorId="0" shapeId="0" xr:uid="{00000000-0006-0000-0900-000017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0" authorId="0" shapeId="0" xr:uid="{00000000-0006-0000-0900-000018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1" authorId="0" shapeId="0" xr:uid="{00000000-0006-0000-0900-000019000000}">
      <text>
        <r>
          <rPr>
            <sz val="10"/>
            <color rgb="FF000000"/>
            <rFont val="Arial"/>
            <family val="2"/>
          </rPr>
          <t>特例</t>
        </r>
      </text>
    </comment>
    <comment ref="B62" authorId="0" shapeId="0" xr:uid="{00000000-0006-0000-0900-00001A000000}">
      <text>
        <r>
          <rPr>
            <sz val="10"/>
            <color rgb="FF000000"/>
            <rFont val="Arial"/>
            <family val="2"/>
          </rPr>
          <t>特例</t>
        </r>
      </text>
    </comment>
    <comment ref="E65" authorId="0" shapeId="0" xr:uid="{00000000-0006-0000-0900-00001B000000}">
      <text>
        <r>
          <rPr>
            <sz val="10"/>
            <color rgb="FF000000"/>
            <rFont val="Arial"/>
            <family val="2"/>
          </rPr>
          <t>buff時間到消失時；如有填入表，則進入下一個狀態</t>
        </r>
      </text>
    </comment>
    <comment ref="G65" authorId="0" shapeId="0" xr:uid="{00000000-0006-0000-0900-00001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65" authorId="0" shapeId="0" xr:uid="{00000000-0006-0000-0900-00001D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65" authorId="0" shapeId="0" xr:uid="{00000000-0006-0000-0900-00001E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65" authorId="0" shapeId="0" xr:uid="{00000000-0006-0000-0900-00001F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B66" authorId="0" shapeId="0" xr:uid="{00000000-0006-0000-0900-000020000000}">
      <text>
        <r>
          <rPr>
            <sz val="10"/>
            <color rgb="FF000000"/>
            <rFont val="Arial"/>
            <family val="2"/>
          </rPr>
          <t xml:space="preserve"> 特殊規格(全部做完)</t>
        </r>
      </text>
    </comment>
    <comment ref="B67" authorId="0" shapeId="0" xr:uid="{00000000-0006-0000-0900-000021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68" authorId="0" shapeId="0" xr:uid="{00000000-0006-0000-0900-000022000000}">
      <text>
        <r>
          <rPr>
            <sz val="10"/>
            <color rgb="FF000000"/>
            <rFont val="Arial"/>
            <family val="2"/>
          </rPr>
          <t>特殊規格(全部做完)</t>
        </r>
      </text>
    </comment>
    <comment ref="B69" authorId="0" shapeId="0" xr:uid="{00000000-0006-0000-0900-000023000000}">
      <text>
        <r>
          <rPr>
            <sz val="10"/>
            <color rgb="FF000000"/>
            <rFont val="Arial"/>
            <family val="2"/>
          </rPr>
          <t>特殊規格+填表</t>
        </r>
      </text>
    </comment>
    <comment ref="B70" authorId="0" shapeId="0" xr:uid="{00000000-0006-0000-0900-000024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B71" authorId="0" shapeId="0" xr:uid="{00000000-0006-0000-0900-000025000000}">
      <text>
        <r>
          <rPr>
            <sz val="10"/>
            <color rgb="FF000000"/>
            <rFont val="Arial"/>
            <family val="2"/>
          </rPr>
          <t>特殊規格(無法行動+最終傷害)+填表</t>
        </r>
      </text>
    </comment>
    <comment ref="G73" authorId="0" shapeId="0" xr:uid="{00000000-0006-0000-0900-00002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73" authorId="0" shapeId="0" xr:uid="{00000000-0006-0000-0900-000027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73" authorId="0" shapeId="0" xr:uid="{00000000-0006-0000-0900-000028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73" authorId="0" shapeId="0" xr:uid="{00000000-0006-0000-0900-000029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107" authorId="0" shapeId="0" xr:uid="{00000000-0006-0000-0900-00002A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G191" authorId="0" shapeId="0" xr:uid="{00000000-0006-0000-0900-00002B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191" authorId="0" shapeId="0" xr:uid="{00000000-0006-0000-0900-00002C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191" authorId="0" shapeId="0" xr:uid="{00000000-0006-0000-0900-00002D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191" authorId="0" shapeId="0" xr:uid="{00000000-0006-0000-0900-00002E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293" authorId="0" shapeId="0" xr:uid="{00000000-0006-0000-0900-00002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293" authorId="0" shapeId="0" xr:uid="{00000000-0006-0000-0900-000030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293" authorId="0" shapeId="0" xr:uid="{00000000-0006-0000-0900-000031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293" authorId="0" shapeId="0" xr:uid="{00000000-0006-0000-0900-000032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  <comment ref="G311" authorId="0" shapeId="0" xr:uid="{00000000-0006-0000-0900-000033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Z311" authorId="0" shapeId="0" xr:uid="{00000000-0006-0000-0900-000034000000}">
      <text>
        <r>
          <rPr>
            <sz val="10"/>
            <color rgb="FF000000"/>
            <rFont val="Arial"/>
            <family val="2"/>
          </rPr>
          <t>如果有填才啟動，回合開始時該BUFF生效(配合invisible欄位；生效後改為可見的buff)
不填不啟動</t>
        </r>
      </text>
    </comment>
    <comment ref="AA311" authorId="0" shapeId="0" xr:uid="{00000000-0006-0000-0900-000035000000}">
      <text>
        <r>
          <rPr>
            <sz val="10"/>
            <color rgb="FF000000"/>
            <rFont val="Arial"/>
            <family val="2"/>
          </rPr>
          <t>如果有填才啟動，回合開始時當現有HP達大於X%時
(配合invisible欄位；生效後改為可見的buff)
不填不啟動</t>
        </r>
      </text>
    </comment>
    <comment ref="AB311" authorId="0" shapeId="0" xr:uid="{00000000-0006-0000-0900-000036000000}">
      <text>
        <r>
          <rPr>
            <sz val="10"/>
            <color rgb="FF000000"/>
            <rFont val="Arial"/>
            <family val="2"/>
          </rPr>
          <t>如果有填才啟動，回合開始時當現有HP達小於X%時
(配合invisible欄位；生效後改為可見的buff)
不填不啟動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F2" authorId="0" shapeId="0" xr:uid="{00000000-0006-0000-0A00-000001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2" authorId="0" shapeId="0" xr:uid="{00000000-0006-0000-0A00-000002000000}">
      <text>
        <r>
          <rPr>
            <sz val="10"/>
            <color rgb="FF000000"/>
            <rFont val="Arial"/>
            <family val="2"/>
          </rPr>
          <t>1=水
2=火
3=木</t>
        </r>
      </text>
    </comment>
    <comment ref="M2" authorId="0" shapeId="0" xr:uid="{00000000-0006-0000-0A00-000003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Z2" authorId="0" shapeId="0" xr:uid="{00000000-0006-0000-0A00-000004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  <comment ref="F35" authorId="0" shapeId="0" xr:uid="{00000000-0006-0000-0A00-000005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35" authorId="0" shapeId="0" xr:uid="{00000000-0006-0000-0A00-000006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35" authorId="0" shapeId="0" xr:uid="{00000000-0006-0000-0A00-000007000000}">
      <text>
        <r>
          <rPr>
            <sz val="10"/>
            <color rgb="FF000000"/>
            <rFont val="Arial"/>
            <family val="2"/>
          </rPr>
          <t>type=role才生效
依照倍率玩家可以加乘%*職業等級至整個隊伍
五維倍率</t>
        </r>
      </text>
    </comment>
    <comment ref="F53" authorId="0" shapeId="0" xr:uid="{00000000-0006-0000-0A00-000008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53" authorId="0" shapeId="0" xr:uid="{00000000-0006-0000-0A00-000009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53" authorId="0" shapeId="0" xr:uid="{00000000-0006-0000-0A00-00000A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44" authorId="0" shapeId="0" xr:uid="{00000000-0006-0000-0A00-00000B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44" authorId="0" shapeId="0" xr:uid="{00000000-0006-0000-0A00-00000C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44" authorId="0" shapeId="0" xr:uid="{00000000-0006-0000-0A00-00000D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  <comment ref="F163" authorId="0" shapeId="0" xr:uid="{00000000-0006-0000-0A00-00000E000000}">
      <text>
        <r>
          <rPr>
            <sz val="10"/>
            <color rgb="FF000000"/>
            <rFont val="Arial"/>
            <family val="2"/>
          </rPr>
          <t>gem        =1
weapon	=2
head	=3
armor	=4
shoe	=5
weapon	=6
cloak	=7
Pants	=8</t>
        </r>
      </text>
    </comment>
    <comment ref="L163" authorId="0" shapeId="0" xr:uid="{00000000-0006-0000-0A00-00000F000000}">
      <text>
        <r>
          <rPr>
            <sz val="10"/>
            <color rgb="FF000000"/>
            <rFont val="Arial"/>
            <family val="2"/>
          </rPr>
          <t>1=水
2=火
3=風</t>
        </r>
      </text>
    </comment>
    <comment ref="M163" authorId="0" shapeId="0" xr:uid="{00000000-0006-0000-0A00-000010000000}">
      <text>
        <r>
          <rPr>
            <sz val="10"/>
            <color rgb="FF000000"/>
            <rFont val="Arial"/>
            <family val="2"/>
          </rPr>
          <t>type=role才生效
依照倍率玩家可以加乘至整個隊伍
五維倍率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1" authorId="0" shapeId="0" xr:uid="{00000000-0006-0000-0C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" authorId="0" shapeId="0" xr:uid="{00000000-0006-0000-0C00-000002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H1" authorId="0" shapeId="0" xr:uid="{00000000-0006-0000-0C00-000003000000}">
      <text>
        <r>
          <rPr>
            <sz val="10"/>
            <color rgb="FF000000"/>
            <rFont val="Arial"/>
            <family val="2"/>
          </rPr>
          <t>進入前要不要布陣，要=1</t>
        </r>
      </text>
    </comment>
    <comment ref="I1" authorId="0" shapeId="0" xr:uid="{00000000-0006-0000-0C00-000004000000}">
      <text>
        <r>
          <rPr>
            <sz val="10"/>
            <color rgb="FF000000"/>
            <rFont val="Arial"/>
            <family val="2"/>
          </rPr>
          <t>推薦戰力</t>
        </r>
      </text>
    </comment>
    <comment ref="N1" authorId="0" shapeId="0" xr:uid="{00000000-0006-0000-0C00-00000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" authorId="0" shapeId="0" xr:uid="{00000000-0006-0000-0C00-00000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8" authorId="0" shapeId="0" xr:uid="{00000000-0006-0000-0C00-000007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8" authorId="0" shapeId="0" xr:uid="{00000000-0006-0000-0C00-000008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8" authorId="0" shapeId="0" xr:uid="{00000000-0006-0000-0C00-000009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8" authorId="0" shapeId="0" xr:uid="{00000000-0006-0000-0C00-00000A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81" authorId="0" shapeId="0" xr:uid="{00000000-0006-0000-0C00-00000B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81" authorId="0" shapeId="0" xr:uid="{00000000-0006-0000-0C00-00000C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81" authorId="0" shapeId="0" xr:uid="{00000000-0006-0000-0C00-00000D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81" authorId="0" shapeId="0" xr:uid="{00000000-0006-0000-0C00-00000E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2" authorId="0" shapeId="0" xr:uid="{00000000-0006-0000-0C00-00000F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2" authorId="0" shapeId="0" xr:uid="{00000000-0006-0000-0C00-000010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2" authorId="0" shapeId="0" xr:uid="{00000000-0006-0000-0C00-000011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2" authorId="0" shapeId="0" xr:uid="{00000000-0006-0000-0C00-000012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E129" authorId="0" shapeId="0" xr:uid="{00000000-0006-0000-0C00-000013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G129" authorId="0" shapeId="0" xr:uid="{00000000-0006-0000-0C00-000014000000}">
      <text>
        <r>
          <rPr>
            <sz val="10"/>
            <color rgb="FF000000"/>
            <rFont val="Arial"/>
            <family val="2"/>
          </rPr>
          <t>{id:-1} = 可上陣英雄數量(我方)</t>
        </r>
      </text>
    </comment>
    <comment ref="N129" authorId="0" shapeId="0" xr:uid="{00000000-0006-0000-0C00-000015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  <comment ref="T129" authorId="0" shapeId="0" xr:uid="{00000000-0006-0000-0C00-000016000000}">
      <text>
        <r>
          <rPr>
            <sz val="10"/>
            <color rgb="FF000000"/>
            <rFont val="Arial"/>
            <family val="2"/>
          </rPr>
          <t>-1=我方全隊
1=敵方全隊
不填=全場效果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E00-000001000000}">
      <text>
        <r>
          <rPr>
            <sz val="10"/>
            <color rgb="FF000000"/>
            <rFont val="Arial"/>
            <family val="2"/>
          </rPr>
          <t>story=劇情喔放模式
guild=無關的引導劇情模式
不填=call function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0F00-000001000000}">
      <text>
        <r>
          <rPr>
            <sz val="10"/>
            <color rgb="FF000000"/>
            <rFont val="Arial"/>
            <family val="2"/>
          </rPr>
          <t>初始每場直接過關機率=20%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100-000001000000}">
      <text>
        <r>
          <rPr>
            <sz val="10"/>
            <color rgb="FF000000"/>
            <rFont val="Arial"/>
            <family val="2"/>
          </rPr>
          <t>武器、腳201,202,203,204
頭、身205,206,207,208
褲、批209,210,211,212</t>
        </r>
      </text>
    </comment>
    <comment ref="D1" authorId="0" shapeId="0" xr:uid="{00000000-0006-0000-1100-000002000000}">
      <text>
        <r>
          <rPr>
            <sz val="10"/>
            <color rgb="FF000000"/>
            <rFont val="Arial"/>
            <family val="2"/>
          </rPr>
          <t>武器 腳
攻 魔攻 魔力 技能傷害抵抗
攻 魔攻 魔力 爆擊率
攻 魔攻 魔力 護盾量
攻 魔攻 魔力 貫穿</t>
        </r>
      </text>
    </comment>
    <comment ref="X1" authorId="0" shapeId="0" xr:uid="{00000000-0006-0000-1100-000003000000}">
      <text>
        <r>
          <rPr>
            <sz val="10"/>
            <color rgb="FF000000"/>
            <rFont val="Arial"/>
            <family val="2"/>
          </rPr>
          <t>偏移值
正負%數(0.1=10%)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300-000001000000}">
      <text>
        <r>
          <rPr>
            <sz val="10"/>
            <color rgb="FF000000"/>
            <rFont val="Arial"/>
            <family val="2"/>
          </rPr>
          <t>99=貨幣
1=消耗品
100=card碎片
9999=帳號經驗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1" authorId="0" shapeId="0" xr:uid="{00000000-0006-0000-1400-000001000000}">
      <text>
        <r>
          <rPr>
            <sz val="10"/>
            <color rgb="FF000000"/>
            <rFont val="Arial"/>
            <family val="2"/>
          </rPr>
          <t>每個等級所有除了敏捷的數值(HP、ATK、MATK、DEF、MDE、MP，均成長level*0.3的數值
ex. 攻擊力=起始攻擊力 * (1+level*0.03)
敏捷每等級成長*0.01</t>
        </r>
      </text>
    </comment>
    <comment ref="D1" authorId="0" shapeId="0" xr:uid="{00000000-0006-0000-1400-000002000000}">
      <text>
        <r>
          <rPr>
            <sz val="10"/>
            <color rgb="FF000000"/>
            <rFont val="Arial"/>
            <family val="2"/>
          </rPr>
          <t>每5分鐘獲得一次獎勵
填入多個ID的話 平分機率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500-000001000000}">
      <text>
        <r>
          <rPr>
            <sz val="10"/>
            <color rgb="FF000000"/>
            <rFont val="Arial"/>
            <family val="2"/>
          </rPr>
          <t>800=寶石強化
900=裝備升星</t>
        </r>
      </text>
    </comment>
    <comment ref="F45" authorId="0" shapeId="0" xr:uid="{00000000-0006-0000-1500-000002000000}">
      <text>
        <r>
          <rPr>
            <sz val="10"/>
            <color rgb="FF000000"/>
            <rFont val="Arial"/>
            <family val="2"/>
          </rPr>
          <t>900	SSR武器升星-物攻1
901	SSR武器升星-魔攻1
902	SR武器升星-物攻1
903	SR武器升星-魔攻1
904	R武器升星-物攻1
905	R武器升星-魔攻1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600-000001000000}">
      <text>
        <r>
          <rPr>
            <sz val="10"/>
            <color rgb="FF000000"/>
            <rFont val="Arial"/>
            <family val="2"/>
          </rPr>
          <t>800=裝備
700=寶石強化
900=裝備升星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18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  <comment ref="C1" authorId="0" shapeId="0" xr:uid="{00000000-0006-0000-1800-000002000000}">
      <text>
        <r>
          <rPr>
            <sz val="10"/>
            <color rgb="FF000000"/>
            <rFont val="Arial"/>
            <family val="2"/>
          </rPr>
          <t>card中的role_id決定開啟條件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1900-000001000000}">
      <text>
        <r>
          <rPr>
            <sz val="10"/>
            <color rgb="FF000000"/>
            <rFont val="Arial"/>
            <family val="2"/>
          </rPr>
          <t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1" authorId="0" shapeId="0" xr:uid="{00000000-0006-0000-1B00-000001000000}">
      <text>
        <r>
          <rPr>
            <sz val="10"/>
            <color rgb="FF000000"/>
            <rFont val="Arial"/>
            <family val="2"/>
          </rPr>
          <t>level x 等於小於時； 每等級給予的天賦點數</t>
        </r>
      </text>
    </comment>
  </commentList>
</comments>
</file>

<file path=xl/sharedStrings.xml><?xml version="1.0" encoding="utf-8"?>
<sst xmlns="http://schemas.openxmlformats.org/spreadsheetml/2006/main" count="14590" uniqueCount="4547">
  <si>
    <t>id</t>
  </si>
  <si>
    <t>info</t>
  </si>
  <si>
    <t>cost1_id</t>
  </si>
  <si>
    <t>cost1_amount</t>
  </si>
  <si>
    <t>cost10_id</t>
  </si>
  <si>
    <t>cost10_amount</t>
  </si>
  <si>
    <t>begin_time</t>
  </si>
  <si>
    <t>end_time</t>
  </si>
  <si>
    <t>武器轉蛋</t>
  </si>
  <si>
    <t>裝備轉蛋</t>
  </si>
  <si>
    <t>寶石轉蛋</t>
  </si>
  <si>
    <t>UI參考</t>
  </si>
  <si>
    <t>HERO</t>
  </si>
  <si>
    <t>兵員1(敵方)</t>
  </si>
  <si>
    <t>兵員2(敵方)</t>
  </si>
  <si>
    <t>兵員3(敵方)</t>
  </si>
  <si>
    <t>兵員4(敵方)</t>
  </si>
  <si>
    <t>兵員5(敵方)</t>
  </si>
  <si>
    <t>兵員1(我方)</t>
  </si>
  <si>
    <t>兵員2(我方)</t>
  </si>
  <si>
    <t>兵員3(我方)</t>
  </si>
  <si>
    <t>兵員4(我方)</t>
  </si>
  <si>
    <t>兵員5(我方)</t>
  </si>
  <si>
    <t>*依照敏捷依序進行攻擊；攻擊規則詳參基本說明</t>
  </si>
  <si>
    <t>單詞規則說明</t>
  </si>
  <si>
    <t>傷害公式</t>
  </si>
  <si>
    <t>傷害 = Self_Atk*Self_Atk / (Enemy_Def+Self_Atk) * (Skill_Self_SkillRate*Skill係數) *   if(cri亂數決定是否爆擊true *criDamge[先定150%即可] )</t>
  </si>
  <si>
    <t>帳號用</t>
  </si>
  <si>
    <t>S_HP</t>
  </si>
  <si>
    <t>等於全體角色平均的血量；該值歸0將戰鬥失敗</t>
  </si>
  <si>
    <t>戰法</t>
  </si>
  <si>
    <t>特殊技能；於回合開始時發動，自動狀態下可先進行預約；下回合如果SP符合則可施放</t>
  </si>
  <si>
    <t>水晶物理防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</si>
  <si>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</si>
  <si>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</si>
  <si>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</si>
  <si>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角色用</t>
  </si>
  <si>
    <t>HP</t>
  </si>
  <si>
    <t>角色的HP數值(起始就全滿)，歸0時則死亡</t>
  </si>
  <si>
    <t>MP</t>
  </si>
  <si>
    <t>角色的MP數值(起始就全滿)，需要足夠的MP量才可以施放skill1與skill2，每回合開始時自動恢復10%</t>
  </si>
  <si>
    <t>普通攻擊</t>
  </si>
  <si>
    <t>一般攻擊；不消耗MP，並且如果無前方角色進行抵擋傷害時，直接傷害召喚水晶(防禦用召喚水晶為準)</t>
  </si>
  <si>
    <t>skill1</t>
  </si>
  <si>
    <t>將會消耗MP才能進行施放</t>
  </si>
  <si>
    <t>skill2</t>
  </si>
  <si>
    <t>移動位置</t>
  </si>
  <si>
    <t>如自身左右方沒有英雄時，可以換取位置，但會消耗一回合</t>
  </si>
  <si>
    <t>重生</t>
  </si>
  <si>
    <t>所有的角色死亡都會自動依照回合數進行自動復活(HP全滿、MP全滿)</t>
  </si>
  <si>
    <t>重生時間</t>
  </si>
  <si>
    <t>復活時hp與mp階滿</t>
  </si>
  <si>
    <t>戰鬥用</t>
  </si>
  <si>
    <t>勝利條件1=全部召喚角色死亡(小於等於0)</t>
  </si>
  <si>
    <t>勝利條件2=召喚水晶HP死亡(小於等於0)</t>
  </si>
  <si>
    <t>SKILL中沒有填AP與AD細數時；不需要有特效，並且需要判定如有填入buff_id時則須增加該BUFF至角色身上</t>
  </si>
  <si>
    <t>攻擊時；只要受擊的對方已死亡，該傷害將重新計算至召喚水晶(S_HP、水晶物理防、水晶魔法防規則)</t>
  </si>
  <si>
    <t>可以把英雄 跟召喚水晶理解成前排與後排，前排的英雄可以抵擋傷害，當前排死亡時；所有遠本會打到前排的攻擊(所有5個位置都會)，都會打到後排的召喚水晶</t>
  </si>
  <si>
    <t>死亡的英雄不再顯示於行動順序上；每個回合將重新排序</t>
  </si>
  <si>
    <t>傷害溢出功能，當次的攻擊可以造成角色死亡時；該多餘的傷害需要直接傷害到水晶(傷害不變)</t>
  </si>
  <si>
    <t>水晶直接攻擊 的 水晶直接傷害追加一個規則，就是必定造成傷害再追加100%(總共兩倍)</t>
  </si>
  <si>
    <t>復活時不再透過角色hp來減少當下的s_hp</t>
  </si>
  <si>
    <t>element有互克關係；水剋火,火剋木,木剋水，剋制關係時造成的最終傷害增加+30%(水打火)、被剋制關係時火打水時造成的最終傷害-30%</t>
  </si>
  <si>
    <t>level</t>
  </si>
  <si>
    <t>HP / ATK / MATK / DEF / MDEF / MP = 起始數值 * (1 + level * 0.03)</t>
  </si>
  <si>
    <t xml:space="preserve"> AGI = 起始AGI * (1 + level * 0.01) level = 0 時完全不縮放，維持原始數值</t>
  </si>
  <si>
    <t>傷害(物理傷害) = Self_Atk*Self_Atk / (Enemy_Def+Self_Atk) * (Skill_Self_SkillRate*Skill係數) *   if(cri亂數決定是否爆擊true * criDamge[最低150%依照後續追加] )</t>
  </si>
  <si>
    <t>攻擊傷害 = (Self_atk^2 / (Self_atk+enemy_def ))* Damage *IfCri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</si>
  <si>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</si>
  <si>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</si>
  <si>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*紅字可以直接透過slot結果帶入</t>
  </si>
  <si>
    <t>計算爆擊:      (self_cri  - enemy_criReduce ) 減後；計算爆擊率</t>
  </si>
  <si>
    <t>爆擊時    :     IfCri =  150% + (self_criDamage - enemy_criDamageReduce) ；()內值最小=0</t>
  </si>
  <si>
    <t>指定</t>
  </si>
  <si>
    <t>攻擊數量</t>
  </si>
  <si>
    <t>SSR</t>
  </si>
  <si>
    <t>物理攻擊</t>
  </si>
  <si>
    <t>SR</t>
  </si>
  <si>
    <t>魔法攻擊</t>
  </si>
  <si>
    <t>R</t>
  </si>
  <si>
    <t xml:space="preserve">劍士 </t>
  </si>
  <si>
    <t>普攻</t>
  </si>
  <si>
    <t>劍豪</t>
  </si>
  <si>
    <t>狂怒一擊</t>
  </si>
  <si>
    <t>CD</t>
  </si>
  <si>
    <t>對敵方1體造成3AD物攻的物理傷害，並40%附加暈眩</t>
  </si>
  <si>
    <t>狂戰士</t>
  </si>
  <si>
    <t>全隊增加攻擊力</t>
  </si>
  <si>
    <t>CD=2</t>
  </si>
  <si>
    <t>為全體附加攻擊上升</t>
  </si>
  <si>
    <t>神射手</t>
  </si>
  <si>
    <t>隨機</t>
  </si>
  <si>
    <t>刺客</t>
  </si>
  <si>
    <t xml:space="preserve">戰士 </t>
  </si>
  <si>
    <t>魔導士</t>
  </si>
  <si>
    <t>重劍防禦</t>
  </si>
  <si>
    <t>對我方隨機2體附加3AD的護盾</t>
  </si>
  <si>
    <t>神官</t>
  </si>
  <si>
    <t>全隊增加防禦力</t>
  </si>
  <si>
    <t>為全體附加防禦上升</t>
  </si>
  <si>
    <t>初始職業</t>
  </si>
  <si>
    <t>一階</t>
  </si>
  <si>
    <t>二階</t>
  </si>
  <si>
    <t>三階</t>
  </si>
  <si>
    <t>四階</t>
  </si>
  <si>
    <t xml:space="preserve">弓劍手 </t>
  </si>
  <si>
    <t>劍士</t>
  </si>
  <si>
    <t>劍狂</t>
  </si>
  <si>
    <t>劍聖</t>
  </si>
  <si>
    <t>神劍使</t>
  </si>
  <si>
    <t>全速攻擊</t>
  </si>
  <si>
    <t>對敵方2體造成1.65物攻的物理傷害，並為自身附加行動加快</t>
  </si>
  <si>
    <t>聖戰神</t>
  </si>
  <si>
    <t>黑十字騎士</t>
  </si>
  <si>
    <t>聖痕征服者</t>
  </si>
  <si>
    <t>全隊增加技能傷害</t>
  </si>
  <si>
    <t>為全體附加技能傷害上升</t>
  </si>
  <si>
    <t>戰士</t>
  </si>
  <si>
    <t>戰將</t>
  </si>
  <si>
    <t>戰神</t>
  </si>
  <si>
    <t>不滅戰神</t>
  </si>
  <si>
    <t>重裝騎士</t>
  </si>
  <si>
    <t>鋼鐵騎士</t>
  </si>
  <si>
    <t>守護戰神</t>
  </si>
  <si>
    <t>盜賊</t>
  </si>
  <si>
    <t>劇毒匕首</t>
  </si>
  <si>
    <t>對敵方1體造成3.1物攻的物理傷害，並附加中毒效果</t>
  </si>
  <si>
    <t>弓手</t>
  </si>
  <si>
    <t>狙擊者</t>
  </si>
  <si>
    <t>天穹獵手</t>
  </si>
  <si>
    <t>星弦獵神</t>
  </si>
  <si>
    <t>全隊增加爆擊率</t>
  </si>
  <si>
    <t>全隊增加爆擊率上升</t>
  </si>
  <si>
    <t>遊俠</t>
  </si>
  <si>
    <t>森林王</t>
  </si>
  <si>
    <t>萬獸獵王</t>
  </si>
  <si>
    <t>魔法師</t>
  </si>
  <si>
    <t>影刃</t>
  </si>
  <si>
    <t>暗影宗師</t>
  </si>
  <si>
    <t>虛空刺客</t>
  </si>
  <si>
    <t>全體點燃</t>
  </si>
  <si>
    <t>對敵方全體造成0.6魔攻的魔法傷害，並附加灼傷</t>
  </si>
  <si>
    <t>遊蕩者</t>
  </si>
  <si>
    <t>暗夜獵手</t>
  </si>
  <si>
    <t>幻影宗師</t>
  </si>
  <si>
    <t>全隊增加魔攻上升</t>
  </si>
  <si>
    <t>法師</t>
  </si>
  <si>
    <t>大魔導士</t>
  </si>
  <si>
    <t>賢者</t>
  </si>
  <si>
    <t>大賢者</t>
  </si>
  <si>
    <t>咒術師</t>
  </si>
  <si>
    <t>禁術師</t>
  </si>
  <si>
    <t>深淵術士</t>
  </si>
  <si>
    <t>實習祭司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</si>
  <si>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</si>
  <si>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</si>
  <si>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</si>
  <si>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</si>
  <si>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</si>
  <si>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</si>
  <si>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</si>
  <si>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</si>
  <si>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</si>
  <si>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</si>
  <si>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</si>
  <si>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</si>
  <si>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</si>
  <si>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</si>
  <si>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</si>
  <si>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</si>
  <si>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</si>
  <si>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特性</t>
  </si>
  <si>
    <t>掉落機制</t>
  </si>
  <si>
    <t>掉落物</t>
  </si>
  <si>
    <t>回魔量</t>
  </si>
  <si>
    <t>神格試煉</t>
  </si>
  <si>
    <t>出戰限制，隨機決定</t>
  </si>
  <si>
    <t>每場都有獎勵</t>
  </si>
  <si>
    <t>職業經驗</t>
  </si>
  <si>
    <t>轉職卷碎片</t>
  </si>
  <si>
    <t>悟性藥水(有機會獲得點數；累積制)</t>
  </si>
  <si>
    <t>貫穿</t>
  </si>
  <si>
    <t>貫穿抵抗</t>
  </si>
  <si>
    <t>試煉之塔</t>
  </si>
  <si>
    <t>爬塔</t>
  </si>
  <si>
    <t>抽卡卷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</si>
  <si>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</si>
  <si>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</si>
  <si>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</si>
  <si>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</si>
  <si>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</si>
  <si>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</si>
  <si>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</si>
  <si>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</si>
  <si>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</si>
  <si>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強化石</t>
  </si>
  <si>
    <t>護盾量</t>
  </si>
  <si>
    <t>護盾量減少</t>
  </si>
  <si>
    <t>殲滅任務</t>
  </si>
  <si>
    <t>多wave；要一次打過</t>
  </si>
  <si>
    <t>武器經驗</t>
  </si>
  <si>
    <t>寶石</t>
  </si>
  <si>
    <t>帳號配點</t>
  </si>
  <si>
    <t>點數只要有固定的數字出現；會有新的個性出現</t>
  </si>
  <si>
    <t>int</t>
  </si>
  <si>
    <t>魔攻</t>
  </si>
  <si>
    <t>技能傷害</t>
  </si>
  <si>
    <t>vit</t>
  </si>
  <si>
    <t>防禦</t>
  </si>
  <si>
    <t>agi</t>
  </si>
  <si>
    <t>爆擊率</t>
  </si>
  <si>
    <t>行動值</t>
  </si>
  <si>
    <t>str</t>
  </si>
  <si>
    <t>攻擊力</t>
  </si>
  <si>
    <t>爆傷害</t>
  </si>
  <si>
    <t>每1點抵銷受擊敵人的防禦1點</t>
  </si>
  <si>
    <t>dex</t>
  </si>
  <si>
    <t>異常狀態抗性</t>
  </si>
  <si>
    <t>ID 4000~5999的抗性機率，初始為0%</t>
  </si>
  <si>
    <t>spr</t>
  </si>
  <si>
    <t>魔防</t>
  </si>
  <si>
    <t>追加最終heal，起始為100%</t>
  </si>
  <si>
    <t>起始開放</t>
  </si>
  <si>
    <t>職業</t>
  </si>
  <si>
    <t>職業-天賦</t>
  </si>
  <si>
    <t>主線關卡 / 帳號等級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</si>
  <si>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</si>
  <si>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</si>
  <si>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</si>
  <si>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</si>
  <si>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</si>
  <si>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</si>
  <si>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</si>
  <si>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</si>
  <si>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</si>
  <si>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</si>
  <si>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</si>
  <si>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</si>
  <si>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</si>
  <si>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</si>
  <si>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</si>
  <si>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</si>
  <si>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</si>
  <si>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</si>
  <si>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</si>
  <si>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</si>
  <si>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</si>
  <si>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</si>
  <si>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</si>
  <si>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</si>
  <si>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</si>
  <si>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</si>
  <si>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</si>
  <si>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</si>
  <si>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</si>
  <si>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</si>
  <si>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</si>
  <si>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</si>
  <si>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</si>
  <si>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</si>
  <si>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</si>
  <si>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</si>
  <si>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</si>
  <si>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</si>
  <si>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</si>
  <si>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</si>
  <si>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</si>
  <si>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</si>
  <si>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</si>
  <si>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</si>
  <si>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</si>
  <si>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</si>
  <si>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</si>
  <si>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</si>
  <si>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</si>
  <si>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</si>
  <si>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</si>
  <si>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</si>
  <si>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</si>
  <si>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</si>
  <si>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</si>
  <si>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</si>
  <si>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</si>
  <si>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</si>
  <si>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</si>
  <si>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</si>
  <si>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</si>
  <si>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</si>
  <si>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</si>
  <si>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</si>
  <si>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</si>
  <si>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</si>
  <si>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</si>
  <si>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</si>
  <si>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</si>
  <si>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</si>
  <si>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</si>
  <si>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</si>
  <si>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</si>
  <si>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</si>
  <si>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</si>
  <si>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</si>
  <si>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</si>
  <si>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</si>
  <si>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</si>
  <si>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</si>
  <si>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</si>
  <si>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</si>
  <si>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</si>
  <si>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</si>
  <si>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</si>
  <si>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</si>
  <si>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</si>
  <si>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</si>
  <si>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</si>
  <si>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</si>
  <si>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</si>
  <si>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</si>
  <si>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</si>
  <si>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</si>
  <si>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</si>
  <si>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</si>
  <si>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</si>
  <si>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</si>
  <si>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</si>
  <si>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</si>
  <si>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</si>
  <si>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</si>
  <si>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</si>
  <si>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</si>
  <si>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</si>
  <si>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</si>
  <si>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</si>
  <si>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</si>
  <si>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</si>
  <si>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</si>
  <si>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</si>
  <si>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</si>
  <si>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</si>
  <si>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</si>
  <si>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</si>
  <si>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</si>
  <si>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</si>
  <si>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</si>
  <si>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</si>
  <si>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</si>
  <si>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</si>
  <si>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</si>
  <si>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</si>
  <si>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</si>
  <si>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</si>
  <si>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</si>
  <si>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</si>
  <si>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</si>
  <si>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</si>
  <si>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</si>
  <si>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</si>
  <si>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</si>
  <si>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</si>
  <si>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</si>
  <si>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</si>
  <si>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</si>
  <si>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</si>
  <si>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</si>
  <si>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</si>
  <si>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</si>
  <si>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</si>
  <si>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</si>
  <si>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</si>
  <si>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</si>
  <si>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</si>
  <si>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</si>
  <si>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</si>
  <si>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</si>
  <si>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</si>
  <si>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</si>
  <si>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</si>
  <si>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</si>
  <si>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</si>
  <si>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</si>
  <si>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</si>
  <si>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</si>
  <si>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</si>
  <si>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</si>
  <si>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</si>
  <si>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</si>
  <si>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</si>
  <si>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</si>
  <si>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</si>
  <si>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</si>
  <si>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</si>
  <si>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</si>
  <si>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</si>
  <si>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</si>
  <si>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</si>
  <si>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</si>
  <si>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</si>
  <si>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</si>
  <si>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</si>
  <si>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</si>
  <si>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</si>
  <si>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</si>
  <si>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</si>
  <si>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</si>
  <si>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</si>
  <si>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</si>
  <si>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</si>
  <si>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</si>
  <si>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</si>
  <si>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</si>
  <si>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</si>
  <si>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</si>
  <si>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</si>
  <si>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</si>
  <si>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</si>
  <si>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</si>
  <si>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</si>
  <si>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</si>
  <si>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</si>
  <si>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</si>
  <si>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</si>
  <si>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</si>
  <si>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</si>
  <si>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</si>
  <si>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</si>
  <si>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</si>
  <si>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</si>
  <si>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</si>
  <si>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</si>
  <si>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</si>
  <si>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</si>
  <si>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</si>
  <si>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</si>
  <si>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</si>
  <si>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</si>
  <si>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</si>
  <si>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</si>
  <si>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</si>
  <si>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</si>
  <si>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</si>
  <si>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</si>
  <si>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</si>
  <si>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</si>
  <si>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</si>
  <si>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</si>
  <si>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</si>
  <si>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</si>
  <si>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</si>
  <si>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</si>
  <si>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</si>
  <si>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</si>
  <si>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</si>
  <si>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</si>
  <si>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</si>
  <si>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</si>
  <si>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</si>
  <si>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</si>
  <si>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</si>
  <si>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</si>
  <si>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</si>
  <si>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</si>
  <si>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</si>
  <si>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</si>
  <si>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</si>
  <si>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</si>
  <si>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</si>
  <si>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</si>
  <si>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</si>
  <si>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</si>
  <si>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</si>
  <si>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</si>
  <si>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潘朵拉的魔盒</t>
  </si>
  <si>
    <t>釋放世間災禍與痛苦的禁忌器物。</t>
  </si>
  <si>
    <t>尼米安之皮</t>
  </si>
  <si>
    <t>基督教傳說中刺穿耶穌基督側腹的聖槍。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</si>
  <si>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</si>
  <si>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</si>
  <si>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</si>
  <si>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</si>
  <si>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</si>
  <si>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</si>
  <si>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</si>
  <si>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額外附加治療反轉</t>
  </si>
  <si>
    <t>降魔杵</t>
  </si>
  <si>
    <t>凱爾特神話中太陽神的光之貫穿之槍。</t>
  </si>
  <si>
    <t>數珠丸恆次</t>
  </si>
  <si>
    <t>象徵至高權能與驅使靈體之力的祈福寶器。</t>
  </si>
  <si>
    <t>布里歐納克</t>
  </si>
  <si>
    <t>佛教密宗中用以摧毀煩惱、鎮伏妖魔的金剛法器。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</si>
  <si>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</si>
  <si>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</si>
  <si>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</si>
  <si>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</si>
  <si>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</si>
  <si>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</si>
  <si>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</si>
  <si>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</si>
  <si>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</si>
  <si>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</si>
  <si>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</si>
  <si>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</si>
  <si>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</si>
  <si>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</si>
  <si>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</si>
  <si>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</si>
  <si>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</si>
  <si>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</si>
  <si>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</si>
  <si>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</si>
  <si>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</si>
  <si>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</si>
  <si>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</si>
  <si>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</si>
  <si>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</si>
  <si>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</si>
  <si>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</si>
  <si>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</si>
  <si>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</si>
  <si>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</si>
  <si>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</si>
  <si>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</si>
  <si>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</si>
  <si>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</si>
  <si>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</si>
  <si>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</si>
  <si>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</si>
  <si>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</si>
  <si>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</si>
  <si>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</si>
  <si>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</si>
  <si>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</si>
  <si>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</si>
  <si>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</si>
  <si>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</si>
  <si>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</si>
  <si>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</si>
  <si>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</si>
  <si>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</si>
  <si>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</si>
  <si>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</si>
  <si>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</si>
  <si>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</si>
  <si>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</si>
  <si>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</si>
  <si>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</si>
  <si>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</si>
  <si>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</si>
  <si>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</si>
  <si>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</si>
  <si>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</si>
  <si>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</si>
  <si>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</si>
  <si>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</si>
  <si>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</si>
  <si>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</si>
  <si>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</si>
  <si>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</si>
  <si>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</si>
  <si>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</si>
  <si>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</si>
  <si>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</si>
  <si>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</si>
  <si>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</si>
  <si>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</si>
  <si>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</si>
  <si>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</si>
  <si>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</si>
  <si>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</si>
  <si>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</si>
  <si>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</si>
  <si>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</si>
  <si>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</si>
  <si>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</si>
  <si>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</si>
  <si>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</si>
  <si>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</si>
  <si>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</si>
  <si>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</si>
  <si>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</si>
  <si>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</si>
  <si>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</si>
  <si>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</si>
  <si>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</si>
  <si>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</si>
  <si>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</si>
  <si>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</si>
  <si>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</si>
  <si>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</si>
  <si>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</si>
  <si>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</si>
  <si>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</si>
  <si>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</si>
  <si>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</si>
  <si>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</si>
  <si>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</si>
  <si>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</si>
  <si>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</si>
  <si>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</si>
  <si>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</si>
  <si>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</si>
  <si>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</si>
  <si>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</si>
  <si>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</si>
  <si>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</si>
  <si>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</si>
  <si>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</si>
  <si>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</si>
  <si>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</si>
  <si>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</si>
  <si>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</si>
  <si>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</si>
  <si>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</si>
  <si>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</si>
  <si>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</si>
  <si>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</si>
  <si>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</si>
  <si>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</si>
  <si>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</si>
  <si>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</si>
  <si>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</si>
  <si>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</si>
  <si>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</si>
  <si>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風暴護障</t>
  </si>
  <si>
    <t>為隨機我方2體恢復HP，並附加魔坊上升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</si>
  <si>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</si>
  <si>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</si>
  <si>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</si>
  <si>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</si>
  <si>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</si>
  <si>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閃擊劍舞</t>
  </si>
  <si>
    <t>25%附加自身行動加快</t>
  </si>
  <si>
    <t>布裝</t>
  </si>
  <si>
    <t>絲質布衣</t>
  </si>
  <si>
    <t>琉光布裝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</si>
  <si>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</si>
  <si>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</si>
  <si>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</si>
  <si>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</si>
  <si>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</si>
  <si>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</si>
  <si>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</si>
  <si>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重型</t>
  </si>
  <si>
    <t>青銅戰甲</t>
  </si>
  <si>
    <t>金屬鎧甲</t>
  </si>
  <si>
    <t>雷霆重甲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</si>
  <si>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</si>
  <si>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</si>
  <si>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</si>
  <si>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</si>
  <si>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</si>
  <si>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</si>
  <si>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</si>
  <si>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</si>
  <si>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</si>
  <si>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</si>
  <si>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</si>
  <si>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</si>
  <si>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</si>
  <si>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</si>
  <si>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</si>
  <si>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</si>
  <si>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</si>
  <si>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</si>
  <si>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</si>
  <si>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</si>
  <si>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</si>
  <si>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</si>
  <si>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</si>
  <si>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</si>
  <si>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</si>
  <si>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</si>
  <si>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</si>
  <si>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</si>
  <si>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</si>
  <si>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</si>
  <si>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</si>
  <si>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</si>
  <si>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</si>
  <si>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</si>
  <si>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</si>
  <si>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</si>
  <si>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</si>
  <si>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</si>
  <si>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tpye</t>
  </si>
  <si>
    <t>limite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</si>
  <si>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</si>
  <si>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</si>
  <si>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</si>
  <si>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</si>
  <si>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</si>
  <si>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</si>
  <si>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</si>
  <si>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</si>
  <si>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</si>
  <si>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</si>
  <si>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</si>
  <si>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skill_resist</t>
  </si>
  <si>
    <t>damage_increase</t>
  </si>
  <si>
    <t>damage_reduce</t>
  </si>
  <si>
    <t>mp_recove</t>
  </si>
  <si>
    <t>shield_rate</t>
  </si>
  <si>
    <t>permeate</t>
  </si>
  <si>
    <t>atypical_rate</t>
  </si>
  <si>
    <t>heal_rate</t>
  </si>
  <si>
    <t>nature_info</t>
  </si>
  <si>
    <t>buff_id</t>
  </si>
  <si>
    <t>#深思熟慮</t>
  </si>
  <si>
    <t>#壯如巨樹</t>
  </si>
  <si>
    <t>#高速移動</t>
  </si>
  <si>
    <t>#力大無窮</t>
  </si>
  <si>
    <t>#彈無虛發</t>
  </si>
  <si>
    <t>#無限精神</t>
  </si>
  <si>
    <t>#領悟</t>
  </si>
  <si>
    <t>#強壯</t>
  </si>
  <si>
    <t>#速度</t>
  </si>
  <si>
    <t>#力量</t>
  </si>
  <si>
    <t>#精確</t>
  </si>
  <si>
    <t>#精神</t>
  </si>
  <si>
    <t>#宮廷的法師</t>
  </si>
  <si>
    <t>#極意攻勢</t>
  </si>
  <si>
    <t>#防禦怪獸</t>
  </si>
  <si>
    <t>#又快又準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</si>
  <si>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</si>
  <si>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</si>
  <si>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</si>
  <si>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</si>
  <si>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</si>
  <si>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</si>
  <si>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</si>
  <si>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</si>
  <si>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</si>
  <si>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</si>
  <si>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</si>
  <si>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type</t>
  </si>
  <si>
    <t>MP_cost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</si>
  <si>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</si>
  <si>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</si>
  <si>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</si>
  <si>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</si>
  <si>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</si>
  <si>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</si>
  <si>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</si>
  <si>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isMpDamage</t>
  </si>
  <si>
    <t>prefeb_atk</t>
  </si>
  <si>
    <t>prefeb_hit1</t>
  </si>
  <si>
    <t>prefeb_hit2</t>
  </si>
  <si>
    <t>說明</t>
  </si>
  <si>
    <t>黑暗契約</t>
  </si>
  <si>
    <t>消耗一張"暗黑契約卷"對敵方1體進行契約，如契約成功戰鬥勝利新增至武器清單中。</t>
  </si>
  <si>
    <t>phycial</t>
  </si>
  <si>
    <t>slash</t>
  </si>
  <si>
    <t>對敵方造成&lt;AD&gt;的物理傷害</t>
  </si>
  <si>
    <t>物理2體攻擊</t>
  </si>
  <si>
    <t>對隨機2名敵方造成&lt;AD&gt;的物理傷害</t>
  </si>
  <si>
    <t>物理群體攻擊</t>
  </si>
  <si>
    <t>對隨機3名敵方造成&lt;AD&gt;的物理傷害</t>
  </si>
  <si>
    <t>magic</t>
  </si>
  <si>
    <t>magic_throw</t>
  </si>
  <si>
    <t>explode</t>
  </si>
  <si>
    <t>對敵方敵方造成&lt;AP&gt;的魔法傷害</t>
  </si>
  <si>
    <t>魔法2體攻擊</t>
  </si>
  <si>
    <t>對隨機2名敵方造成&lt;AP&gt;的魔法傷害</t>
  </si>
  <si>
    <t>魔法群體攻擊</t>
  </si>
  <si>
    <t>對隨機3名敵方造成&lt;AP&gt;的魔法傷害</t>
  </si>
  <si>
    <t>magic_fire</t>
  </si>
  <si>
    <t>fire</t>
  </si>
  <si>
    <t>heal</t>
  </si>
  <si>
    <t>buff</t>
  </si>
  <si>
    <t>shield</t>
  </si>
  <si>
    <t>debuff</t>
  </si>
  <si>
    <t>對敵方1體造成&lt;AD&gt;物攻的物理傷害；並為自身附加爆擊上升</t>
  </si>
  <si>
    <t>對敵方1體造成&lt;AD&gt;物攻的物理傷害，並40%附加裂傷</t>
  </si>
  <si>
    <t>對我方2體&lt;AD&gt;物攻的護盾，自身死亡後3回合將自動重生</t>
  </si>
  <si>
    <t>stab</t>
  </si>
  <si>
    <t>對3個敵方造成&lt;AD&gt;物攻的物理傷害並40%機率附加自身攻擊上升</t>
  </si>
  <si>
    <t>對我方2體恢復&lt;AP&gt;魔攻的HP</t>
  </si>
  <si>
    <t>對我方隨機1體恢復&lt;AP&gt;魔攻的HP，並額外附加防禦上升效果</t>
  </si>
  <si>
    <t>beat</t>
  </si>
  <si>
    <t xml:space="preserve"> </t>
  </si>
  <si>
    <t>shield2</t>
  </si>
  <si>
    <t>throw</t>
  </si>
  <si>
    <t>為我方隨機2體恢復&lt;AP&gt;魔攻的HP</t>
  </si>
  <si>
    <t>重複執行次數</t>
  </si>
  <si>
    <t>對敵方全體造成&lt;AP&gt;魔攻的魔法傷害，並附加灼傷效果</t>
  </si>
  <si>
    <t>對敵方3體造成&lt;AP&gt;魔攻的魔法傷害，並附加魔防下降3層</t>
  </si>
  <si>
    <t>對我方全體恢復魔攻&lt;AP&gt;的HP</t>
  </si>
  <si>
    <t>對敵方3體造成&lt;AD&gt;物攻的物理傷害，自身附加行動加快</t>
  </si>
  <si>
    <t>一刀流・破</t>
  </si>
  <si>
    <t>slash2</t>
  </si>
  <si>
    <t>對敵方1體造成&lt;AD&gt;物攻的物理傷害，為自身附加鬼人狀態(1回合爆擊+30%)</t>
  </si>
  <si>
    <t>shield1</t>
  </si>
  <si>
    <t>對我方全體附加魔攻&lt;AP&gt;的護盾</t>
  </si>
  <si>
    <t>為敵方隨機2體造成&lt;AP&gt;魔攻的魔法傷害，附加爆擊下降</t>
  </si>
  <si>
    <t>對敵方隨機1體造成&lt;AD&gt;物攻的物理傷害共3次，40%自身附加攻擊上升</t>
  </si>
  <si>
    <t>對敵方1體隨機造成&lt;AD&gt;物攻的物理傷害，額外40%附加停止</t>
  </si>
  <si>
    <t>對敵方1體造成&lt;AD&gt;物攻的物理傷害，造成40%暈眩</t>
  </si>
  <si>
    <t>對我方1體恢復魔攻&lt;AP&gt;的hp，追加立即恢復對象mp150</t>
  </si>
  <si>
    <t>對敵方1體造成&lt;AD&gt;物攻的物理傷害並附加(潰魔；降30%魔防)</t>
  </si>
  <si>
    <t>對敵方3體隨機造成&lt;AD&gt;物攻的物理傷害並附加潰防(潰防；降30%物禦)</t>
  </si>
  <si>
    <t>為敵方2體造成&lt;AP&gt;魔攻的魔法傷害，並30%機率附加暈眩</t>
  </si>
  <si>
    <t>為敵方隨機2體造成&lt;AP&gt;魔攻的魔法傷害，40%機率附加技能傷害上升</t>
  </si>
  <si>
    <t>為我方2體恢復&lt;AP&gt;魔攻的HP，並附加傷害反射</t>
  </si>
  <si>
    <t>對敵方隨機2體造成&lt;AP&gt;魔攻的魔法傷害，30%灼傷</t>
  </si>
  <si>
    <t>為敵方2體造成造成&lt;AP&gt;魔攻的魔法傷害，並30%機率附加麻痺</t>
  </si>
  <si>
    <t>mana_cost</t>
  </si>
  <si>
    <t>為敵方隨機3體造成&lt;AP&gt;魔攻的MP傷害</t>
  </si>
  <si>
    <t>2002,2004</t>
  </si>
  <si>
    <t>為敵方隨機2體造成&lt;AD&gt;物攻的物理傷害，並60%防禦下降與魔法下降</t>
  </si>
  <si>
    <t>對敵方1體造成&lt;AD&gt;物攻的物理傷害，並50%為自身附加爆擊上升</t>
  </si>
  <si>
    <t>為敵方全體造成&lt;AD&gt;物攻的物理傷害，機率附加35%中毒</t>
  </si>
  <si>
    <t>對敵方2體造成&lt;AP&gt;魔攻的魔法傷害，並25%附加凍傷</t>
  </si>
  <si>
    <t>1002,1002</t>
  </si>
  <si>
    <t>為敵方1體造成&lt;AD&gt;物攻的物理傷害；並40%為自身附加爆擊傷害上升</t>
  </si>
  <si>
    <t>為敵方隨機1體造成&lt;AD&gt;物攻的物理傷害2次</t>
  </si>
  <si>
    <t>light</t>
  </si>
  <si>
    <t>為隨機我方2體恢復&lt;AP&gt;魔攻的HP，並40%附加魔防上升</t>
  </si>
  <si>
    <t>25%為自身附加行動加快</t>
  </si>
  <si>
    <t>對敵方1體造成&lt;AD&gt;物攻的物理傷害，並50%附加暈眩</t>
  </si>
  <si>
    <t>重斧防禦</t>
  </si>
  <si>
    <t>對我方隨機2體附加&lt;AD&gt;的護盾</t>
  </si>
  <si>
    <t>對敵方2體造成&lt;AD&gt;物攻的物理傷害，並為自身附加行動加快</t>
  </si>
  <si>
    <t>對敵方1體造成&lt;AD&gt;物攻的物理傷害，並附加中毒效果</t>
  </si>
  <si>
    <t>對敵方全體造成&lt;AP&gt;魔攻的魔法傷害，並附加灼傷</t>
  </si>
  <si>
    <t>治療術</t>
  </si>
  <si>
    <t>對我方隨機2體&lt;AP&gt;魔攻的HP恢復</t>
  </si>
  <si>
    <t>全體物攻上升</t>
  </si>
  <si>
    <t>為我方全體物攻上升</t>
  </si>
  <si>
    <t>全體防禦力上升</t>
  </si>
  <si>
    <t>為我方全體防禦力上升</t>
  </si>
  <si>
    <t>全體技能傷害上升</t>
  </si>
  <si>
    <t>為我方全體技能傷害上升</t>
  </si>
  <si>
    <t>全體爆擊率上升</t>
  </si>
  <si>
    <t>為我方全體爆擊率上升</t>
  </si>
  <si>
    <t>全體魔攻上升</t>
  </si>
  <si>
    <t>為我方全體魔攻上升</t>
  </si>
  <si>
    <t>全隊魔防上升</t>
  </si>
  <si>
    <t>為我方全隊魔防上升</t>
  </si>
  <si>
    <t>為所有#名刀附加攻擊上升5層與爆擊傷害上升5層</t>
  </si>
  <si>
    <t>self_buff_rate</t>
  </si>
  <si>
    <t>業火一閃★</t>
  </si>
  <si>
    <t>對隨機敵方2體造成&lt;AP&gt;魔攻的魔法傷害，並50%機率附加灼傷</t>
  </si>
  <si>
    <t>業火一閃★2</t>
  </si>
  <si>
    <t>對隨機敵方2體造成&lt;AP&gt;魔攻的魔法傷害，並70%機率附加灼傷</t>
  </si>
  <si>
    <t>業火一閃★3</t>
  </si>
  <si>
    <t>對隨機敵方4體造成&lt;AP&gt;魔攻的魔法傷害，並70%機率附加灼傷</t>
  </si>
  <si>
    <t>業火一閃★4</t>
  </si>
  <si>
    <t>對隨機敵方4體造成&lt;AP&gt;魔攻的魔法傷害，並100%機率附加灼傷</t>
  </si>
  <si>
    <t>業火一閃•極</t>
  </si>
  <si>
    <t>對隨機敵方4體造成&lt;AP&gt;魔攻的魔法傷害，並100%機率附加灼傷；並解除受擊者護盾效果</t>
  </si>
  <si>
    <t>除魔霜障★</t>
  </si>
  <si>
    <t>對隨機敵方2體造成&lt;AP&gt;魔攻的魔法傷害，並40%機率附加凍傷與魔防下降1層</t>
  </si>
  <si>
    <t>除魔霜障★2</t>
  </si>
  <si>
    <t>對隨機敵方2體造成&lt;AP&gt;魔攻的魔法傷害，並50%機率附加凍傷與魔防下降1層</t>
  </si>
  <si>
    <t>除魔霜障★3</t>
  </si>
  <si>
    <t>對隨機敵方3體造成&lt;AP&gt;魔攻的魔法傷害，並50%機率附加凍傷與魔防下降1層</t>
  </si>
  <si>
    <t>除魔霜障★4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</si>
  <si>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</si>
  <si>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</si>
  <si>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</si>
  <si>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萬物洗淨★</t>
  </si>
  <si>
    <t>為我方2體恢復&lt;AP&gt;魔攻的HP，為受治療的對象附加防禦上升效果2層</t>
  </si>
  <si>
    <t>萬物洗淨★2</t>
  </si>
  <si>
    <t>為我方2體恢復&lt;AP&gt;魔攻的HP，為受治療的對象附加防禦上升效果2層並且解除灼傷</t>
  </si>
  <si>
    <t>萬物洗淨★3</t>
  </si>
  <si>
    <t>為我方2體恢復&lt;AP&gt;魔攻的HP，為受治療的對象附加防禦上升效果2層與並持續回魔效果且解除灼傷</t>
  </si>
  <si>
    <t>萬物洗淨★4</t>
  </si>
  <si>
    <t>為我方4體恢復&lt;AP&gt;魔攻的HP，為受治療的對象附加防禦上升效果2層與並持續回魔效果且解除灼傷</t>
  </si>
  <si>
    <t>萬物洗淨•極</t>
  </si>
  <si>
    <t>為我方2體恢復&lt;AP&gt;魔攻的HP，為受治療的對象附加防禦上升效果2層與並持續回魔效果且解除所有異常狀態</t>
  </si>
  <si>
    <t>防禦崩解★</t>
  </si>
  <si>
    <t>對隨機敵方4體造成&lt;AD&gt;物攻的物理攻擊，附加防禦下降與2層爆擊下降</t>
  </si>
  <si>
    <t>防禦崩解★2</t>
  </si>
  <si>
    <t>對隨機敵方全體造成&lt;AD&gt;物攻的物理攻擊，附加防禦下降與2層爆擊下降</t>
  </si>
  <si>
    <t>防禦崩解★3</t>
  </si>
  <si>
    <t>對隨機敵方全體造成&lt;AD&gt;物攻的物理攻擊，附加防禦與魔防下降2層與2層爆擊下降</t>
  </si>
  <si>
    <t>防禦崩解★4</t>
  </si>
  <si>
    <t>對隨機敵方全體造成&lt;AD&gt;物攻的物理攻擊，附加防禦與魔防下降2層、爆擊下降2層、技能傷害下降2層</t>
  </si>
  <si>
    <t>防禦崩解•極</t>
  </si>
  <si>
    <t>對隨機敵方全體造成&lt;AD&gt;物攻的物理攻擊，附加防禦與魔防下降2層、爆擊下降2層、技能傷害下降2層，並清除對象的上升狀態</t>
  </si>
  <si>
    <t>極限斬擊★</t>
  </si>
  <si>
    <t>對敵方隨機1體造成&lt;AD&gt;物攻的物理攻擊，並附加爆擊抗性下降，附加自身爆擊上升</t>
  </si>
  <si>
    <t>極限斬擊★2</t>
  </si>
  <si>
    <t>對敵方隨機1體造成&lt;AD&gt;物攻的物理攻擊，並附加爆擊抗性下降，附加自身爆擊上升、行動加快</t>
  </si>
  <si>
    <t>極限斬擊★3</t>
  </si>
  <si>
    <t>對敵方隨機1體造成&lt;AD&gt;物攻的物理攻擊，附加自身爆擊上升額外附加自身爆擊上升、行動加快與妖刀效果</t>
  </si>
  <si>
    <t>極限斬擊★4</t>
  </si>
  <si>
    <t>極限斬擊•極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</si>
  <si>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</si>
  <si>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</si>
  <si>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</si>
  <si>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</si>
  <si>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為我方2體隨機附加傷害分擔；並附加自身持續恢復與減少受到傷害效果</t>
  </si>
  <si>
    <t>神威退魔★3</t>
  </si>
  <si>
    <t>為我方3體隨機附加傷害分擔；並附加自身持續恢復與減少受到傷害效果</t>
  </si>
  <si>
    <t>神威退魔★4</t>
  </si>
  <si>
    <t>為我方3體隨機附加傷害分擔；並附加自身持續恢復與2層減少受到傷害效果</t>
  </si>
  <si>
    <t>神威退魔•極</t>
  </si>
  <si>
    <t>為我方3體隨機附加傷害分擔；並附加自身持續恢復與2層減少受到傷害效果；額外解除凍傷效果</t>
  </si>
  <si>
    <t>陰月靈鋒★</t>
  </si>
  <si>
    <t>為我方2體附加附加自身&lt;AD&gt;物攻的護盾並附加傷害分擔效果</t>
  </si>
  <si>
    <t>陰月靈鋒★2</t>
  </si>
  <si>
    <t>為我方2體附加附加自身&lt;AD&gt;物攻的護盾並附加傷害分擔效果；額外為自身附加行動加快效果</t>
  </si>
  <si>
    <t>陰月靈鋒★3</t>
  </si>
  <si>
    <t>為我方2體附加附加自身&lt;AD&gt;物攻的護盾並附加傷害分擔效果；額外為自身附加行動加快與傷害反射效果</t>
  </si>
  <si>
    <t>陰月靈鋒★4</t>
  </si>
  <si>
    <t>為我方2體附加附加自身&lt;AD&gt;物攻的護盾、傷害分擔、魔防上升與防禦上升效果；額外為自身附加行動加快與傷害反射效果</t>
  </si>
  <si>
    <t>陰月靈鋒•極</t>
  </si>
  <si>
    <t>為我方3體附加附加自身&lt;AD&gt;物攻的護盾、傷害分擔、魔防上升與防禦上升效果；額外為自身附加行動加快與傷害反射效果</t>
  </si>
  <si>
    <t>聖劍光輝★</t>
  </si>
  <si>
    <t>對敵方1體造成&lt;AP&gt;魔攻的魔法傷害，並50%機率灼傷；並額外自身附加魔攻上升</t>
  </si>
  <si>
    <t>聖劍光輝★2</t>
  </si>
  <si>
    <t>對敵方1體造成&lt;AP&gt;魔攻的魔法傷害，並100%機率灼傷；並額外自身附加魔攻上升</t>
  </si>
  <si>
    <t>聖劍光輝★3</t>
  </si>
  <si>
    <t>對敵方2體造成&lt;AP&gt;魔攻的魔法傷害，並100%機率灼傷；並額外自身附加魔攻上升</t>
  </si>
  <si>
    <t>聖劍光輝★4</t>
  </si>
  <si>
    <t>對敵方2體造成&lt;AP&gt;魔攻的魔法傷害，並100%機率灼傷；並額外自身附加魔攻上升與行動加快</t>
  </si>
  <si>
    <t>聖劍光輝•極</t>
  </si>
  <si>
    <t>對敵方3體造成&lt;AP&gt;魔攻的魔法傷害，並100%機率灼傷；並額外自身附加魔攻上升與行動加快</t>
  </si>
  <si>
    <t>神威震嶽★</t>
  </si>
  <si>
    <t>對敵方1體造成&lt;AP&gt;魔攻的魔法傷害；並為自身附加爆擊上升與自身行動加快</t>
  </si>
  <si>
    <t>神威震嶽★2</t>
  </si>
  <si>
    <t>對敵方1體造成&lt;AP&gt;魔攻的魔法傷害；並為自身附加爆擊上升、自身行動加快與能傷害上升</t>
  </si>
  <si>
    <t>對敵方1體造成&lt;AP&gt;魔攻的魔法傷害；並為自身附加爆擊上升、自身行動加快、技能傷害上升與爆傷上升</t>
  </si>
  <si>
    <t>對敵方2體造成&lt;AP&gt;魔攻的魔法傷害；並為自身附加爆擊上升、自身行動加快、技能傷害上升與爆傷上升</t>
  </si>
  <si>
    <t>神威震嶽•極</t>
  </si>
  <si>
    <t>對敵方2體造成&lt;AP&gt;魔攻的魔法傷害；並為自身附加自身行動加快、爆擊上升2層、技能傷害上升2層與爆傷上升2層</t>
  </si>
  <si>
    <t>血祭詛咒★</t>
  </si>
  <si>
    <t>對敵方1體造成&lt;AD&gt;物攻的物理傷害，並40%附加裂傷與中毒</t>
  </si>
  <si>
    <t>血祭詛咒★2</t>
  </si>
  <si>
    <t>對敵方1體造成&lt;AD&gt;物攻的物理傷害，並40%附加裂傷、中毒與灼傷</t>
  </si>
  <si>
    <t>血祭詛咒★3</t>
  </si>
  <si>
    <t>對敵方1體造成&lt;AD&gt;物攻的物理傷害，並40%附加裂傷、中毒、灼傷與凍傷</t>
  </si>
  <si>
    <t>血祭詛咒★4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</si>
  <si>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</si>
  <si>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</si>
  <si>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</si>
  <si>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神聖庇護★</t>
  </si>
  <si>
    <t>對我方2體&lt;AD&gt;物攻的護盾與附加持續回魔，自身死亡後3回合將自動重生</t>
  </si>
  <si>
    <t>對我方2體&lt;AD&gt;物攻的護盾並附加持續回魔、受護衛效果，自身死亡後3回合將自動重生</t>
  </si>
  <si>
    <t>對我方2體&lt;AD&gt;物攻的護盾並附加持續回魔、真言與受護衛效果，自身死亡後3回合將自動重生</t>
  </si>
  <si>
    <t>神聖庇護•極</t>
  </si>
  <si>
    <t>對我方2體&lt;AD&gt;物攻的護盾並附加持續回魔、真言、真理與受護衛效果，自身死亡後3回合將自動重生</t>
  </si>
  <si>
    <t>龍血洗禮★</t>
  </si>
  <si>
    <t>龍血洗禮★2</t>
  </si>
  <si>
    <t>龍血洗禮★3</t>
  </si>
  <si>
    <t>龍血洗禮★4</t>
  </si>
  <si>
    <t>龍血洗禮•極</t>
  </si>
  <si>
    <t>炎帝降世★</t>
  </si>
  <si>
    <t>炎帝降世★2</t>
  </si>
  <si>
    <t>對敵方全體造成&lt;AP&gt;魔攻的魔法傷害，並附加灼傷效果；自身額外附加炎帝效果</t>
  </si>
  <si>
    <t>炎帝降世★3</t>
  </si>
  <si>
    <t>炎帝降世★4</t>
  </si>
  <si>
    <t>炎帝降世•極</t>
  </si>
  <si>
    <t>對敵方全體造成&lt;AP&gt;魔攻的魔法傷害，並附加灼傷效果；自身額外附加炎帝與極•炎帝效果</t>
  </si>
  <si>
    <t>神酒破鬼陣★</t>
  </si>
  <si>
    <t>magic_ice</t>
  </si>
  <si>
    <t>ice</t>
  </si>
  <si>
    <t>神酒破鬼陣★2</t>
  </si>
  <si>
    <t>對敵方3體造成&lt;AP&gt;魔攻的魔法傷害，並附加魔防下降3層與凍傷效果</t>
  </si>
  <si>
    <t>神酒破鬼陣★3</t>
  </si>
  <si>
    <t>神酒破鬼陣★4</t>
  </si>
  <si>
    <t>神酒破鬼陣•極</t>
  </si>
  <si>
    <t>對敵方3體造成&lt;AP&gt;魔攻的魔法傷害，並附加魔防下降3層與3層凍傷效果</t>
  </si>
  <si>
    <t>清泉怒濤★</t>
  </si>
  <si>
    <t>清泉怒濤★2</t>
  </si>
  <si>
    <t>對我方全體恢復魔攻&lt;AP&gt;的HP,並額外附加攻擊上升與魔攻上升2層</t>
  </si>
  <si>
    <t>清泉怒濤★3</t>
  </si>
  <si>
    <t>清泉怒濤★4</t>
  </si>
  <si>
    <t>清泉怒濤•極</t>
  </si>
  <si>
    <t>對我方全體恢復魔攻&lt;AP&gt;的HP,並額外附加攻擊上升2層、魔攻上升2層、技能傷害上升與爆擊上升效果</t>
  </si>
  <si>
    <t>神罰裁決★1</t>
  </si>
  <si>
    <t>神罰裁決★2</t>
  </si>
  <si>
    <t>神罰裁決★3</t>
  </si>
  <si>
    <t>對敵方3體造成&lt;AD&gt;物攻的物理傷害，自身附加行動加快；40%附加對象麻痺狀態</t>
  </si>
  <si>
    <t>神罰裁決★4</t>
  </si>
  <si>
    <t>神罰裁決•極</t>
  </si>
  <si>
    <t>一刀流・破★</t>
  </si>
  <si>
    <t>對敵方1體造成&lt;AD&gt;物攻的物理傷害，為自身附加鬼人狀態</t>
  </si>
  <si>
    <t>一刀流・破★2</t>
  </si>
  <si>
    <t>一刀流・破★3</t>
  </si>
  <si>
    <t>對敵方1體造成&lt;AD&gt;物攻的物理傷害，為自身附加鬼人與極意鬼人狀態</t>
  </si>
  <si>
    <t>一刀流・破★4</t>
  </si>
  <si>
    <t>一刀流・斷</t>
  </si>
  <si>
    <t>鏡花身法★</t>
  </si>
  <si>
    <t>鏡花身法★2</t>
  </si>
  <si>
    <t>對我方全體附加魔攻&lt;AP&gt;的護盾；額外附加減少受到傷害1層</t>
  </si>
  <si>
    <t>鏡花身法★3</t>
  </si>
  <si>
    <t>鏡花身法★4</t>
  </si>
  <si>
    <t>鏡花身法•極</t>
  </si>
  <si>
    <t>對我方全體附加魔攻&lt;AP&gt;的護盾；額外附加減少受到傷害3層</t>
  </si>
  <si>
    <t>魂力獻祭★</t>
  </si>
  <si>
    <t>魂力獻祭★2</t>
  </si>
  <si>
    <t>為敵方隨機2體造成&lt;AP&gt;魔攻的魔法傷害，附加爆擊下降與攻擊下降效果</t>
  </si>
  <si>
    <t>魂力獻祭★3</t>
  </si>
  <si>
    <t>魂力獻祭★4</t>
  </si>
  <si>
    <t>魂力獻祭•極</t>
  </si>
  <si>
    <t>為敵方隨機3體造成&lt;AP&gt;魔攻的魔法傷害，附加爆擊下降、攻擊下降、防禦下降與魔防下降效果</t>
  </si>
  <si>
    <t>誓約之火★</t>
  </si>
  <si>
    <t>誓約之火★2</t>
  </si>
  <si>
    <t>對我方全體附加魔攻上升2層與魔攻的&lt;AP&gt;護頓效果</t>
  </si>
  <si>
    <t>誓約之火★3</t>
  </si>
  <si>
    <t>誓約之火★4</t>
  </si>
  <si>
    <t>誓約之火•極</t>
  </si>
  <si>
    <t>對我方全體附加魔攻上升2層、爆傷上升2層與魔攻的&lt;AP&gt;護頓效果</t>
  </si>
  <si>
    <t>震天雷霆斬★</t>
  </si>
  <si>
    <t>震天雷霆斬★2</t>
  </si>
  <si>
    <t>對敵方隨機1體造成&lt;AD&gt;物攻的物理傷害共4次，40%自身附加攻擊上升</t>
  </si>
  <si>
    <t>震天雷霆斬★3</t>
  </si>
  <si>
    <t>震天雷霆斬★4</t>
  </si>
  <si>
    <t>震天雷霆斬•破</t>
  </si>
  <si>
    <t>對敵方隨機1體造成&lt;AD&gt;物攻的物理傷害共6次，40%自身附加攻擊上升</t>
  </si>
  <si>
    <t>噬魂開鋒★</t>
  </si>
  <si>
    <t>噬魂開鋒★2</t>
  </si>
  <si>
    <t>對敵方1體隨機造成&lt;AD&gt;物攻的物理傷害，額外40%附加停止與暈眩</t>
  </si>
  <si>
    <t>噬魂開鋒★3</t>
  </si>
  <si>
    <t>噬魂開鋒★4</t>
  </si>
  <si>
    <t>噬魂開鋒•破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</si>
  <si>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</si>
  <si>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</si>
  <si>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</si>
  <si>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</si>
  <si>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</si>
  <si>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</si>
  <si>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</si>
  <si>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</si>
  <si>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</si>
  <si>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</si>
  <si>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</si>
  <si>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</si>
  <si>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</si>
  <si>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</si>
  <si>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</si>
  <si>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</si>
  <si>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</si>
  <si>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</si>
  <si>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</si>
  <si>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</si>
  <si>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</si>
  <si>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</si>
  <si>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</si>
  <si>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</si>
  <si>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</si>
  <si>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</si>
  <si>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</si>
  <si>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</si>
  <si>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</si>
  <si>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</si>
  <si>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</si>
  <si>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</si>
  <si>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</si>
  <si>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</si>
  <si>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</si>
  <si>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</si>
  <si>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</si>
  <si>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</si>
  <si>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</si>
  <si>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</si>
  <si>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</si>
  <si>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</si>
  <si>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</si>
  <si>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</si>
  <si>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</si>
  <si>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</si>
  <si>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</si>
  <si>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</si>
  <si>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</si>
  <si>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</si>
  <si>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</si>
  <si>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</si>
  <si>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</si>
  <si>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</si>
  <si>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</si>
  <si>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</si>
  <si>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</si>
  <si>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</si>
  <si>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</si>
  <si>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</si>
  <si>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</si>
  <si>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</si>
  <si>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</si>
  <si>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</si>
  <si>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</si>
  <si>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</si>
  <si>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</si>
  <si>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</si>
  <si>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</si>
  <si>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</si>
  <si>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</si>
  <si>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</si>
  <si>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</si>
  <si>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</si>
  <si>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</si>
  <si>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</si>
  <si>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</si>
  <si>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</si>
  <si>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</si>
  <si>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</si>
  <si>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</si>
  <si>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</si>
  <si>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</si>
  <si>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</si>
  <si>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</si>
  <si>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</si>
  <si>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</si>
  <si>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</si>
  <si>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</si>
  <si>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</si>
  <si>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</si>
  <si>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</si>
  <si>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</si>
  <si>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</si>
  <si>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</si>
  <si>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</si>
  <si>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</si>
  <si>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對我敵方2體造成&lt;AD&gt;物攻的物理傷害，並未自身附加行動加快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</si>
  <si>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</si>
  <si>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</si>
  <si>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</si>
  <si>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</si>
  <si>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</si>
  <si>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</si>
  <si>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</si>
  <si>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</si>
  <si>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</si>
  <si>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</si>
  <si>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</si>
  <si>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</si>
  <si>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</si>
  <si>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</si>
  <si>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</si>
  <si>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</si>
  <si>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</si>
  <si>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</si>
  <si>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</si>
  <si>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</si>
  <si>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</si>
  <si>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</si>
  <si>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</si>
  <si>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</si>
  <si>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</si>
  <si>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</si>
  <si>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</si>
  <si>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</si>
  <si>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</si>
  <si>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</si>
  <si>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</si>
  <si>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</si>
  <si>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</si>
  <si>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</si>
  <si>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</si>
  <si>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</si>
  <si>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</si>
  <si>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</si>
  <si>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</si>
  <si>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</si>
  <si>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</si>
  <si>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</si>
  <si>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</si>
  <si>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</si>
  <si>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</si>
  <si>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</si>
  <si>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</si>
  <si>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</si>
  <si>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</si>
  <si>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</si>
  <si>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</si>
  <si>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</si>
  <si>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</si>
  <si>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buff名稱</t>
  </si>
  <si>
    <t>buff_info</t>
  </si>
  <si>
    <t>#備註用</t>
  </si>
  <si>
    <t>buff_exchange</t>
  </si>
  <si>
    <t>tag</t>
  </si>
  <si>
    <t>element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</si>
  <si>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</si>
  <si>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</si>
  <si>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</si>
  <si>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</si>
  <si>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</si>
  <si>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</si>
  <si>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</si>
  <si>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</si>
  <si>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</si>
  <si>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</si>
  <si>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防禦上升</t>
  </si>
  <si>
    <t>魔攻上升</t>
  </si>
  <si>
    <t>魔防上升</t>
  </si>
  <si>
    <t>爆擊上升</t>
  </si>
  <si>
    <t>爆傷上升</t>
  </si>
  <si>
    <t>技能傷害上升</t>
  </si>
  <si>
    <t>爆擊抗性上升</t>
  </si>
  <si>
    <t>爆傷抗性上升</t>
  </si>
  <si>
    <t>技能抵抗上升</t>
  </si>
  <si>
    <t>增加造成傷害</t>
  </si>
  <si>
    <t>減少受到傷害</t>
  </si>
  <si>
    <t>攻擊下降</t>
  </si>
  <si>
    <t>防禦下降</t>
  </si>
  <si>
    <t>魔攻下降</t>
  </si>
  <si>
    <t>魔防下降</t>
  </si>
  <si>
    <t>爆擊下降</t>
  </si>
  <si>
    <t>爆傷下降</t>
  </si>
  <si>
    <t>技能傷害下降</t>
  </si>
  <si>
    <t>爆擊抗性下降</t>
  </si>
  <si>
    <t>爆傷抗性下降</t>
  </si>
  <si>
    <t>技能抵抗下降</t>
  </si>
  <si>
    <t>減少造成傷害</t>
  </si>
  <si>
    <t>增加受到傷害</t>
  </si>
  <si>
    <t>傷害分擔</t>
  </si>
  <si>
    <t>傷害反彈</t>
  </si>
  <si>
    <t>受護衛效果</t>
  </si>
  <si>
    <t>護盾</t>
  </si>
  <si>
    <t>持續恢復</t>
  </si>
  <si>
    <t>持續回魔</t>
  </si>
  <si>
    <t>行動加快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</si>
  <si>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</si>
  <si>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</si>
  <si>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</si>
  <si>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</si>
  <si>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</si>
  <si>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</si>
  <si>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</si>
  <si>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</si>
  <si>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炎帝</t>
  </si>
  <si>
    <t>魔攻+30%</t>
  </si>
  <si>
    <t>極•炎帝</t>
  </si>
  <si>
    <t>魔攻+50%，技能傷害+10%)</t>
  </si>
  <si>
    <t>妖刀</t>
  </si>
  <si>
    <t>爆擊率+50%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</si>
  <si>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</si>
  <si>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</si>
  <si>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</si>
  <si>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</si>
  <si>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</si>
  <si>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</si>
  <si>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</si>
  <si>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</si>
  <si>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</si>
  <si>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</si>
  <si>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</si>
  <si>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</si>
  <si>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</si>
  <si>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</si>
  <si>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逆轉</t>
  </si>
  <si>
    <t>攻擊與魔攻+80%；持續5回</t>
  </si>
  <si>
    <t>奇襲</t>
  </si>
  <si>
    <t>爆擊率+100%；持續3回</t>
  </si>
  <si>
    <t>#名刀附加攻擊+30%、爆擊率+20%，爆擊傷害+50%；持續3回</t>
  </si>
  <si>
    <t>灼傷</t>
  </si>
  <si>
    <t>凍傷</t>
  </si>
  <si>
    <t>裂傷</t>
  </si>
  <si>
    <t>中毒</t>
  </si>
  <si>
    <t>治療反轉</t>
  </si>
  <si>
    <t>受到治療時轉為傷害</t>
  </si>
  <si>
    <t>麻痺</t>
  </si>
  <si>
    <t>1回合無法行動</t>
  </si>
  <si>
    <t>暈眩</t>
  </si>
  <si>
    <t>冰凍</t>
  </si>
  <si>
    <t>停止</t>
  </si>
  <si>
    <t>凝聚</t>
  </si>
  <si>
    <t>1回合無法行動；下回合獲得爆散狀態</t>
  </si>
  <si>
    <t>爆散</t>
  </si>
  <si>
    <t>最終傷害造成250%</t>
  </si>
  <si>
    <t>殲滅套裝x2</t>
  </si>
  <si>
    <t>兩件攻擊力+10% / 魔攻+10%，三件爆擊率+15%，六件敏捷+5%</t>
  </si>
  <si>
    <t>殲滅的</t>
  </si>
  <si>
    <t>殲滅套裝x3</t>
  </si>
  <si>
    <t>殲滅套裝x6</t>
  </si>
  <si>
    <t>戰士套裝X2</t>
  </si>
  <si>
    <t>兩件防禦+15% ，三件攻擊+20%，六件技能傷害+10%</t>
  </si>
  <si>
    <t>戰士的</t>
  </si>
  <si>
    <t>戰士套裝X3</t>
  </si>
  <si>
    <t>戰士套裝X6</t>
  </si>
  <si>
    <t>尖刺套裝X2</t>
  </si>
  <si>
    <t>兩件防禦+20% ，三件魔防+20%，傷害反射+15%</t>
  </si>
  <si>
    <t>尖刺的</t>
  </si>
  <si>
    <t>尖刺套裝X3</t>
  </si>
  <si>
    <t>尖刺套裝X6</t>
  </si>
  <si>
    <t>魔導套裝X2</t>
  </si>
  <si>
    <t>兩件魔防+15% ，三件魔攻+20%，六件技能傷害+10%</t>
  </si>
  <si>
    <t>魔導的</t>
  </si>
  <si>
    <t>魔導套裝X3</t>
  </si>
  <si>
    <t>魔導套裝X6</t>
  </si>
  <si>
    <t>致命套裝X2</t>
  </si>
  <si>
    <t xml:space="preserve"> 兩件爆擊機率+10%,，三件技能傷害+8%，六件爆擊爆傷+30%)</t>
  </si>
  <si>
    <t>致命的</t>
  </si>
  <si>
    <t>致命套裝X3</t>
  </si>
  <si>
    <t>致命套裝X6</t>
  </si>
  <si>
    <t>抵抗套裝X2</t>
  </si>
  <si>
    <t>受到傷害減少+10%,，三件爆擊抗性+20%，六件爆擊傷害抗性+45%)</t>
  </si>
  <si>
    <t>抵抗的</t>
  </si>
  <si>
    <t>抵抗套裝X3</t>
  </si>
  <si>
    <t>抵抗套裝X6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</si>
  <si>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</si>
  <si>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</si>
  <si>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</si>
  <si>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</si>
  <si>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</si>
  <si>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奇襲的</t>
  </si>
  <si>
    <t>炙熱套裝X3</t>
  </si>
  <si>
    <t>僅對火屬性生效，三件攻擊魔攻+20%，六件爆擊率+5% / 敏捷+10%</t>
  </si>
  <si>
    <t>炙熱的</t>
  </si>
  <si>
    <t>炙熱套裝X6</t>
  </si>
  <si>
    <t>水紋套裝X3</t>
  </si>
  <si>
    <t>僅對水屬性生效，三件攻擊魔攻+20%，六件爆擊率+5% / 敏捷+10%</t>
  </si>
  <si>
    <t>水紋的</t>
  </si>
  <si>
    <t>水紋套裝X6</t>
  </si>
  <si>
    <t>木訥套裝X3</t>
  </si>
  <si>
    <t>僅對木屬性生效，三件攻擊魔攻+20%，六件爆擊率+5% / 敏捷+10%</t>
  </si>
  <si>
    <t>木訥的</t>
  </si>
  <si>
    <t>木訥套裝X6</t>
  </si>
  <si>
    <t>火焰寶石LV.1</t>
  </si>
  <si>
    <t>火焰寶石LV.2</t>
  </si>
  <si>
    <t>火焰寶石LV.3</t>
  </si>
  <si>
    <t>火焰寶石LV.4</t>
  </si>
  <si>
    <t>火焰寶石LV.5</t>
  </si>
  <si>
    <t>火焰寶石LV.6</t>
  </si>
  <si>
    <t>火焰寶石LV.7</t>
  </si>
  <si>
    <t>火焰寶石LV.8</t>
  </si>
  <si>
    <t>火焰寶石LV.9</t>
  </si>
  <si>
    <t>火焰寶石LV.10</t>
  </si>
  <si>
    <t>綠光寶石LV.1</t>
  </si>
  <si>
    <t>綠光寶石LV.2</t>
  </si>
  <si>
    <t>綠光寶石LV.3</t>
  </si>
  <si>
    <t>綠光寶石LV.4</t>
  </si>
  <si>
    <t>綠光寶石LV.5</t>
  </si>
  <si>
    <t>綠光寶石LV.6</t>
  </si>
  <si>
    <t>綠光寶石LV.7</t>
  </si>
  <si>
    <t>綠光寶石LV.8</t>
  </si>
  <si>
    <t>綠光寶石LV.9</t>
  </si>
  <si>
    <t>綠光寶石LV.10</t>
  </si>
  <si>
    <t>琉璃寶石LV.1</t>
  </si>
  <si>
    <t>琉璃寶石LV.2</t>
  </si>
  <si>
    <t>琉璃寶石LV.3</t>
  </si>
  <si>
    <t>琉璃寶石LV.4</t>
  </si>
  <si>
    <t>琉璃寶石LV.5</t>
  </si>
  <si>
    <t>琉璃寶石LV.6</t>
  </si>
  <si>
    <t>琉璃寶石LV.7</t>
  </si>
  <si>
    <t>琉璃寶石LV.8</t>
  </si>
  <si>
    <t>琉璃寶石LV.9</t>
  </si>
  <si>
    <t>琉璃寶石LV.10</t>
  </si>
  <si>
    <t>星空寶石LV.1</t>
  </si>
  <si>
    <t>星空寶石LV.2</t>
  </si>
  <si>
    <t>星空寶石LV.3</t>
  </si>
  <si>
    <t>星空寶石LV.4</t>
  </si>
  <si>
    <t>星空寶石LV.5</t>
  </si>
  <si>
    <t>星空寶石LV.6</t>
  </si>
  <si>
    <t>星空寶石LV.7</t>
  </si>
  <si>
    <t>星空寶石LV.8</t>
  </si>
  <si>
    <t>星空寶石LV.9</t>
  </si>
  <si>
    <t>星空寶石LV.10</t>
  </si>
  <si>
    <t>月影彩石LV.1</t>
  </si>
  <si>
    <t>月影彩石LV.2</t>
  </si>
  <si>
    <t>月影彩石LV.3</t>
  </si>
  <si>
    <t>月影彩石LV.4</t>
  </si>
  <si>
    <t>月影彩石LV.5</t>
  </si>
  <si>
    <t>月影彩石LV.6</t>
  </si>
  <si>
    <t>月影彩石LV.7</t>
  </si>
  <si>
    <t>月影彩石LV.8</t>
  </si>
  <si>
    <t>月影彩石LV.9</t>
  </si>
  <si>
    <t>月影彩石LV.10</t>
  </si>
  <si>
    <t>幻影彩石LV.1</t>
  </si>
  <si>
    <t>幻影彩石LV.2</t>
  </si>
  <si>
    <t>幻影彩石LV.3</t>
  </si>
  <si>
    <t>幻影彩石LV.4</t>
  </si>
  <si>
    <t>幻影彩石LV.5</t>
  </si>
  <si>
    <t>幻影彩石LV.6</t>
  </si>
  <si>
    <t>幻影彩石LV.7</t>
  </si>
  <si>
    <t>幻影彩石LV.8</t>
  </si>
  <si>
    <t>幻影彩石LV.9</t>
  </si>
  <si>
    <t>幻影彩石LV.10</t>
  </si>
  <si>
    <t>紫凝暴晶LV.1</t>
  </si>
  <si>
    <t>紫凝暴晶LV.2</t>
  </si>
  <si>
    <t>紫凝暴晶LV.3</t>
  </si>
  <si>
    <t>紫凝暴晶LV.4</t>
  </si>
  <si>
    <t>紫凝暴晶LV.5</t>
  </si>
  <si>
    <t>紫凝暴晶LV.6</t>
  </si>
  <si>
    <t>紫凝暴晶LV.7</t>
  </si>
  <si>
    <t>紫凝暴晶LV.8</t>
  </si>
  <si>
    <t>紫凝暴晶LV.9</t>
  </si>
  <si>
    <t>紫凝暴晶LV.10</t>
  </si>
  <si>
    <t>金凌暴晶LV.1</t>
  </si>
  <si>
    <t>金凌暴晶LV.2</t>
  </si>
  <si>
    <t>金凌暴晶LV.3</t>
  </si>
  <si>
    <t>金凌暴晶LV.4</t>
  </si>
  <si>
    <t>金凌暴晶LV.5</t>
  </si>
  <si>
    <t>金凌暴晶LV.6</t>
  </si>
  <si>
    <t>金凌暴晶LV.7</t>
  </si>
  <si>
    <t>金凌暴晶LV.8</t>
  </si>
  <si>
    <t>金凌暴晶LV.9</t>
  </si>
  <si>
    <t>金凌暴晶LV.10</t>
  </si>
  <si>
    <t>effective_count</t>
  </si>
  <si>
    <t>全體上陣攻擊力+1%</t>
  </si>
  <si>
    <t>解鎖劍豪</t>
  </si>
  <si>
    <t>解鎖狂戰士</t>
  </si>
  <si>
    <t>解鎖神射手</t>
  </si>
  <si>
    <t>解鎖刺客</t>
  </si>
  <si>
    <t>魔法攻擊力+1%</t>
  </si>
  <si>
    <t>解鎖魔導士</t>
  </si>
  <si>
    <t>解鎖神官</t>
  </si>
  <si>
    <t>艷陽高照</t>
  </si>
  <si>
    <t>ATK+10%</t>
  </si>
  <si>
    <t>草原風</t>
  </si>
  <si>
    <t>agi+5%</t>
  </si>
  <si>
    <t>大雨滂沱</t>
  </si>
  <si>
    <t>agi-10%</t>
  </si>
  <si>
    <t>毛毛雨</t>
  </si>
  <si>
    <t>mdef-10%</t>
  </si>
  <si>
    <t>神諭</t>
  </si>
  <si>
    <t>MATK+10%</t>
  </si>
  <si>
    <t>滑動陷阱</t>
  </si>
  <si>
    <t>增加受到傷害+10%</t>
  </si>
  <si>
    <t>強風陷阱</t>
  </si>
  <si>
    <t>DEF/MDEF-10%</t>
  </si>
  <si>
    <t>衰弱陷阱</t>
  </si>
  <si>
    <t>ATK/MATK-10%</t>
  </si>
  <si>
    <t>同伴幫助</t>
  </si>
  <si>
    <t>持續回魔10</t>
  </si>
  <si>
    <t>能量流失</t>
  </si>
  <si>
    <t>持續扣魔10</t>
  </si>
  <si>
    <t>魔能外漏</t>
  </si>
  <si>
    <t>mdef-20%</t>
  </si>
  <si>
    <t>敵人干擾</t>
  </si>
  <si>
    <t>ATK-20%</t>
  </si>
  <si>
    <t>角色id</t>
  </si>
  <si>
    <t>角色名稱</t>
  </si>
  <si>
    <t>rare</t>
  </si>
  <si>
    <t>體系</t>
  </si>
  <si>
    <t>equipment_type</t>
  </si>
  <si>
    <t>resist_buff</t>
  </si>
  <si>
    <t>skill0_id</t>
  </si>
  <si>
    <t>skill1_id</t>
  </si>
  <si>
    <t>skill2_id</t>
  </si>
  <si>
    <t>role_ addition</t>
  </si>
  <si>
    <t>hp</t>
  </si>
  <si>
    <t>atk</t>
  </si>
  <si>
    <t>matk</t>
  </si>
  <si>
    <t>def</t>
  </si>
  <si>
    <t>mdef</t>
  </si>
  <si>
    <t>mp</t>
  </si>
  <si>
    <t>重生回合數</t>
  </si>
  <si>
    <t>#六維</t>
  </si>
  <si>
    <t>capture_rate</t>
  </si>
  <si>
    <t>exchange_id</t>
  </si>
  <si>
    <t>exchange_amount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</si>
  <si>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</si>
  <si>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</si>
  <si>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</si>
  <si>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</si>
  <si>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</si>
  <si>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</si>
  <si>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</si>
  <si>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</si>
  <si>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</si>
  <si>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</si>
  <si>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star4_skill2</t>
  </si>
  <si>
    <t>star5_skill2</t>
  </si>
  <si>
    <t>火之迦具土</t>
  </si>
  <si>
    <t>weapon</t>
  </si>
  <si>
    <t>隆基努斯槍</t>
  </si>
  <si>
    <t>57,12,13,1,2,3</t>
  </si>
  <si>
    <t>59,18,13,5,9,17</t>
  </si>
  <si>
    <t>61,18,5,9,20</t>
  </si>
  <si>
    <t>59,12,15,10,22</t>
  </si>
  <si>
    <t>60,14,15,22,8</t>
  </si>
  <si>
    <t>56,16,13,2,1</t>
  </si>
  <si>
    <t>56,16,13,4,52</t>
  </si>
  <si>
    <t>58,17,15,51,10</t>
  </si>
  <si>
    <t>58,17,51,20</t>
  </si>
  <si>
    <t>57,17,15,52,10</t>
  </si>
  <si>
    <t>57,17,13,18,53</t>
  </si>
  <si>
    <t>57,17,13,6,6</t>
  </si>
  <si>
    <t>59,17,15,20,9</t>
  </si>
  <si>
    <t>58,16,13,51,4</t>
  </si>
  <si>
    <t>16,13,4</t>
  </si>
  <si>
    <t>16,13,2</t>
  </si>
  <si>
    <t>61,17,6</t>
  </si>
  <si>
    <t>58,17,20,14,53</t>
  </si>
  <si>
    <t>59,16,15,9,11</t>
  </si>
  <si>
    <t>16,13,1</t>
  </si>
  <si>
    <t>60,17,14,8</t>
  </si>
  <si>
    <t>60,16,20</t>
  </si>
  <si>
    <t>58,17,15,10</t>
  </si>
  <si>
    <t>16,2,1</t>
  </si>
  <si>
    <t>role</t>
  </si>
  <si>
    <t>物攻</t>
  </si>
  <si>
    <t>2,3,4,5,6,7</t>
  </si>
  <si>
    <t>物防</t>
  </si>
  <si>
    <t>{1.7},{1.7},{0.9},{1.6},{0.9}</t>
  </si>
  <si>
    <t>棕熊</t>
  </si>
  <si>
    <t>monster</t>
  </si>
  <si>
    <t>灰狼</t>
  </si>
  <si>
    <t>岩石怪</t>
  </si>
  <si>
    <t>尖牙兔</t>
  </si>
  <si>
    <t>樹精</t>
  </si>
  <si>
    <t>尖刺鼠</t>
  </si>
  <si>
    <t>符文龜</t>
  </si>
  <si>
    <t>利爪貓</t>
  </si>
  <si>
    <t>火焰雞</t>
  </si>
  <si>
    <t>草精</t>
  </si>
  <si>
    <t>天使史萊姆</t>
  </si>
  <si>
    <t>史萊姆</t>
  </si>
  <si>
    <t>冰凍史萊姆</t>
  </si>
  <si>
    <t>火焰史萊姆</t>
  </si>
  <si>
    <t>沼澤史萊姆</t>
  </si>
  <si>
    <t>金屬史萊姆</t>
  </si>
  <si>
    <t>活化魔導書</t>
  </si>
  <si>
    <t>1,1</t>
  </si>
  <si>
    <t>904</t>
  </si>
  <si>
    <t>魔導失控體</t>
  </si>
  <si>
    <t>魔能水晶獸</t>
  </si>
  <si>
    <t>闇影使魔</t>
  </si>
  <si>
    <t>失控魔像</t>
  </si>
  <si>
    <t>905</t>
  </si>
  <si>
    <t>失控冒險者</t>
  </si>
  <si>
    <t>繃帶屍鬼</t>
  </si>
  <si>
    <t>傭兵犬</t>
  </si>
  <si>
    <t>盜匪斥候</t>
  </si>
  <si>
    <t>魔化獵犬</t>
  </si>
  <si>
    <t>黑市術士</t>
  </si>
  <si>
    <t>森林妖精</t>
  </si>
  <si>
    <t>毒藤獸</t>
  </si>
  <si>
    <t>木靈</t>
  </si>
  <si>
    <t>狼群</t>
  </si>
  <si>
    <t>黑翼鴉人</t>
  </si>
  <si>
    <t>樹人幼體</t>
  </si>
  <si>
    <t>魔導書靈</t>
  </si>
  <si>
    <t>暗影刺客</t>
  </si>
  <si>
    <t>水晶傀儡</t>
  </si>
  <si>
    <t>幻術妖</t>
  </si>
  <si>
    <t>失控術士</t>
  </si>
  <si>
    <t>元素精靈</t>
  </si>
  <si>
    <t>魔法傀儡</t>
  </si>
  <si>
    <t>902</t>
  </si>
  <si>
    <t>禁術學徒</t>
  </si>
  <si>
    <t>光獸</t>
  </si>
  <si>
    <t>魔能幽魂</t>
  </si>
  <si>
    <t>異界召喚獸</t>
  </si>
  <si>
    <t>903</t>
  </si>
  <si>
    <t>黑炎修士</t>
  </si>
  <si>
    <t>狂熱信徒</t>
  </si>
  <si>
    <t>墮光騎士</t>
  </si>
  <si>
    <t>聖光獅</t>
  </si>
  <si>
    <t>聖堂亡魂</t>
  </si>
  <si>
    <t>雪狼</t>
  </si>
  <si>
    <t>聖骸兵</t>
  </si>
  <si>
    <t>赤焰妖</t>
  </si>
  <si>
    <t>誓約亡魂</t>
  </si>
  <si>
    <t>鬼火</t>
  </si>
  <si>
    <t>骷髏戰士</t>
  </si>
  <si>
    <t>暗黑鳥人</t>
  </si>
  <si>
    <t>火岩魔像</t>
  </si>
  <si>
    <t>炎翼蝙蝠</t>
  </si>
  <si>
    <t>靈魂收割者</t>
  </si>
  <si>
    <t>冰甲熊</t>
  </si>
  <si>
    <t>寒冰精靈</t>
  </si>
  <si>
    <t>深淵魔兵</t>
  </si>
  <si>
    <t>雪原巨魔</t>
  </si>
  <si>
    <t>浪人武士</t>
  </si>
  <si>
    <t>亡靈法師</t>
  </si>
  <si>
    <t>食屍鬼</t>
  </si>
  <si>
    <t>深淵曼陀羅</t>
  </si>
  <si>
    <t>惡魔統領</t>
  </si>
  <si>
    <t>地獄使者</t>
  </si>
  <si>
    <t>深淵狐影</t>
  </si>
  <si>
    <t>深淵巨獸</t>
  </si>
  <si>
    <t>虛空眼球</t>
  </si>
  <si>
    <t>光蝕史萊姆</t>
  </si>
  <si>
    <t>祈禱傀儡</t>
  </si>
  <si>
    <t>墮落天使</t>
  </si>
  <si>
    <t>聖槍侍衛</t>
  </si>
  <si>
    <t>神殿獵犬</t>
  </si>
  <si>
    <t>妖狐</t>
  </si>
  <si>
    <t>骸骨武者</t>
  </si>
  <si>
    <t>山鬼</t>
  </si>
  <si>
    <t>火山魔犬</t>
  </si>
  <si>
    <t>熔岩獸</t>
  </si>
  <si>
    <t>冰霜魔犬</t>
  </si>
  <si>
    <t>冥界騎士</t>
  </si>
  <si>
    <t>瘟疫使者</t>
  </si>
  <si>
    <t>地獄獵犬</t>
  </si>
  <si>
    <t>魔王</t>
  </si>
  <si>
    <t>2001,2002,2003,2004,2005,2006,2007,2008,2009,2010,2011,2012,5001,5002,5003,5004,5005,5006</t>
  </si>
  <si>
    <t>巨型狼王</t>
  </si>
  <si>
    <t>史萊姆國王</t>
  </si>
  <si>
    <t>伊芙莉特</t>
  </si>
  <si>
    <t>影之竊賊</t>
  </si>
  <si>
    <t>黑市首領</t>
  </si>
  <si>
    <t>古樹之王</t>
  </si>
  <si>
    <t>大賢者・摩爾德</t>
  </si>
  <si>
    <t>禁術塔主</t>
  </si>
  <si>
    <t>聖痕騎士長</t>
  </si>
  <si>
    <t>墮落聖者</t>
  </si>
  <si>
    <t>聖槍守護者</t>
  </si>
  <si>
    <t>妖刀將軍</t>
  </si>
  <si>
    <t>炎獄巨龍</t>
  </si>
  <si>
    <t>冰冠大公</t>
  </si>
  <si>
    <t>冥王使徒</t>
  </si>
  <si>
    <t>魔王奧斯維德</t>
  </si>
  <si>
    <t>state</t>
  </si>
  <si>
    <t>#備註</t>
  </si>
  <si>
    <t>#固定玩法</t>
  </si>
  <si>
    <t>tower</t>
  </si>
  <si>
    <t>annihilation</t>
  </si>
  <si>
    <t>mapid</t>
  </si>
  <si>
    <t>chapter</t>
  </si>
  <si>
    <t>hint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</si>
  <si>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</si>
  <si>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</si>
  <si>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</si>
  <si>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</si>
  <si>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</si>
  <si>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</si>
  <si>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</si>
  <si>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</si>
  <si>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</si>
  <si>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</si>
  <si>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</si>
  <si>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</si>
  <si>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</si>
  <si>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</si>
  <si>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</si>
  <si>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</si>
  <si>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</si>
  <si>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</si>
  <si>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</si>
  <si>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</si>
  <si>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</si>
  <si>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</si>
  <si>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loot3_id</t>
  </si>
  <si>
    <t>loot3_amount</t>
  </si>
  <si>
    <t>loot3_rate</t>
  </si>
  <si>
    <t>loot4_id</t>
  </si>
  <si>
    <t>loot4_amount</t>
  </si>
  <si>
    <t>loot4_rate</t>
  </si>
  <si>
    <t>第1層</t>
  </si>
  <si>
    <t>{role:-1},
{id:-1},{id:-1},{id:-1},{id:-1},{id:-1}
{id:40082},{id:40015},{id:40004},{id:40036},{id:40032}</t>
  </si>
  <si>
    <t>敵方弱化</t>
  </si>
  <si>
    <t>select_enemy</t>
  </si>
  <si>
    <t>2002,2003,2004</t>
  </si>
  <si>
    <t>3</t>
  </si>
  <si>
    <t>信號干擾</t>
  </si>
  <si>
    <t>2,9,11</t>
  </si>
  <si>
    <t>第2層</t>
  </si>
  <si>
    <t>{role:-1},
{id:-1},{id:-1},{id:-1},{id:-1},{id:-1}
{id:40012},{id:40076},{id:40055},{id:40005},{id:40004}</t>
  </si>
  <si>
    <t>信息同享</t>
  </si>
  <si>
    <t>4</t>
  </si>
  <si>
    <t>泥濘</t>
  </si>
  <si>
    <t>9</t>
  </si>
  <si>
    <t>第3層</t>
  </si>
  <si>
    <t>{role:-1},
{id:-1},{id:-1},{id:-1},{id:-1},{id:-1}
{id:40078},{id:40004},{id:40072},{id:40026},{id:40084}</t>
  </si>
  <si>
    <t>4,7,9</t>
  </si>
  <si>
    <t>酸雨</t>
  </si>
  <si>
    <t>5,10</t>
  </si>
  <si>
    <t>第4層</t>
  </si>
  <si>
    <t>{role:-1},
{id:-1},{id:-1},{id:-1},{id:-1},{id:-1}
{id:40001},{id:40021},{id:40055},{id:40044},{id:40036}</t>
  </si>
  <si>
    <t>磁場共振</t>
  </si>
  <si>
    <t>2,13</t>
  </si>
  <si>
    <t>第5層</t>
  </si>
  <si>
    <t>{role:-1},
{id:-1},{id:-1},{id:-1},{id:-1},{id:-1}
{id:50001},{id:40049},{id:40013},{id:40046},{id:40045}</t>
  </si>
  <si>
    <t>1,5,8</t>
  </si>
  <si>
    <t>2,7,13</t>
  </si>
  <si>
    <t>第6層</t>
  </si>
  <si>
    <t>{role:-1},
{id:-1},{id:-1},{id:-1},{id:-1},{id:-1}
{id:40071},{id:40038},{id:40081},{id:40080},{id:40047}</t>
  </si>
  <si>
    <t>大晴天</t>
  </si>
  <si>
    <t>2,4,12</t>
  </si>
  <si>
    <t>11</t>
  </si>
  <si>
    <t>第7層</t>
  </si>
  <si>
    <t>{role:-1},
{id:-1},{id:-1},{id:-1},{id:-1},{id:-1}
{id:40030},{id:40038},{id:40011},{id:40013},{id:40049}</t>
  </si>
  <si>
    <t>8,11</t>
  </si>
  <si>
    <t>3,6</t>
  </si>
  <si>
    <t>第8層</t>
  </si>
  <si>
    <t>{role:-1},
{id:-1},{id:-1},{id:-1},{id:-1},{id:-1}
{id:40046},{id:40027},{id:40086},{id:40035},{id:40083}</t>
  </si>
  <si>
    <t>10</t>
  </si>
  <si>
    <t>3,4,9</t>
  </si>
  <si>
    <t>第9層</t>
  </si>
  <si>
    <t>{role:-1},
{id:-1},{id:-1},{id:-1},{id:-1},{id:-1}
{id:40021},{id:40060},{id:40049},{id:40035},{id:40082}</t>
  </si>
  <si>
    <t>4,9,11</t>
  </si>
  <si>
    <t>1,13</t>
  </si>
  <si>
    <t>第10層</t>
  </si>
  <si>
    <t>{role:-1},
{id:-1},{id:-1},{id:-1},{id:-1},{id:-1}
{id:50002},{id:40030},{id:40005},{id:40041},{id:40052}</t>
  </si>
  <si>
    <t>2,4</t>
  </si>
  <si>
    <t>4,6,12</t>
  </si>
  <si>
    <t>第11層</t>
  </si>
  <si>
    <t>{role:-1},
{id:-1},{id:-1},{id:-1},{id:-1},{id:-1}
{id:40084},{id:40064},{id:40051},{id:40083},{id:40059}</t>
  </si>
  <si>
    <t>5</t>
  </si>
  <si>
    <t>第12層</t>
  </si>
  <si>
    <t>{role:-1},
{id:-1},{id:-1},{id:-1},{id:-1},{id:-1}
{id:40072},{id:40069},{id:40034},{id:40075},{id:40055}</t>
  </si>
  <si>
    <t>4,6,7</t>
  </si>
  <si>
    <t>第13層</t>
  </si>
  <si>
    <t>{role:-1},
{id:-1},{id:-1},{id:-1},{id:-1},{id:-1}
{id:40064},{id:40012},{id:40007},{id:40015},{id:40020}</t>
  </si>
  <si>
    <t>3,7,11</t>
  </si>
  <si>
    <t>2,7,12</t>
  </si>
  <si>
    <t>第14層</t>
  </si>
  <si>
    <t>{role:-1},
{id:-1},{id:-1},{id:-1},{id:-1},{id:-1}
{id:40077},{id:40060},{id:40068},{id:40033},{id:40071}</t>
  </si>
  <si>
    <t>第15層</t>
  </si>
  <si>
    <t>{role:-1},
{id:-1},{id:-1},{id:-1},{id:-1},{id:-1}
{id:50003},{id:40035},{id:40083},{id:40044},{id:40015}</t>
  </si>
  <si>
    <t>3,7</t>
  </si>
  <si>
    <t>1,12</t>
  </si>
  <si>
    <t>第16層</t>
  </si>
  <si>
    <t>{role:-1},
{id:-1},{id:-1},{id:-1},{id:-1},{id:-1}
{id:40034},{id:40065},{id:40023},{id:40014},{id:40081}</t>
  </si>
  <si>
    <t>9,11</t>
  </si>
  <si>
    <t>3,4,6</t>
  </si>
  <si>
    <t>第17層</t>
  </si>
  <si>
    <t>{role:-1},
{id:-1},{id:-1},{id:-1},{id:-1},{id:-1}
{id:40021},{id:40070},{id:40068},{id:40001},{id:40077}</t>
  </si>
  <si>
    <t>1,8</t>
  </si>
  <si>
    <t>6</t>
  </si>
  <si>
    <t>第18層</t>
  </si>
  <si>
    <t>{role:-1},
{id:-1},{id:-1},{id:-1},{id:-1},{id:-1}
{id:40040},{id:40031},{id:40008},{id:40073},{id:40011}</t>
  </si>
  <si>
    <t>12</t>
  </si>
  <si>
    <t>2,9</t>
  </si>
  <si>
    <t>第19層</t>
  </si>
  <si>
    <t>{role:-1},
{id:-1},{id:-1},{id:-1},{id:-1},{id:-1}
{id:40017},{id:40085},{id:40061},{id:40071},{id:40022}</t>
  </si>
  <si>
    <t>9,10</t>
  </si>
  <si>
    <t>4,9</t>
  </si>
  <si>
    <t>第20層</t>
  </si>
  <si>
    <t>{role:-1},
{id:-1},{id:-1},{id:-1},{id:-1},{id:-1}
{id:50004},{id:40026},{id:40040},{id:40052},{id:40086}</t>
  </si>
  <si>
    <t>6,8,9</t>
  </si>
  <si>
    <t>第21層</t>
  </si>
  <si>
    <t>{role:-1},
{id:-1},{id:-1},{id:-1},{id:-1},{id:-1}
{id:40029},{id:40009},{id:40044},{id:40003},{id:40076}</t>
  </si>
  <si>
    <t>4,10,13</t>
  </si>
  <si>
    <t>2</t>
  </si>
  <si>
    <t>第22層</t>
  </si>
  <si>
    <t>{role:-1},
{id:-1},{id:-1},{id:-1},{id:-1},{id:-1}
{id:40081},{id:40008},{id:40030},{id:40009},{id:40005}</t>
  </si>
  <si>
    <t>第23層</t>
  </si>
  <si>
    <t>{role:-1},
{id:-1},{id:-1},{id:-1},{id:-1},{id:-1}
{id:40086},{id:40063},{id:40028},{id:40070},{id:40017}</t>
  </si>
  <si>
    <t>8,10,13</t>
  </si>
  <si>
    <t>13</t>
  </si>
  <si>
    <t>第24層</t>
  </si>
  <si>
    <t>{role:-1},
{id:-1},{id:-1},{id:-1},{id:-1},{id:-1}
{id:40061},{id:40053},{id:40025},{id:40013},{id:40085}</t>
  </si>
  <si>
    <t>6,7</t>
  </si>
  <si>
    <t>8,12</t>
  </si>
  <si>
    <t>第25層</t>
  </si>
  <si>
    <t>{role:-1},
{id:-1},{id:-1},{id:-1},{id:-1},{id:-1}
{id:50005},{id:40007},{id:40087},{id:40084},{id:40083}</t>
  </si>
  <si>
    <t>1</t>
  </si>
  <si>
    <t>6,12</t>
  </si>
  <si>
    <t>第26層</t>
  </si>
  <si>
    <t>{role:-1},
{id:-1},{id:-1},{id:-1},{id:-1},{id:-1}
{id:40014},{id:40032},{id:40025},{id:40069},{id:40058}</t>
  </si>
  <si>
    <t>7</t>
  </si>
  <si>
    <t>第27層</t>
  </si>
  <si>
    <t>{role:-1},
{id:-1},{id:-1},{id:-1},{id:-1},{id:-1}
{id:40060},{id:40032},{id:40010},{id:40057},{id:40071}</t>
  </si>
  <si>
    <t>1,2,9</t>
  </si>
  <si>
    <t>第28層</t>
  </si>
  <si>
    <t>{role:-1},
{id:-1},{id:-1},{id:-1},{id:-1},{id:-1}
{id:40031},{id:40022},{id:40053},{id:40063},{id:40062}</t>
  </si>
  <si>
    <t>第29層</t>
  </si>
  <si>
    <t>{role:-1},
{id:-1},{id:-1},{id:-1},{id:-1},{id:-1}
{id:40049},{id:40001},{id:40050},{id:40034},{id:40059}</t>
  </si>
  <si>
    <t>7,12</t>
  </si>
  <si>
    <t>9,11,13</t>
  </si>
  <si>
    <t>第30層</t>
  </si>
  <si>
    <t>{role:-1},
{id:-1},{id:-1},{id:-1},{id:-1},{id:-1}
{id:50006},{id:40063},{id:40020},{id:40025},{id:40038}</t>
  </si>
  <si>
    <t>1,9,12</t>
  </si>
  <si>
    <t>第31層</t>
  </si>
  <si>
    <t>{role:-1},
{id:-1},{id:-1},{id:-1},{id:-1},{id:-1}
{id:40041},{id:40008},{id:40007},{id:40075},{id:40062}</t>
  </si>
  <si>
    <t>1,3,9</t>
  </si>
  <si>
    <t>2,3,13</t>
  </si>
  <si>
    <t>第32層</t>
  </si>
  <si>
    <t>{role:-1},
{id:-1},{id:-1},{id:-1},{id:-1},{id:-1}
{id:40077},{id:40009},{id:40087},{id:40031},{id:40052}</t>
  </si>
  <si>
    <t>第33層</t>
  </si>
  <si>
    <t>{role:-1},
{id:-1},{id:-1},{id:-1},{id:-1},{id:-1}
{id:40077},{id:40006},{id:40080},{id:40011},{id:40054}</t>
  </si>
  <si>
    <t>9,10,13</t>
  </si>
  <si>
    <t>4,5</t>
  </si>
  <si>
    <t>第34層</t>
  </si>
  <si>
    <t>{role:-1},
{id:-1},{id:-1},{id:-1},{id:-1},{id:-1}
{id:40086},{id:40041},{id:40031},{id:40034},{id:40051}</t>
  </si>
  <si>
    <t>5,6,8</t>
  </si>
  <si>
    <t>第35層</t>
  </si>
  <si>
    <t>{role:-1},
{id:-1},{id:-1},{id:-1},{id:-1},{id:-1}
{id:50007},{id:40010},{id:40002},{id:40059},{id:40080}</t>
  </si>
  <si>
    <t>2,9,13</t>
  </si>
  <si>
    <t>第36層</t>
  </si>
  <si>
    <t>{role:-1},
{id:-1},{id:-1},{id:-1},{id:-1},{id:-1}
{id:40034},{id:40017},{id:40045},{id:40009},{id:40032}</t>
  </si>
  <si>
    <t>3,5</t>
  </si>
  <si>
    <t>9,12</t>
  </si>
  <si>
    <t>第37層</t>
  </si>
  <si>
    <t>{role:-1},
{id:-1},{id:-1},{id:-1},{id:-1},{id:-1}
{id:40039},{id:40079},{id:40084},{id:40068},{id:40002}</t>
  </si>
  <si>
    <t>5,9,11</t>
  </si>
  <si>
    <t>第38層</t>
  </si>
  <si>
    <t>{role:-1},
{id:-1},{id:-1},{id:-1},{id:-1},{id:-1}
{id:40034},{id:40015},{id:40014},{id:40071},{id:40020}</t>
  </si>
  <si>
    <t>第39層</t>
  </si>
  <si>
    <t>{role:-1},
{id:-1},{id:-1},{id:-1},{id:-1},{id:-1}
{id:40044},{id:40027},{id:40082},{id:40034},{id:40065}</t>
  </si>
  <si>
    <t>1,5</t>
  </si>
  <si>
    <t>第40層</t>
  </si>
  <si>
    <t>{role:-1},
{id:-1},{id:-1},{id:-1},{id:-1},{id:-1}
{id:50008},{id:40055},{id:40036},{id:40006},{id:40001}</t>
  </si>
  <si>
    <t>3,13</t>
  </si>
  <si>
    <t>3,5,8</t>
  </si>
  <si>
    <t>第41層</t>
  </si>
  <si>
    <t>{role:-1},
{id:-1},{id:-1},{id:-1},{id:-1},{id:-1}
{id:40071},{id:40055},{id:40072},{id:40002},{id:40015}</t>
  </si>
  <si>
    <t>第42層</t>
  </si>
  <si>
    <t>{role:-1},
{id:-1},{id:-1},{id:-1},{id:-1},{id:-1}
{id:40005},{id:40048},{id:40075},{id:40071},{id:40019}</t>
  </si>
  <si>
    <t>1,3</t>
  </si>
  <si>
    <t>1,6</t>
  </si>
  <si>
    <t>第43層</t>
  </si>
  <si>
    <t>{role:-1},
{id:-1},{id:-1},{id:-1},{id:-1},{id:-1}
{id:40046},{id:40027},{id:40032},{id:40086},{id:40014}</t>
  </si>
  <si>
    <t>9,13</t>
  </si>
  <si>
    <t>10,12</t>
  </si>
  <si>
    <t>第44層</t>
  </si>
  <si>
    <t>{role:-1},
{id:-1},{id:-1},{id:-1},{id:-1},{id:-1}
{id:40020},{id:40031},{id:40021},{id:40023},{id:40053}</t>
  </si>
  <si>
    <t>6,7,11</t>
  </si>
  <si>
    <t>第45層</t>
  </si>
  <si>
    <t>{role:-1},
{id:-1},{id:-1},{id:-1},{id:-1},{id:-1}
{id:50009},{id:40032},{id:40035},{id:40021},{id:40014}</t>
  </si>
  <si>
    <t>第46層</t>
  </si>
  <si>
    <t>{role:-1},
{id:-1},{id:-1},{id:-1},{id:-1},{id:-1}
{id:40059},{id:40045},{id:40040},{id:40030},{id:40029}</t>
  </si>
  <si>
    <t>第47層</t>
  </si>
  <si>
    <t>{role:-1},
{id:-1},{id:-1},{id:-1},{id:-1},{id:-1}
{id:40043},{id:40036},{id:40009},{id:40045},{id:40083}</t>
  </si>
  <si>
    <t>7,9,11</t>
  </si>
  <si>
    <t>1,2</t>
  </si>
  <si>
    <t>第48層</t>
  </si>
  <si>
    <t>{role:-1},
{id:-1},{id:-1},{id:-1},{id:-1},{id:-1}
{id:40034},{id:40023},{id:40075},{id:40005},{id:40014}</t>
  </si>
  <si>
    <t>6,7,12</t>
  </si>
  <si>
    <t>第49層</t>
  </si>
  <si>
    <t>{role:-1},
{id:-1},{id:-1},{id:-1},{id:-1},{id:-1}
{id:40015},{id:40050},{id:40074},{id:40025},{id:40033}</t>
  </si>
  <si>
    <t>1,9</t>
  </si>
  <si>
    <t>第50層</t>
  </si>
  <si>
    <t>{role:-1},
{id:-1},{id:-1},{id:-1},{id:-1},{id:-1}
{id:50010},{id:40069},{id:40086},{id:40026},{id:40047}</t>
  </si>
  <si>
    <t>2,11</t>
  </si>
  <si>
    <t>6,10</t>
  </si>
  <si>
    <t>第51層</t>
  </si>
  <si>
    <t>{role:-1},
{id:-1},{id:-1},{id:-1},{id:-1},{id:-1}
{id:40085},{id:40016},{id:40039},{id:40065},{id:40040}</t>
  </si>
  <si>
    <t>6,7,13</t>
  </si>
  <si>
    <t>3,5,9</t>
  </si>
  <si>
    <t>第52層</t>
  </si>
  <si>
    <t>{role:-1},
{id:-1},{id:-1},{id:-1},{id:-1},{id:-1}
{id:40025},{id:40054},{id:40086},{id:40049},{id:40087}</t>
  </si>
  <si>
    <t>3,10,12</t>
  </si>
  <si>
    <t>7,9</t>
  </si>
  <si>
    <t>第53層</t>
  </si>
  <si>
    <t>{role:-1},
{id:-1},{id:-1},{id:-1},{id:-1},{id:-1}
{id:40001},{id:40039},{id:40037},{id:40027},{id:40056}</t>
  </si>
  <si>
    <t>6,10,11</t>
  </si>
  <si>
    <t>8,13</t>
  </si>
  <si>
    <t>第54層</t>
  </si>
  <si>
    <t>{role:-1},
{id:-1},{id:-1},{id:-1},{id:-1},{id:-1}
{id:40087},{id:40028},{id:40066},{id:40061},{id:40022}</t>
  </si>
  <si>
    <t>2,5,9</t>
  </si>
  <si>
    <t>第55層</t>
  </si>
  <si>
    <t>{role:-1},
{id:-1},{id:-1},{id:-1},{id:-1},{id:-1}
{id:50011},{id:40012},{id:40031},{id:40087},{id:40040}</t>
  </si>
  <si>
    <t>第56層</t>
  </si>
  <si>
    <t>{role:-1},
{id:-1},{id:-1},{id:-1},{id:-1},{id:-1}
{id:40004},{id:40006},{id:40032},{id:40061},{id:40079}</t>
  </si>
  <si>
    <t>8</t>
  </si>
  <si>
    <t>10,11</t>
  </si>
  <si>
    <t>第57層</t>
  </si>
  <si>
    <t>{role:-1},
{id:-1},{id:-1},{id:-1},{id:-1},{id:-1}
{id:40025},{id:40050},{id:40064},{id:40052},{id:40032}</t>
  </si>
  <si>
    <t>1,2,7</t>
  </si>
  <si>
    <t>第58層</t>
  </si>
  <si>
    <t>{role:-1},
{id:-1},{id:-1},{id:-1},{id:-1},{id:-1}
{id:40029},{id:40023},{id:40067},{id:40060},{id:40007}</t>
  </si>
  <si>
    <t>2,4,8</t>
  </si>
  <si>
    <t>第59層</t>
  </si>
  <si>
    <t>{role:-1},
{id:-1},{id:-1},{id:-1},{id:-1},{id:-1}
{id:40060},{id:40086},{id:40068},{id:40072},{id:40077}</t>
  </si>
  <si>
    <t>7,9,12</t>
  </si>
  <si>
    <t>第60層</t>
  </si>
  <si>
    <t>{role:-1},
{id:-1},{id:-1},{id:-1},{id:-1},{id:-1}
{id:50012},{id:40071},{id:40058},{id:40021},{id:40061}</t>
  </si>
  <si>
    <t>5,8,9</t>
  </si>
  <si>
    <t>第61層</t>
  </si>
  <si>
    <t>{role:-1},
{id:-1},{id:-1},{id:-1},{id:-1},{id:-1}
{id:40081},{id:40031},{id:40036},{id:40057},{id:40010}</t>
  </si>
  <si>
    <t>4,5,13</t>
  </si>
  <si>
    <t>6,9</t>
  </si>
  <si>
    <t>第62層</t>
  </si>
  <si>
    <t>{role:-1},
{id:-1},{id:-1},{id:-1},{id:-1},{id:-1}
{id:40011},{id:40018},{id:40020},{id:40030},{id:40050}</t>
  </si>
  <si>
    <t>3,4,12</t>
  </si>
  <si>
    <t>第63層</t>
  </si>
  <si>
    <t>{role:-1},
{id:-1},{id:-1},{id:-1},{id:-1},{id:-1}
{id:40053},{id:40043},{id:40070},{id:40060},{id:40054}</t>
  </si>
  <si>
    <t>7,10</t>
  </si>
  <si>
    <t>第64層</t>
  </si>
  <si>
    <t>{role:-1},
{id:-1},{id:-1},{id:-1},{id:-1},{id:-1}
{id:40003},{id:40074},{id:40049},{id:40062},{id:40001}</t>
  </si>
  <si>
    <t>5,7</t>
  </si>
  <si>
    <t>第65層</t>
  </si>
  <si>
    <t>{role:-1},
{id:-1},{id:-1},{id:-1},{id:-1},{id:-1}
{id:50013},{id:40070},{id:40078},{id:40029},{id:40063}</t>
  </si>
  <si>
    <t>第66層</t>
  </si>
  <si>
    <t>{role:-1},
{id:-1},{id:-1},{id:-1},{id:-1},{id:-1}
{id:40050},{id:40044},{id:40086},{id:40087},{id:40052}</t>
  </si>
  <si>
    <t>3,8,13</t>
  </si>
  <si>
    <t>1,7,9</t>
  </si>
  <si>
    <t>第67層</t>
  </si>
  <si>
    <t>{role:-1},
{id:-1},{id:-1},{id:-1},{id:-1},{id:-1}
{id:40076},{id:40073},{id:40085},{id:40004},{id:40011}</t>
  </si>
  <si>
    <t>3,7,8</t>
  </si>
  <si>
    <t>第68層</t>
  </si>
  <si>
    <t>{role:-1},
{id:-1},{id:-1},{id:-1},{id:-1},{id:-1}
{id:40034},{id:40049},{id:40042},{id:40028},{id:40059}</t>
  </si>
  <si>
    <t>7,13</t>
  </si>
  <si>
    <t>第69層</t>
  </si>
  <si>
    <t>{role:-1},
{id:-1},{id:-1},{id:-1},{id:-1},{id:-1}
{id:40033},{id:40011},{id:40061},{id:40003},{id:40070}</t>
  </si>
  <si>
    <t>第70層</t>
  </si>
  <si>
    <t>{role:-1},
{id:-1},{id:-1},{id:-1},{id:-1},{id:-1}
{id:50014},{id:40009},{id:40084},{id:40006},{id:40004}</t>
  </si>
  <si>
    <t>第71層</t>
  </si>
  <si>
    <t>{role:-1},
{id:-1},{id:-1},{id:-1},{id:-1},{id:-1}
{id:40020},{id:40031},{id:40017},{id:40061},{id:40086}</t>
  </si>
  <si>
    <t>第72層</t>
  </si>
  <si>
    <t>{role:-1},
{id:-1},{id:-1},{id:-1},{id:-1},{id:-1}
{id:40033},{id:40048},{id:40022},{id:40078},{id:40015}</t>
  </si>
  <si>
    <t>第73層</t>
  </si>
  <si>
    <t>{role:-1},
{id:-1},{id:-1},{id:-1},{id:-1},{id:-1}
{id:40004},{id:40040},{id:40074},{id:40087},{id:40049}</t>
  </si>
  <si>
    <t>4,12</t>
  </si>
  <si>
    <t>第74層</t>
  </si>
  <si>
    <t>{role:-1},
{id:-1},{id:-1},{id:-1},{id:-1},{id:-1}
{id:40081},{id:40032},{id:40014},{id:40039},{id:40077}</t>
  </si>
  <si>
    <t>1,6,13</t>
  </si>
  <si>
    <t>第75層</t>
  </si>
  <si>
    <t>{role:-1},
{id:-1},{id:-1},{id:-1},{id:-1},{id:-1}
{id:50015},{id:40069},{id:40055},{id:40085},{id:40048}</t>
  </si>
  <si>
    <t>1,6,7</t>
  </si>
  <si>
    <t>第76層</t>
  </si>
  <si>
    <t>{role:-1},
{id:-1},{id:-1},{id:-1},{id:-1},{id:-1}
{id:40063},{id:40014},{id:40056},{id:40047},{id:40082}</t>
  </si>
  <si>
    <t>3,12</t>
  </si>
  <si>
    <t>第77層</t>
  </si>
  <si>
    <t>{role:-1},
{id:-1},{id:-1},{id:-1},{id:-1},{id:-1}
{id:40067},{id:40084},{id:40035},{id:40079},{id:40069}</t>
  </si>
  <si>
    <t>7,8</t>
  </si>
  <si>
    <t>5,6,10</t>
  </si>
  <si>
    <t>第78層</t>
  </si>
  <si>
    <t>{role:-1},
{id:-1},{id:-1},{id:-1},{id:-1},{id:-1}
{id:40032},{id:40012},{id:40036},{id:40058},{id:40060}</t>
  </si>
  <si>
    <t>7,10,11</t>
  </si>
  <si>
    <t>第79層</t>
  </si>
  <si>
    <t>{role:-1},
{id:-1},{id:-1},{id:-1},{id:-1},{id:-1}
{id:40042},{id:40024},{id:40063},{id:40028},{id:40046}</t>
  </si>
  <si>
    <t>5,6</t>
  </si>
  <si>
    <t>5,9,12</t>
  </si>
  <si>
    <t>第80層</t>
  </si>
  <si>
    <t>{role:-1},
{id:-1},{id:-1},{id:-1},{id:-1},{id:-1}
{id:50001},{id:40002},{id:40067},{id:40025},{id:40011}</t>
  </si>
  <si>
    <t>8,9</t>
  </si>
  <si>
    <t>第81層</t>
  </si>
  <si>
    <t>{role:-1},
{id:-1},{id:-1},{id:-1},{id:-1},{id:-1}
{id:40031},{id:40061},{id:40083},{id:40063},{id:40058}</t>
  </si>
  <si>
    <t>4,7</t>
  </si>
  <si>
    <t>第82層</t>
  </si>
  <si>
    <t>{role:-1},
{id:-1},{id:-1},{id:-1},{id:-1},{id:-1}
{id:40032},{id:40040},{id:40085},{id:40075},{id:40048}</t>
  </si>
  <si>
    <t>第83層</t>
  </si>
  <si>
    <t>{role:-1},
{id:-1},{id:-1},{id:-1},{id:-1},{id:-1}
{id:40071},{id:40043},{id:40046},{id:40059},{id:40035}</t>
  </si>
  <si>
    <t>第84層</t>
  </si>
  <si>
    <t>{role:-1},
{id:-1},{id:-1},{id:-1},{id:-1},{id:-1}
{id:40025},{id:40041},{id:40016},{id:40069},{id:40024}</t>
  </si>
  <si>
    <t>5,8,10</t>
  </si>
  <si>
    <t>第85層</t>
  </si>
  <si>
    <t>{role:-1},
{id:-1},{id:-1},{id:-1},{id:-1},{id:-1}
{id:50002},{id:40068},{id:40077},{id:40037},{id:40013}</t>
  </si>
  <si>
    <t>第86層</t>
  </si>
  <si>
    <t>{role:-1},
{id:-1},{id:-1},{id:-1},{id:-1},{id:-1}
{id:40023},{id:40039},{id:40002},{id:40069},{id:40017}</t>
  </si>
  <si>
    <t>3,5,12</t>
  </si>
  <si>
    <t>第87層</t>
  </si>
  <si>
    <t>{role:-1},
{id:-1},{id:-1},{id:-1},{id:-1},{id:-1}
{id:40082},{id:40063},{id:40014},{id:40002},{id:40074}</t>
  </si>
  <si>
    <t>第88層</t>
  </si>
  <si>
    <t>{role:-1},
{id:-1},{id:-1},{id:-1},{id:-1},{id:-1}
{id:40007},{id:40033},{id:40062},{id:40015},{id:40009}</t>
  </si>
  <si>
    <t>2,8</t>
  </si>
  <si>
    <t>1,11,13</t>
  </si>
  <si>
    <t>第89層</t>
  </si>
  <si>
    <t>{role:-1},
{id:-1},{id:-1},{id:-1},{id:-1},{id:-1}
{id:40020},{id:40073},{id:40039},{id:40011},{id:40032}</t>
  </si>
  <si>
    <t>10,13</t>
  </si>
  <si>
    <t>第90層</t>
  </si>
  <si>
    <t>{role:-1},
{id:-1},{id:-1},{id:-1},{id:-1},{id:-1}
{id:50003},{id:40080},{id:40029},{id:40067},{id:40049}</t>
  </si>
  <si>
    <t>5,8</t>
  </si>
  <si>
    <t>5,7,10</t>
  </si>
  <si>
    <t>第91層</t>
  </si>
  <si>
    <t>{role:-1},
{id:-1},{id:-1},{id:-1},{id:-1},{id:-1}
{id:40080},{id:40008},{id:40079},{id:40013},{id:40027}</t>
  </si>
  <si>
    <t>4,5,11</t>
  </si>
  <si>
    <t>第92層</t>
  </si>
  <si>
    <t>{role:-1},
{id:-1},{id:-1},{id:-1},{id:-1},{id:-1}
{id:40031},{id:40023},{id:40071},{id:40010},{id:40021}</t>
  </si>
  <si>
    <t>第93層</t>
  </si>
  <si>
    <t>{role:-1},
{id:-1},{id:-1},{id:-1},{id:-1},{id:-1}
{id:40061},{id:40038},{id:40005},{id:40030},{id:40037}</t>
  </si>
  <si>
    <t>5,8,12</t>
  </si>
  <si>
    <t>第94層</t>
  </si>
  <si>
    <t>{role:-1},
{id:-1},{id:-1},{id:-1},{id:-1},{id:-1}
{id:40030},{id:40034},{id:40081},{id:40076},{id:40085}</t>
  </si>
  <si>
    <t>第95層</t>
  </si>
  <si>
    <t>{role:-1},
{id:-1},{id:-1},{id:-1},{id:-1},{id:-1}
{id:50004},{id:40029},{id:40083},{id:40020},{id:40035}</t>
  </si>
  <si>
    <t>第96層</t>
  </si>
  <si>
    <t>{role:-1},
{id:-1},{id:-1},{id:-1},{id:-1},{id:-1}
{id:40040},{id:40077},{id:40073},{id:40037},{id:40057}</t>
  </si>
  <si>
    <t>5,7,12</t>
  </si>
  <si>
    <t>第97層</t>
  </si>
  <si>
    <t>{role:-1},
{id:-1},{id:-1},{id:-1},{id:-1},{id:-1}
{id:40035},{id:40065},{id:40070},{id:40064},{id:40057}</t>
  </si>
  <si>
    <t>第98層</t>
  </si>
  <si>
    <t>{role:-1},
{id:-1},{id:-1},{id:-1},{id:-1},{id:-1}
{id:40042},{id:40078},{id:40033},{id:40004},{id:40012}</t>
  </si>
  <si>
    <t>1,10,11</t>
  </si>
  <si>
    <t>第99層</t>
  </si>
  <si>
    <t>{role:-1},
{id:-1},{id:-1},{id:-1},{id:-1},{id:-1}
{id:40035},{id:40074},{id:40006},{id:40023},{id:40061}</t>
  </si>
  <si>
    <t>5,8,11</t>
  </si>
  <si>
    <t>第100層</t>
  </si>
  <si>
    <t>{role:-1},
{id:-1},{id:-1},{id:-1},{id:-1},{id:-1}
{id:50005},{id:40056},{id:40082},{id:40063},{id:40012}</t>
  </si>
  <si>
    <t>6,11</t>
  </si>
  <si>
    <t>main</t>
  </si>
  <si>
    <t>最強戰役</t>
  </si>
  <si>
    <t>{role:-90007},{state:-60001}
{id:-10008,level:100,atk:999,def:9999},{id:-10010,level:100,def:9999},{id:-10011,level:100,def:9999},{id:-10012,level:100,def:9999},{id:-10009,level:100,def:9999},
{id:10001,level:100},{id:10013,level:100},{id:50000,level:100},{id:10014,level:100},{id:10015,level:100}</t>
  </si>
  <si>
    <t>1-1</t>
  </si>
  <si>
    <t>{role:-1},
{id:-1},{id:-1},{id:-1},{id:-1},{id:-1}
{id:40001},{id:40002}</t>
  </si>
  <si>
    <t>天氣變化</t>
  </si>
  <si>
    <t>場地變化</t>
  </si>
  <si>
    <t>1-2</t>
  </si>
  <si>
    <t>{role:-1},
{id:-1},{id:-1},{id:-1},{id:-1},{id:-1}
{id:40005},{id:40002}</t>
  </si>
  <si>
    <t>8,12,13</t>
  </si>
  <si>
    <t>10,11,12</t>
  </si>
  <si>
    <t>1-3</t>
  </si>
  <si>
    <t>{role:-1},
{id:-1},{id:-1},{id:-1},{id:-1},{id:-1}
{id:40005},{id:40005}</t>
  </si>
  <si>
    <t>2,7,11</t>
  </si>
  <si>
    <t>2,3,5</t>
  </si>
  <si>
    <t>1-4</t>
  </si>
  <si>
    <t>{role:-1},
{id:-1},{id:-1},{id:-1},{id:-1},{id:-1}
{id:40005},{id:40005},{id:40004}</t>
  </si>
  <si>
    <t>1-5</t>
  </si>
  <si>
    <t>{role:-1},
{id:-1},{id:-1},{id:-1},{id:-1},{id:-1}
{id:40001},{id:40004},{id:40005}</t>
  </si>
  <si>
    <t>4,10</t>
  </si>
  <si>
    <t>1-6</t>
  </si>
  <si>
    <t>{role:-1},
{id:-1},{id:-1},{id:-1},{id:-1},{id:-1}
{id:40002},{id:40001},{id:40003}</t>
  </si>
  <si>
    <t>2,4,9</t>
  </si>
  <si>
    <t>1,6,8</t>
  </si>
  <si>
    <t>1-7</t>
  </si>
  <si>
    <t>{role:-1},
{id:-1},{id:-1},{id:-1},{id:-1},{id:-1}
{id:40004},{id:40001},{id:40002}</t>
  </si>
  <si>
    <t>1-8</t>
  </si>
  <si>
    <t>{role:-1},
{id:-1},{id:-1},{id:-1},{id:-1},{id:-1}
{id:40002},{id:40005},{id:40005}</t>
  </si>
  <si>
    <t>1-9</t>
  </si>
  <si>
    <t>{role:-1},
{id:-1},{id:-1},{id:-1},{id:-1},{id:-1}
{id:40003},{id:40003},{id:40004}</t>
  </si>
  <si>
    <t>4,6,9</t>
  </si>
  <si>
    <t>1-10</t>
  </si>
  <si>
    <t>{role:-1},
{id:-1},{id:-1},{id:-1},{id:-1},{id:-1}
{id:40002},{id:40003},{id:40005},{id:40003}</t>
  </si>
  <si>
    <t>1-11</t>
  </si>
  <si>
    <t>{role:-1},
{id:-1},{id:-1},{id:-1},{id:-1},{id:-1}
{id:40002},{id:40005},{id:40004},{id:40004}</t>
  </si>
  <si>
    <t>1-12</t>
  </si>
  <si>
    <t>{role:-1},
{id:-1},{id:-1},{id:-1},{id:-1},{id:-1}
{id:40001},{id:40001},{id:40004},{id:40002}</t>
  </si>
  <si>
    <t>8,11,13</t>
  </si>
  <si>
    <t>1-13</t>
  </si>
  <si>
    <t>{role:-1},
{id:-1},{id:-1},{id:-1},{id:-1},{id:-1}
{id:40005},{id:40003},{id:40004},{id:40001},{id:40004}</t>
  </si>
  <si>
    <t>1-14</t>
  </si>
  <si>
    <t>{role:-1},
{id:-1},{id:-1},{id:-1},{id:-1},{id:-1}
{id:40005},{id:40003},{id:40002},{id:40001},{id:40005}</t>
  </si>
  <si>
    <t>8,9,13</t>
  </si>
  <si>
    <t>3,9</t>
  </si>
  <si>
    <t>1-15</t>
  </si>
  <si>
    <t>{role:-1},
{id:-1},{id:-1},{id:-1},{id:-1},{id:-1}
{id:40003},{id:40001},{id:40003},{id:40004},{id:40001}</t>
  </si>
  <si>
    <t>2,5,6</t>
  </si>
  <si>
    <t>1-16</t>
  </si>
  <si>
    <t>{role:-1},
{id:-1},{id:-1},{id:-1},{id:-1},{id:-1}
{id:40005},{id:40004},{id:40002},{id:40004},{id:40003}</t>
  </si>
  <si>
    <t>12,13</t>
  </si>
  <si>
    <t>1-17</t>
  </si>
  <si>
    <t>{role:-1},
{id:-1},{id:-1},{id:-1},{id:-1},{id:-1}
{id:40005},{id:40001},{id:40005},{id:40004},{id:40002}</t>
  </si>
  <si>
    <t>2,8,10</t>
  </si>
  <si>
    <t>1-18</t>
  </si>
  <si>
    <t>{role:-1},
{id:-1},{id:-1},{id:-1},{id:-1},{id:-1}
{id:40005},{id:40004},{id:40001},{id:40001},{id:40004}</t>
  </si>
  <si>
    <t>1-19</t>
  </si>
  <si>
    <t>{role:-1},
{id:-1},{id:-1},{id:-1},{id:-1},{id:-1}
{id:40005},{id:40002},{id:40003},{id:40002},{id:40005}</t>
  </si>
  <si>
    <t>2,10</t>
  </si>
  <si>
    <t>1-20</t>
  </si>
  <si>
    <t>{role:-1},
{id:-1},{id:-1},{id:-1},{id:-1},{id:-1}
{id:40004},{id:40003},{id:40002},{id:40003},{id:40003}</t>
  </si>
  <si>
    <t>5,9,10</t>
  </si>
  <si>
    <t>1-21</t>
  </si>
  <si>
    <t>{role:-1},
{id:-1},{id:-1},{id:-1},{id:-1},{id:-1}
{id:40002},{id:40004},{id:40002},{id:40005},{id:40001}</t>
  </si>
  <si>
    <t>6,9,10</t>
  </si>
  <si>
    <t>1,8,9</t>
  </si>
  <si>
    <t>1-22</t>
  </si>
  <si>
    <t>{role:-1},
{id:-1},{id:-1},{id:-1},{id:-1},{id:-1}
{id:40005},{id:40001},{id:40003},{id:40001},{id:40002}</t>
  </si>
  <si>
    <t>1,10,13</t>
  </si>
  <si>
    <t>1-23</t>
  </si>
  <si>
    <t>{role:-1},
{id:-1},{id:-1},{id:-1},{id:-1},{id:-1}
{id:40001},{id:40002},{id:40005},{id:40005},{id:40002}</t>
  </si>
  <si>
    <t>1-24</t>
  </si>
  <si>
    <t>{role:-1},
{id:-1},{id:-1},{id:-1},{id:-1},{id:-1}
{id:40002},{id:40001},{id:40004},{id:40005},{id:40005}</t>
  </si>
  <si>
    <t>5,11</t>
  </si>
  <si>
    <t>1-25</t>
  </si>
  <si>
    <t>{role:-1},
{id:-1},{id:-1},{id:-1},{id:-1},{id:-1}
{id:40003},{id:40004},{id:40005},{id:40001},{id:40001}</t>
  </si>
  <si>
    <t>1-26</t>
  </si>
  <si>
    <t>{role:-1},
{id:-1},{id:-1},{id:-1},{id:-1},{id:-1}
{id:40002},{id:40001},{id:40005},{id:40004},{id:40004}</t>
  </si>
  <si>
    <t>7,8,12</t>
  </si>
  <si>
    <t>1-27</t>
  </si>
  <si>
    <t>{role:-1},
{id:-1},{id:-1},{id:-1},{id:-1},{id:-1}
{id:40004},{id:40004},{id:40004},{id:40004},{id:40005}</t>
  </si>
  <si>
    <t>1,9,11</t>
  </si>
  <si>
    <t>1-28</t>
  </si>
  <si>
    <t>{role:-1},
{id:-1},{id:-1},{id:-1},{id:-1},{id:-1}
{id:40003},{id:40003},{id:40005},{id:40001},{id:40005}</t>
  </si>
  <si>
    <t>1-29</t>
  </si>
  <si>
    <t>{role:-1},
{id:-1},{id:-1},{id:-1},{id:-1},{id:-1}
{id:40005},{id:40002},{id:40004},{id:40005},{id:40003}</t>
  </si>
  <si>
    <t>1,2,10</t>
  </si>
  <si>
    <t>1-30</t>
  </si>
  <si>
    <t>{role:-1},
{id:-1},{id:-1},{id:-1},{id:-1},{id:-1}
{id:50001,atk:70},{id:40003},{id:40002},{id:40001},{id:40005}</t>
  </si>
  <si>
    <t>2-1</t>
  </si>
  <si>
    <t>{role:-1},
{id:-1},{id:-1},{id:-1},{id:-1},{id:-1}
{id:40016},{id:40016}</t>
  </si>
  <si>
    <t>突發狀況</t>
  </si>
  <si>
    <t>3,8</t>
  </si>
  <si>
    <t>2-2</t>
  </si>
  <si>
    <t>{role:-1},
{id:-1},{id:-1},{id:-1},{id:-1},{id:-1}
{id:40015},{id:40016}</t>
  </si>
  <si>
    <t>2-3</t>
  </si>
  <si>
    <t>{role:-1},
{id:-1},{id:-1},{id:-1},{id:-1},{id:-1}
{id:40014},{id:40016}</t>
  </si>
  <si>
    <t>11,13</t>
  </si>
  <si>
    <t>2-4</t>
  </si>
  <si>
    <t>{role:-1},
{id:-1},{id:-1},{id:-1},{id:-1},{id:-1}
{id:40015},{id:40016},{id:40013}</t>
  </si>
  <si>
    <t>2,12</t>
  </si>
  <si>
    <t>2,6,7</t>
  </si>
  <si>
    <t>2-5</t>
  </si>
  <si>
    <t>{role:-1},
{id:-1},{id:-1},{id:-1},{id:-1},{id:-1}
{id:40014},{id:40016},{id:40015}</t>
  </si>
  <si>
    <t>1,2,3</t>
  </si>
  <si>
    <t>2-6</t>
  </si>
  <si>
    <t>{role:-1},
{id:-1},{id:-1},{id:-1},{id:-1},{id:-1}
{id:40015},{id:40012},{id:40015}</t>
  </si>
  <si>
    <t>2-7</t>
  </si>
  <si>
    <t>{role:-1},
{id:-1},{id:-1},{id:-1},{id:-1},{id:-1}
{id:40016},{id:40012},{id:40012}</t>
  </si>
  <si>
    <t>2-8</t>
  </si>
  <si>
    <t>{role:-1},
{id:-1},{id:-1},{id:-1},{id:-1},{id:-1}
{id:40015},{id:40015},{id:40014}</t>
  </si>
  <si>
    <t>1,3,7</t>
  </si>
  <si>
    <t>2-9</t>
  </si>
  <si>
    <t>{role:-1},
{id:-1},{id:-1},{id:-1},{id:-1},{id:-1}
{id:40013},{id:40015},{id:40012}</t>
  </si>
  <si>
    <t>1,2,12</t>
  </si>
  <si>
    <t>2-10</t>
  </si>
  <si>
    <t>{role:-1},
{id:-1},{id:-1},{id:-1},{id:-1},{id:-1}
{id:40012},{id:40016},{id:40013},{id:40012}</t>
  </si>
  <si>
    <t>5,7,13</t>
  </si>
  <si>
    <t>5,11,12</t>
  </si>
  <si>
    <t>2-11</t>
  </si>
  <si>
    <t>{role:-1},
{id:-1},{id:-1},{id:-1},{id:-1},{id:-1}
{id:40014},{id:40014},{id:40013},{id:40014}</t>
  </si>
  <si>
    <t>2,5,11</t>
  </si>
  <si>
    <t>6,9,11</t>
  </si>
  <si>
    <t>2-12</t>
  </si>
  <si>
    <t>{role:-1},
{id:-1},{id:-1},{id:-1},{id:-1},{id:-1}
{id:40015},{id:40016},{id:40012},{id:40013}</t>
  </si>
  <si>
    <t>2,6</t>
  </si>
  <si>
    <t>2,3,4</t>
  </si>
  <si>
    <t>2-13</t>
  </si>
  <si>
    <t>{role:-1},
{id:-1},{id:-1},{id:-1},{id:-1},{id:-1}
{id:40013},{id:40015},{id:40013},{id:40013},{id:40014}</t>
  </si>
  <si>
    <t>2-14</t>
  </si>
  <si>
    <t>{role:-1},
{id:-1},{id:-1},{id:-1},{id:-1},{id:-1}
{id:40014},{id:40013},{id:40015},{id:40016},{id:40013}</t>
  </si>
  <si>
    <t>1,7,8</t>
  </si>
  <si>
    <t>2-15</t>
  </si>
  <si>
    <t>{role:-1},
{id:-1},{id:-1},{id:-1},{id:-1},{id:-1}
{id:40012},{id:40015},{id:40013},{id:40016},{id:40014}</t>
  </si>
  <si>
    <t>2-16</t>
  </si>
  <si>
    <t>{role:-1},
{id:-1},{id:-1},{id:-1},{id:-1},{id:-1}
{id:40012},{id:40016},{id:40013},{id:40016},{id:40013}</t>
  </si>
  <si>
    <t>1,4,7</t>
  </si>
  <si>
    <t>2-17</t>
  </si>
  <si>
    <t>{role:-1},
{id:-1},{id:-1},{id:-1},{id:-1},{id:-1}
{id:40015},{id:40012},{id:40015},{id:40014},{id:40012}</t>
  </si>
  <si>
    <t>2-18</t>
  </si>
  <si>
    <t>{role:-1},
{id:-1},{id:-1},{id:-1},{id:-1},{id:-1}
{id:40015},{id:40013},{id:40012},{id:40012},{id:40013}</t>
  </si>
  <si>
    <t>2-19</t>
  </si>
  <si>
    <t>{role:-1},
{id:-1},{id:-1},{id:-1},{id:-1},{id:-1}
{id:40016},{id:40015},{id:40014},{id:40014},{id:40016}</t>
  </si>
  <si>
    <t>2,4,5</t>
  </si>
  <si>
    <t>1,10</t>
  </si>
  <si>
    <t>2-20</t>
  </si>
  <si>
    <t>{role:-1},
{id:-1},{id:-1},{id:-1},{id:-1},{id:-1}
{id:40013},{id:40013},{id:40012},{id:40016},{id:40016}</t>
  </si>
  <si>
    <t>3,11,13</t>
  </si>
  <si>
    <t>2-21</t>
  </si>
  <si>
    <t>{role:-1},
{id:-1},{id:-1},{id:-1},{id:-1},{id:-1}
{id:40012},{id:40012},{id:40013},{id:40015},{id:40013}</t>
  </si>
  <si>
    <t>1,3,12</t>
  </si>
  <si>
    <t>2-22</t>
  </si>
  <si>
    <t>{role:-1},
{id:-1},{id:-1},{id:-1},{id:-1},{id:-1}
{id:40015},{id:40012},{id:40014},{id:40013},{id:40014}</t>
  </si>
  <si>
    <t>2,3,9</t>
  </si>
  <si>
    <t>2-23</t>
  </si>
  <si>
    <t>{role:-1},
{id:-1},{id:-1},{id:-1},{id:-1},{id:-1}
{id:40013},{id:40014},{id:40015},{id:40016},{id:40016}</t>
  </si>
  <si>
    <t>5,11,13</t>
  </si>
  <si>
    <t>2-24</t>
  </si>
  <si>
    <t>{role:-1},
{id:-1},{id:-1},{id:-1},{id:-1},{id:-1}
{id:40015},{id:40014},{id:40016},{id:40012},{id:40014}</t>
  </si>
  <si>
    <t>2-25</t>
  </si>
  <si>
    <t>{role:-1},
{id:-1},{id:-1},{id:-1},{id:-1},{id:-1}
{id:40016},{id:40013},{id:40016},{id:40013},{id:40015}</t>
  </si>
  <si>
    <t>2-26</t>
  </si>
  <si>
    <t>{role:-1},
{id:-1},{id:-1},{id:-1},{id:-1},{id:-1}
{id:40015},{id:40013},{id:40016},{id:40016},{id:40016}</t>
  </si>
  <si>
    <t>4,5,12</t>
  </si>
  <si>
    <t>2-27</t>
  </si>
  <si>
    <t>{role:-1},
{id:-1},{id:-1},{id:-1},{id:-1},{id:-1}
{id:40016},{id:40016},{id:40013},{id:40014},{id:40012}</t>
  </si>
  <si>
    <t>2-28</t>
  </si>
  <si>
    <t>{role:-1},
{id:-1},{id:-1},{id:-1},{id:-1},{id:-1}
{id:40014},{id:40014},{id:40016},{id:40015},{id:40013}</t>
  </si>
  <si>
    <t>2-29</t>
  </si>
  <si>
    <t>{role:-1},
{id:-1},{id:-1},{id:-1},{id:-1},{id:-1}
{id:40013},{id:40016},{id:40016},{id:40014},{id:40016}</t>
  </si>
  <si>
    <t>4,5,8</t>
  </si>
  <si>
    <t>2-30</t>
  </si>
  <si>
    <t>3-1</t>
  </si>
  <si>
    <t>{role:-1},
{id:-1},{id:-1},{id:-1},{id:-1},{id:-1}
{id:40020},{id:40021}</t>
  </si>
  <si>
    <t>魔力波動</t>
  </si>
  <si>
    <t>禁術警報</t>
  </si>
  <si>
    <t>1,7</t>
  </si>
  <si>
    <t>3-2</t>
  </si>
  <si>
    <t>{role:-1},
{id:-1},{id:-1},{id:-1},{id:-1},{id:-1}
{id:40021},{id:40020}</t>
  </si>
  <si>
    <t>1,11,12</t>
  </si>
  <si>
    <t>3-3</t>
  </si>
  <si>
    <t>{role:-1},
{id:-1},{id:-1},{id:-1},{id:-1},{id:-1}
{id:40021},{id:40017}</t>
  </si>
  <si>
    <t>1,9,13</t>
  </si>
  <si>
    <t>3-4</t>
  </si>
  <si>
    <t>{role:-1},
{id:-1},{id:-1},{id:-1},{id:-1},{id:-1}
{id:40020},{id:40017},{id:40019}</t>
  </si>
  <si>
    <t>3-5</t>
  </si>
  <si>
    <t>{role:-1},
{id:-1},{id:-1},{id:-1},{id:-1},{id:-1}
{id:40018},{id:40018},{id:40018}</t>
  </si>
  <si>
    <t>3-6</t>
  </si>
  <si>
    <t>{role:-1},
{id:-1},{id:-1},{id:-1},{id:-1},{id:-1}
{id:40018},{id:40021},{id:40021}</t>
  </si>
  <si>
    <t>3-7</t>
  </si>
  <si>
    <t>{role:-1},
{id:-1},{id:-1},{id:-1},{id:-1},{id:-1}
{id:40021},{id:40018},{id:40017}</t>
  </si>
  <si>
    <t>11,12</t>
  </si>
  <si>
    <t>3-8</t>
  </si>
  <si>
    <t>{role:-1},
{id:-1},{id:-1},{id:-1},{id:-1},{id:-1}
{id:40018},{id:40021},{id:40017}</t>
  </si>
  <si>
    <t>3,4,7</t>
  </si>
  <si>
    <t>3-9</t>
  </si>
  <si>
    <t>{role:-1},
{id:-1},{id:-1},{id:-1},{id:-1},{id:-1}
{id:40020},{id:40021},{id:40021}</t>
  </si>
  <si>
    <t>7,11</t>
  </si>
  <si>
    <t>3-10</t>
  </si>
  <si>
    <t>{role:-1},
{id:-1},{id:-1},{id:-1},{id:-1},{id:-1}
{id:40018},{id:40019},{id:40017},{id:40021}</t>
  </si>
  <si>
    <t>3-11</t>
  </si>
  <si>
    <t>{role:-1},
{id:-1},{id:-1},{id:-1},{id:-1},{id:-1}
{id:40021},{id:40018},{id:40018},{id:40020}</t>
  </si>
  <si>
    <t>2,6,8</t>
  </si>
  <si>
    <t>3-12</t>
  </si>
  <si>
    <t>{role:-1},
{id:-1},{id:-1},{id:-1},{id:-1},{id:-1}
{id:40020},{id:40019},{id:40021},{id:40019}</t>
  </si>
  <si>
    <t>2,5</t>
  </si>
  <si>
    <t>3-13</t>
  </si>
  <si>
    <t>{role:-1},
{id:-1},{id:-1},{id:-1},{id:-1},{id:-1}
{id:40018},{id:40020},{id:40017},{id:40020},{id:40017}</t>
  </si>
  <si>
    <t>3-14</t>
  </si>
  <si>
    <t>{role:-1},
{id:-1},{id:-1},{id:-1},{id:-1},{id:-1}
{id:40019},{id:40018},{id:40018},{id:40018},{id:40019}</t>
  </si>
  <si>
    <t>3-15</t>
  </si>
  <si>
    <t>{role:-1},
{id:-1},{id:-1},{id:-1},{id:-1},{id:-1}
{id:40017},{id:40018},{id:40017},{id:40021},{id:40017}</t>
  </si>
  <si>
    <t>3-16</t>
  </si>
  <si>
    <t>{role:-1},
{id:-1},{id:-1},{id:-1},{id:-1},{id:-1}
{id:40018},{id:40019},{id:40020},{id:40020},{id:40019}</t>
  </si>
  <si>
    <t>1,3,13</t>
  </si>
  <si>
    <t>3-17</t>
  </si>
  <si>
    <t>{role:-1},
{id:-1},{id:-1},{id:-1},{id:-1},{id:-1}
{id:40020},{id:40017},{id:40018},{id:40019},{id:40019}</t>
  </si>
  <si>
    <t>3-18</t>
  </si>
  <si>
    <t>{role:-1},
{id:-1},{id:-1},{id:-1},{id:-1},{id:-1}
{id:40017},{id:40021},{id:40020},{id:40019},{id:40020}</t>
  </si>
  <si>
    <t>5,13</t>
  </si>
  <si>
    <t>3-19</t>
  </si>
  <si>
    <t>{role:-1},
{id:-1},{id:-1},{id:-1},{id:-1},{id:-1}
{id:40020},{id:40019},{id:40017},{id:40021},{id:40020}</t>
  </si>
  <si>
    <t>3-20</t>
  </si>
  <si>
    <t>{role:-1},
{id:-1},{id:-1},{id:-1},{id:-1},{id:-1}
{id:40017},{id:40020},{id:40021},{id:40021},{id:40020}</t>
  </si>
  <si>
    <t>1,8,13</t>
  </si>
  <si>
    <t>3-21</t>
  </si>
  <si>
    <t>{role:-1},
{id:-1},{id:-1},{id:-1},{id:-1},{id:-1}
{id:40020},{id:40018},{id:40021},{id:40020},{id:40021}</t>
  </si>
  <si>
    <t>3-22</t>
  </si>
  <si>
    <t>{role:-1},
{id:-1},{id:-1},{id:-1},{id:-1},{id:-1}
{id:40017},{id:40019},{id:40021},{id:40020},{id:40021}</t>
  </si>
  <si>
    <t>6,13</t>
  </si>
  <si>
    <t>3-23</t>
  </si>
  <si>
    <t>{role:-1},
{id:-1},{id:-1},{id:-1},{id:-1},{id:-1}
{id:40020},{id:40021},{id:40017},{id:40020},{id:40020}</t>
  </si>
  <si>
    <t>4,5,9</t>
  </si>
  <si>
    <t>5,6,11</t>
  </si>
  <si>
    <t>3-24</t>
  </si>
  <si>
    <t>{role:-1},
{id:-1},{id:-1},{id:-1},{id:-1},{id:-1}
{id:40020},{id:40021},{id:40020},{id:40017},{id:40019}</t>
  </si>
  <si>
    <t>5,7,11</t>
  </si>
  <si>
    <t>3-25</t>
  </si>
  <si>
    <t>{role:-1},
{id:-1},{id:-1},{id:-1},{id:-1},{id:-1}
{id:40018},{id:40018},{id:40018},{id:40019},{id:40018}</t>
  </si>
  <si>
    <t>3-26</t>
  </si>
  <si>
    <t>{role:-1},
{id:-1},{id:-1},{id:-1},{id:-1},{id:-1}
{id:40018},{id:40020},{id:40019},{id:40018},{id:40021}</t>
  </si>
  <si>
    <t>3-27</t>
  </si>
  <si>
    <t>{role:-1},
{id:-1},{id:-1},{id:-1},{id:-1},{id:-1}
{id:40018},{id:40021},{id:40018},{id:40018},{id:40018}</t>
  </si>
  <si>
    <t>7,8,11</t>
  </si>
  <si>
    <t>3-28</t>
  </si>
  <si>
    <t>{role:-1},
{id:-1},{id:-1},{id:-1},{id:-1},{id:-1}
{id:40017},{id:40021},{id:40017},{id:40019},{id:40019}</t>
  </si>
  <si>
    <t>3-29</t>
  </si>
  <si>
    <t>{role:-1},
{id:-1},{id:-1},{id:-1},{id:-1},{id:-1}
{id:40017},{id:40021},{id:40020},{id:40019},{id:40019}</t>
  </si>
  <si>
    <t>3-30</t>
  </si>
  <si>
    <t>{role:-1},
{id:-1},{id:-1},{id:-1},{id:-1},{id:-1}
{id:50004},{id:40017},{id:40019},{id:40020},{id:40021}</t>
  </si>
  <si>
    <t>4-1</t>
  </si>
  <si>
    <t>{role:-1},
{id:-1},{id:-1},{id:-1},{id:-1},{id:-1}
{id:40026},{id:40022}</t>
  </si>
  <si>
    <t>黑市風聲</t>
  </si>
  <si>
    <t>治安緊張</t>
  </si>
  <si>
    <t>4-2</t>
  </si>
  <si>
    <t>{role:-1},
{id:-1},{id:-1},{id:-1},{id:-1},{id:-1}
{id:40027},{id:40024}</t>
  </si>
  <si>
    <t>4-3</t>
  </si>
  <si>
    <t>{role:-1},
{id:-1},{id:-1},{id:-1},{id:-1},{id:-1}
{id:40022},{id:40026}</t>
  </si>
  <si>
    <t>1,5,9</t>
  </si>
  <si>
    <t>4-4</t>
  </si>
  <si>
    <t>{role:-1},
{id:-1},{id:-1},{id:-1},{id:-1},{id:-1}
{id:40026},{id:40025},{id:40026}</t>
  </si>
  <si>
    <t>4-5</t>
  </si>
  <si>
    <t>{role:-1},
{id:-1},{id:-1},{id:-1},{id:-1},{id:-1}
{id:40026},{id:40024},{id:40024}</t>
  </si>
  <si>
    <t>4-6</t>
  </si>
  <si>
    <t>{role:-1},
{id:-1},{id:-1},{id:-1},{id:-1},{id:-1}
{id:40027},{id:40025},{id:40027}</t>
  </si>
  <si>
    <t>4-7</t>
  </si>
  <si>
    <t>{role:-1},
{id:-1},{id:-1},{id:-1},{id:-1},{id:-1}
{id:40026},{id:40024},{id:40026}</t>
  </si>
  <si>
    <t>4-8</t>
  </si>
  <si>
    <t>{role:-1},
{id:-1},{id:-1},{id:-1},{id:-1},{id:-1}
{id:40024},{id:40024},{id:40026}</t>
  </si>
  <si>
    <t>4-9</t>
  </si>
  <si>
    <t>{role:-1},
{id:-1},{id:-1},{id:-1},{id:-1},{id:-1}
{id:40022},{id:40026},{id:40027}</t>
  </si>
  <si>
    <t>4-10</t>
  </si>
  <si>
    <t>{role:-1},
{id:-1},{id:-1},{id:-1},{id:-1},{id:-1}
{id:40022},{id:40025},{id:40027},{id:40024}</t>
  </si>
  <si>
    <t>1,4,6</t>
  </si>
  <si>
    <t>8,9,11</t>
  </si>
  <si>
    <t>4-11</t>
  </si>
  <si>
    <t>{role:-1},
{id:-1},{id:-1},{id:-1},{id:-1},{id:-1}
{id:40022},{id:40026},{id:40024},{id:40025}</t>
  </si>
  <si>
    <t>1,12,13</t>
  </si>
  <si>
    <t>4-12</t>
  </si>
  <si>
    <t>{role:-1},
{id:-1},{id:-1},{id:-1},{id:-1},{id:-1}
{id:40027},{id:40022},{id:40025},{id:40027}</t>
  </si>
  <si>
    <t>4,7,13</t>
  </si>
  <si>
    <t>4-13</t>
  </si>
  <si>
    <t>{role:-1},
{id:-1},{id:-1},{id:-1},{id:-1},{id:-1}
{id:40027},{id:40024},{id:40025},{id:40027},{id:40024}</t>
  </si>
  <si>
    <t>4-14</t>
  </si>
  <si>
    <t>{role:-1},
{id:-1},{id:-1},{id:-1},{id:-1},{id:-1}
{id:40024},{id:40022},{id:40027},{id:40027},{id:40025}</t>
  </si>
  <si>
    <t>2,8,9</t>
  </si>
  <si>
    <t>4-15</t>
  </si>
  <si>
    <t>{role:-1},
{id:-1},{id:-1},{id:-1},{id:-1},{id:-1}
{id:40024},{id:40027},{id:40026},{id:40022},{id:40027}</t>
  </si>
  <si>
    <t>4-16</t>
  </si>
  <si>
    <t>{role:-1},
{id:-1},{id:-1},{id:-1},{id:-1},{id:-1}
{id:40024},{id:40026},{id:40026},{id:40026},{id:40022}</t>
  </si>
  <si>
    <t>4-17</t>
  </si>
  <si>
    <t>{role:-1},
{id:-1},{id:-1},{id:-1},{id:-1},{id:-1}
{id:40022},{id:40026},{id:40025},{id:40022},{id:40024}</t>
  </si>
  <si>
    <t>3,8,12</t>
  </si>
  <si>
    <t>4-18</t>
  </si>
  <si>
    <t>{role:-1},
{id:-1},{id:-1},{id:-1},{id:-1},{id:-1}
{id:40024},{id:40025},{id:40024},{id:40025},{id:40025}</t>
  </si>
  <si>
    <t>4,8,12</t>
  </si>
  <si>
    <t>4-19</t>
  </si>
  <si>
    <t>{role:-1},
{id:-1},{id:-1},{id:-1},{id:-1},{id:-1}
{id:40027},{id:40024},{id:40025},{id:40026},{id:40027}</t>
  </si>
  <si>
    <t>4-20</t>
  </si>
  <si>
    <t>{role:-1},
{id:-1},{id:-1},{id:-1},{id:-1},{id:-1}
{id:40027},{id:40022},{id:40026},{id:40025},{id:40027}</t>
  </si>
  <si>
    <t>2,11,12</t>
  </si>
  <si>
    <t>7,8,9</t>
  </si>
  <si>
    <t>4-21</t>
  </si>
  <si>
    <t>{role:-1},
{id:-1},{id:-1},{id:-1},{id:-1},{id:-1}
{id:40025},{id:40026},{id:40024},{id:40027},{id:40026}</t>
  </si>
  <si>
    <t>4-22</t>
  </si>
  <si>
    <t>{role:-1},
{id:-1},{id:-1},{id:-1},{id:-1},{id:-1}
{id:40026},{id:40027},{id:40025},{id:40024},{id:40022}</t>
  </si>
  <si>
    <t>3,6,11</t>
  </si>
  <si>
    <t>4-23</t>
  </si>
  <si>
    <t>{role:-1},
{id:-1},{id:-1},{id:-1},{id:-1},{id:-1}
{id:40026},{id:40027},{id:40022},{id:40026},{id:40027}</t>
  </si>
  <si>
    <t>1,2,8</t>
  </si>
  <si>
    <t>4-24</t>
  </si>
  <si>
    <t>{role:-1},
{id:-1},{id:-1},{id:-1},{id:-1},{id:-1}
{id:40026},{id:40026},{id:40024},{id:40027},{id:40024}</t>
  </si>
  <si>
    <t>4-25</t>
  </si>
  <si>
    <t>{role:-1},
{id:-1},{id:-1},{id:-1},{id:-1},{id:-1}
{id:40022},{id:40026},{id:40022},{id:40027},{id:40027}</t>
  </si>
  <si>
    <t>1,2,4</t>
  </si>
  <si>
    <t>4-26</t>
  </si>
  <si>
    <t>{role:-1},
{id:-1},{id:-1},{id:-1},{id:-1},{id:-1}
{id:40025},{id:40024},{id:40026},{id:40025},{id:40022}</t>
  </si>
  <si>
    <t>4-27</t>
  </si>
  <si>
    <t>{role:-1},
{id:-1},{id:-1},{id:-1},{id:-1},{id:-1}
{id:40027},{id:40027},{id:40022},{id:40026},{id:40022}</t>
  </si>
  <si>
    <t>4-28</t>
  </si>
  <si>
    <t>{role:-1},
{id:-1},{id:-1},{id:-1},{id:-1},{id:-1}
{id:40024},{id:40026},{id:40026},{id:40024},{id:40024}</t>
  </si>
  <si>
    <t>4,8</t>
  </si>
  <si>
    <t>4-29</t>
  </si>
  <si>
    <t>{role:-1},
{id:-1},{id:-1},{id:-1},{id:-1},{id:-1}
{id:40026},{id:40027},{id:40026},{id:40024},{id:40027}</t>
  </si>
  <si>
    <t>6,11,12</t>
  </si>
  <si>
    <t>4-30</t>
  </si>
  <si>
    <t>{role:-1},
{id:-1},{id:-1},{id:-1},{id:-1},{id:-1}
{id:50005},{id:40022},{id:40025},{id:40024},{id:40027}</t>
  </si>
  <si>
    <t>1,4</t>
  </si>
  <si>
    <t>5-1</t>
  </si>
  <si>
    <t>{role:-1},
{id:-1},{id:-1},{id:-1},{id:-1},{id:-1}
{id:40031},{id:40031}</t>
  </si>
  <si>
    <t>森林呼吸</t>
  </si>
  <si>
    <t>5,6,9</t>
  </si>
  <si>
    <t>藤蔓纏繞</t>
  </si>
  <si>
    <t>2,3,8</t>
  </si>
  <si>
    <t>5-2</t>
  </si>
  <si>
    <t>{role:-1},
{id:-1},{id:-1},{id:-1},{id:-1},{id:-1}
{id:40029},{id:40028}</t>
  </si>
  <si>
    <t>5-3</t>
  </si>
  <si>
    <t>{role:-1},
{id:-1},{id:-1},{id:-1},{id:-1},{id:-1}
{id:40028},{id:40031}</t>
  </si>
  <si>
    <t>6,7,9</t>
  </si>
  <si>
    <t>5-4</t>
  </si>
  <si>
    <t>{role:-1},
{id:-1},{id:-1},{id:-1},{id:-1},{id:-1}
{id:40030},{id:40030},{id:40031}</t>
  </si>
  <si>
    <t>5-5</t>
  </si>
  <si>
    <t>{role:-1},
{id:-1},{id:-1},{id:-1},{id:-1},{id:-1}
{id:40028},{id:40030},{id:40033}</t>
  </si>
  <si>
    <t>6,10,13</t>
  </si>
  <si>
    <t>5-6</t>
  </si>
  <si>
    <t>{role:-1},
{id:-1},{id:-1},{id:-1},{id:-1},{id:-1}
{id:40029},{id:40028},{id:40033}</t>
  </si>
  <si>
    <t>5-7</t>
  </si>
  <si>
    <t>{role:-1},
{id:-1},{id:-1},{id:-1},{id:-1},{id:-1}
{id:40031},{id:40031},{id:40029}</t>
  </si>
  <si>
    <t>5-8</t>
  </si>
  <si>
    <t>{role:-1},
{id:-1},{id:-1},{id:-1},{id:-1},{id:-1}
{id:40033},{id:40028},{id:40031}</t>
  </si>
  <si>
    <t>5-9</t>
  </si>
  <si>
    <t>{role:-1},
{id:-1},{id:-1},{id:-1},{id:-1},{id:-1}
{id:40029},{id:40031},{id:40033}</t>
  </si>
  <si>
    <t>4,7,10</t>
  </si>
  <si>
    <t>1,6,11</t>
  </si>
  <si>
    <t>5-10</t>
  </si>
  <si>
    <t>{role:-1},
{id:-1},{id:-1},{id:-1},{id:-1},{id:-1}
{id:40031},{id:40030},{id:40028},{id:40033}</t>
  </si>
  <si>
    <t>11,12,13</t>
  </si>
  <si>
    <t>5-11</t>
  </si>
  <si>
    <t>{role:-1},
{id:-1},{id:-1},{id:-1},{id:-1},{id:-1}
{id:40031},{id:40028},{id:40029},{id:40031}</t>
  </si>
  <si>
    <t>6,11,13</t>
  </si>
  <si>
    <t>5-12</t>
  </si>
  <si>
    <t>{role:-1},
{id:-1},{id:-1},{id:-1},{id:-1},{id:-1}
{id:40033},{id:40033},{id:40029},{id:40028}</t>
  </si>
  <si>
    <t>5-13</t>
  </si>
  <si>
    <t>{role:-1},
{id:-1},{id:-1},{id:-1},{id:-1},{id:-1}
{id:40029},{id:40028},{id:40029},{id:40030},{id:40031}</t>
  </si>
  <si>
    <t>5-14</t>
  </si>
  <si>
    <t>{role:-1},
{id:-1},{id:-1},{id:-1},{id:-1},{id:-1}
{id:40029},{id:40029},{id:40031},{id:40030},{id:40028}</t>
  </si>
  <si>
    <t>5-15</t>
  </si>
  <si>
    <t>{role:-1},
{id:-1},{id:-1},{id:-1},{id:-1},{id:-1}
{id:40033},{id:40030},{id:40033},{id:40030},{id:40028}</t>
  </si>
  <si>
    <t>2,8,13</t>
  </si>
  <si>
    <t>5-16</t>
  </si>
  <si>
    <t>{role:-1},
{id:-1},{id:-1},{id:-1},{id:-1},{id:-1}
{id:40033},{id:40029},{id:40030},{id:40033},{id:40030}</t>
  </si>
  <si>
    <t>5-17</t>
  </si>
  <si>
    <t>{role:-1},
{id:-1},{id:-1},{id:-1},{id:-1},{id:-1}
{id:40031},{id:40030},{id:40029},{id:40028},{id:40031}</t>
  </si>
  <si>
    <t>3,11</t>
  </si>
  <si>
    <t>2,8,12</t>
  </si>
  <si>
    <t>5-18</t>
  </si>
  <si>
    <t>{role:-1},
{id:-1},{id:-1},{id:-1},{id:-1},{id:-1}
{id:40031},{id:40031},{id:40033},{id:40033},{id:40029}</t>
  </si>
  <si>
    <t>3,10,13</t>
  </si>
  <si>
    <t>5-19</t>
  </si>
  <si>
    <t>{role:-1},
{id:-1},{id:-1},{id:-1},{id:-1},{id:-1}
{id:40031},{id:40031},{id:40030},{id:40029},{id:40028}</t>
  </si>
  <si>
    <t>5-20</t>
  </si>
  <si>
    <t>{role:-1},
{id:-1},{id:-1},{id:-1},{id:-1},{id:-1}
{id:40033},{id:40029},{id:40033},{id:40028},{id:40028}</t>
  </si>
  <si>
    <t>5-21</t>
  </si>
  <si>
    <t>{role:-1},
{id:-1},{id:-1},{id:-1},{id:-1},{id:-1}
{id:40028},{id:40028},{id:40028},{id:40029},{id:40029}</t>
  </si>
  <si>
    <t>1,3,6</t>
  </si>
  <si>
    <t>5-22</t>
  </si>
  <si>
    <t>{role:-1},
{id:-1},{id:-1},{id:-1},{id:-1},{id:-1}
{id:40033},{id:40029},{id:40028},{id:40028},{id:40033}</t>
  </si>
  <si>
    <t>5-23</t>
  </si>
  <si>
    <t>{role:-1},
{id:-1},{id:-1},{id:-1},{id:-1},{id:-1}
{id:40030},{id:40030},{id:40028},{id:40030},{id:40028}</t>
  </si>
  <si>
    <t>5-24</t>
  </si>
  <si>
    <t>{role:-1},
{id:-1},{id:-1},{id:-1},{id:-1},{id:-1}
{id:40033},{id:40029},{id:40028},{id:40031},{id:40033}</t>
  </si>
  <si>
    <t>5,10,12</t>
  </si>
  <si>
    <t>6,7,10</t>
  </si>
  <si>
    <t>5-25</t>
  </si>
  <si>
    <t>{role:-1},
{id:-1},{id:-1},{id:-1},{id:-1},{id:-1}
{id:40031},{id:40031},{id:40030},{id:40028},{id:40028}</t>
  </si>
  <si>
    <t>2,7</t>
  </si>
  <si>
    <t>4,13</t>
  </si>
  <si>
    <t>5-26</t>
  </si>
  <si>
    <t>{role:-1},
{id:-1},{id:-1},{id:-1},{id:-1},{id:-1}
{id:40028},{id:40031},{id:40031},{id:40031},{id:40029}</t>
  </si>
  <si>
    <t>5-27</t>
  </si>
  <si>
    <t>{role:-1},
{id:-1},{id:-1},{id:-1},{id:-1},{id:-1}
{id:40028},{id:40029},{id:40029},{id:40028},{id:40029}</t>
  </si>
  <si>
    <t>5,12</t>
  </si>
  <si>
    <t>2,3,10</t>
  </si>
  <si>
    <t>5-28</t>
  </si>
  <si>
    <t>{role:-1},
{id:-1},{id:-1},{id:-1},{id:-1},{id:-1}
{id:40029},{id:40031},{id:40031},{id:40029},{id:40031}</t>
  </si>
  <si>
    <t>5-29</t>
  </si>
  <si>
    <t>{role:-1},
{id:-1},{id:-1},{id:-1},{id:-1},{id:-1}
{id:40031},{id:40033},{id:40033},{id:40029},{id:40030}</t>
  </si>
  <si>
    <t>5-30</t>
  </si>
  <si>
    <t>{role:-1},
{id:-1},{id:-1},{id:-1},{id:-1},{id:-1}
{id:50006},{id:40033},{id:40030},{id:40031},{id:40029}</t>
  </si>
  <si>
    <t>7,8,13</t>
  </si>
  <si>
    <t>6-1</t>
  </si>
  <si>
    <t>{role:-1},
{id:-1},{id:-1},{id:-1},{id:-1},{id:-1}
{id:40037},{id:40034}</t>
  </si>
  <si>
    <t>賢者庇護</t>
  </si>
  <si>
    <t>知識共鳴</t>
  </si>
  <si>
    <t>6-2</t>
  </si>
  <si>
    <t>{role:-1},
{id:-1},{id:-1},{id:-1},{id:-1},{id:-1}
{id:40037},{id:40036}</t>
  </si>
  <si>
    <t>6-3</t>
  </si>
  <si>
    <t>{role:-1},
{id:-1},{id:-1},{id:-1},{id:-1},{id:-1}
{id:40034},{id:40034}</t>
  </si>
  <si>
    <t>6-4</t>
  </si>
  <si>
    <t>{role:-1},
{id:-1},{id:-1},{id:-1},{id:-1},{id:-1}
{id:40038},{id:40034}</t>
  </si>
  <si>
    <t>3,8,11</t>
  </si>
  <si>
    <t>6-5</t>
  </si>
  <si>
    <t>{role:-1},
{id:-1},{id:-1},{id:-1},{id:-1},{id:-1}
{id:40036},{id:40039},{id:40034}</t>
  </si>
  <si>
    <t>6-6</t>
  </si>
  <si>
    <t>{role:-1},
{id:-1},{id:-1},{id:-1},{id:-1},{id:-1}
{id:40034},{id:40039},{id:40034}</t>
  </si>
  <si>
    <t>6-7</t>
  </si>
  <si>
    <t>{role:-1},
{id:-1},{id:-1},{id:-1},{id:-1},{id:-1}
{id:40034},{id:40038},{id:40038}</t>
  </si>
  <si>
    <t>6-8</t>
  </si>
  <si>
    <t>{role:-1},
{id:-1},{id:-1},{id:-1},{id:-1},{id:-1}
{id:40038},{id:40036},{id:40034}</t>
  </si>
  <si>
    <t>4,10,12</t>
  </si>
  <si>
    <t>6-9</t>
  </si>
  <si>
    <t>{role:-1},
{id:-1},{id:-1},{id:-1},{id:-1},{id:-1}
{id:40037},{id:40038},{id:40034}</t>
  </si>
  <si>
    <t>8,10,11</t>
  </si>
  <si>
    <t>6-10</t>
  </si>
  <si>
    <t>{role:-1},
{id:-1},{id:-1},{id:-1},{id:-1},{id:-1}
{id:40034},{id:40036},{id:40038}</t>
  </si>
  <si>
    <t>7,9,13</t>
  </si>
  <si>
    <t>6-11</t>
  </si>
  <si>
    <t>{role:-1},
{id:-1},{id:-1},{id:-1},{id:-1},{id:-1}
{id:40039},{id:40037},{id:40037}</t>
  </si>
  <si>
    <t>6-12</t>
  </si>
  <si>
    <t>{role:-1},
{id:-1},{id:-1},{id:-1},{id:-1},{id:-1}
{id:40037},{id:40037},{id:40038}</t>
  </si>
  <si>
    <t>6-13</t>
  </si>
  <si>
    <t>{role:-1},
{id:-1},{id:-1},{id:-1},{id:-1},{id:-1}
{id:40037},{id:40036},{id:40034},{id:40038}</t>
  </si>
  <si>
    <t>6-14</t>
  </si>
  <si>
    <t>{role:-1},
{id:-1},{id:-1},{id:-1},{id:-1},{id:-1}
{id:40038},{id:40034},{id:40034},{id:40036}</t>
  </si>
  <si>
    <t>6-15</t>
  </si>
  <si>
    <t>{role:-1},
{id:-1},{id:-1},{id:-1},{id:-1},{id:-1}
{id:40034},{id:40037},{id:40037},{id:40037}</t>
  </si>
  <si>
    <t>4,5,6</t>
  </si>
  <si>
    <t>6-16</t>
  </si>
  <si>
    <t>{role:-1},
{id:-1},{id:-1},{id:-1},{id:-1},{id:-1}
{id:40038},{id:40039},{id:40039},{id:40039}</t>
  </si>
  <si>
    <t>6-17</t>
  </si>
  <si>
    <t>{role:-1},
{id:-1},{id:-1},{id:-1},{id:-1},{id:-1}
{id:40039},{id:40034},{id:40038},{id:40034},{id:40038}</t>
  </si>
  <si>
    <t>6-18</t>
  </si>
  <si>
    <t>{role:-1},
{id:-1},{id:-1},{id:-1},{id:-1},{id:-1}
{id:40038},{id:40038},{id:40037},{id:40038},{id:40036}</t>
  </si>
  <si>
    <t>6-19</t>
  </si>
  <si>
    <t>{role:-1},
{id:-1},{id:-1},{id:-1},{id:-1},{id:-1}
{id:40038},{id:40036},{id:40036},{id:40037},{id:40034}</t>
  </si>
  <si>
    <t>6-20</t>
  </si>
  <si>
    <t>{role:-1},
{id:-1},{id:-1},{id:-1},{id:-1},{id:-1}
{id:40036},{id:40038},{id:40038},{id:40034},{id:40036}</t>
  </si>
  <si>
    <t>4,7,12</t>
  </si>
  <si>
    <t>6-21</t>
  </si>
  <si>
    <t>{role:-1},
{id:-1},{id:-1},{id:-1},{id:-1},{id:-1}
{id:40038},{id:40037},{id:40039},{id:40034},{id:40039}</t>
  </si>
  <si>
    <t>5,9</t>
  </si>
  <si>
    <t>2,4,13</t>
  </si>
  <si>
    <t>6-22</t>
  </si>
  <si>
    <t>{role:-1},
{id:-1},{id:-1},{id:-1},{id:-1},{id:-1}
{id:40034},{id:40034},{id:40036},{id:40038},{id:40039}</t>
  </si>
  <si>
    <t>6-23</t>
  </si>
  <si>
    <t>{role:-1},
{id:-1},{id:-1},{id:-1},{id:-1},{id:-1}
{id:40037},{id:40039},{id:40034},{id:40039},{id:40039}</t>
  </si>
  <si>
    <t>3,9,13</t>
  </si>
  <si>
    <t>6,12,13</t>
  </si>
  <si>
    <t>6-24</t>
  </si>
  <si>
    <t>{role:-1},
{id:-1},{id:-1},{id:-1},{id:-1},{id:-1}
{id:40034},{id:40039},{id:40039},{id:40037},{id:40038}</t>
  </si>
  <si>
    <t>6-25</t>
  </si>
  <si>
    <t>{role:-1},
{id:-1},{id:-1},{id:-1},{id:-1},{id:-1}
{id:40038},{id:40036},{id:40034},{id:40038},{id:40036}</t>
  </si>
  <si>
    <t>6-26</t>
  </si>
  <si>
    <t>{role:-1},
{id:-1},{id:-1},{id:-1},{id:-1},{id:-1}
{id:40039},{id:40037},{id:40036},{id:40036},{id:40037}</t>
  </si>
  <si>
    <t>4,8,11</t>
  </si>
  <si>
    <t>6-27</t>
  </si>
  <si>
    <t>{role:-1},
{id:-1},{id:-1},{id:-1},{id:-1},{id:-1}
{id:40034},{id:40034},{id:40039},{id:40036},{id:40037}</t>
  </si>
  <si>
    <t>8,11,12</t>
  </si>
  <si>
    <t>6-28</t>
  </si>
  <si>
    <t>{role:-1},
{id:-1},{id:-1},{id:-1},{id:-1},{id:-1}
{id:40037},{id:40036},{id:40038},{id:40036},{id:40039}</t>
  </si>
  <si>
    <t>2,9,10</t>
  </si>
  <si>
    <t>6-29</t>
  </si>
  <si>
    <t>{role:-1},
{id:-1},{id:-1},{id:-1},{id:-1},{id:-1}
{id:40037},{id:40039},{id:40038},{id:40038},{id:40038}</t>
  </si>
  <si>
    <t>2,3</t>
  </si>
  <si>
    <t>6-30</t>
  </si>
  <si>
    <t>{role:-1},
{id:-1},{id:-1},{id:-1},{id:-1},{id:-1}
{id:40039},{id:40038},{id:40036},{id:40037},{id:40038}</t>
  </si>
  <si>
    <t>6-31</t>
  </si>
  <si>
    <t>{role:-1},
{id:-1},{id:-1},{id:-1},{id:-1},{id:-1}
{id:40039},{id:40034},{id:40036},{id:40039},{id:40037}</t>
  </si>
  <si>
    <t>7,10,13</t>
  </si>
  <si>
    <t>6-32</t>
  </si>
  <si>
    <t>{role:-1},
{id:-1},{id:-1},{id:-1},{id:-1},{id:-1}
{id:40038},{id:40034},{id:40034},{id:40037},{id:40039}</t>
  </si>
  <si>
    <t>6-33</t>
  </si>
  <si>
    <t>{role:-1},
{id:-1},{id:-1},{id:-1},{id:-1},{id:-1}
{id:40036},{id:40038},{id:40038},{id:40038},{id:40038}</t>
  </si>
  <si>
    <t>3,5,6</t>
  </si>
  <si>
    <t>6-34</t>
  </si>
  <si>
    <t>{role:-1},
{id:-1},{id:-1},{id:-1},{id:-1},{id:-1}
{id:40038},{id:40039},{id:40038},{id:40038},{id:40037}</t>
  </si>
  <si>
    <t>3,7,9</t>
  </si>
  <si>
    <t>6-35</t>
  </si>
  <si>
    <t>{role:-1},
{id:-1},{id:-1},{id:-1},{id:-1},{id:-1}
{id:40039},{id:40039},{id:40038},{id:40038},{id:40037}</t>
  </si>
  <si>
    <t>6-36</t>
  </si>
  <si>
    <t>{role:-1},
{id:-1},{id:-1},{id:-1},{id:-1},{id:-1}
{id:40036},{id:40038},{id:40037},{id:40034},{id:40038}</t>
  </si>
  <si>
    <t>6-37</t>
  </si>
  <si>
    <t>{role:-1},
{id:-1},{id:-1},{id:-1},{id:-1},{id:-1}
{id:40037},{id:40037},{id:40038},{id:40036},{id:40034}</t>
  </si>
  <si>
    <t>6-38</t>
  </si>
  <si>
    <t>{role:-1},
{id:-1},{id:-1},{id:-1},{id:-1},{id:-1}
{id:40038},{id:40036},{id:40036},{id:40039},{id:40036}</t>
  </si>
  <si>
    <t>6-39</t>
  </si>
  <si>
    <t>{role:-1},
{id:-1},{id:-1},{id:-1},{id:-1},{id:-1}
{id:40036},{id:40034},{id:40039},{id:40037},{id:40038}</t>
  </si>
  <si>
    <t>6,7,8</t>
  </si>
  <si>
    <t>6-40</t>
  </si>
  <si>
    <t>{role:-1},
{id:-1},{id:-1},{id:-1},{id:-1},{id:-1}
{id:50007},{id:40039},{id:40034},{id:40037},{id:40036}</t>
  </si>
  <si>
    <t>6,10,12</t>
  </si>
  <si>
    <t>7-1</t>
  </si>
  <si>
    <t>{role:-1},
{id:-1},{id:-1},{id:-1},{id:-1},{id:-1}
{id:40040},{id:40044}</t>
  </si>
  <si>
    <t>法陣震盪</t>
  </si>
  <si>
    <t>虛空侵蝕</t>
  </si>
  <si>
    <t>1,4,11</t>
  </si>
  <si>
    <t>7-2</t>
  </si>
  <si>
    <t>{role:-1},
{id:-1},{id:-1},{id:-1},{id:-1},{id:-1}
{id:40073},{id:40044}</t>
  </si>
  <si>
    <t>2,11,13</t>
  </si>
  <si>
    <t>7-3</t>
  </si>
  <si>
    <t>{role:-1},
{id:-1},{id:-1},{id:-1},{id:-1},{id:-1}
{id:40073},{id:40043}</t>
  </si>
  <si>
    <t>7-4</t>
  </si>
  <si>
    <t>{role:-1},
{id:-1},{id:-1},{id:-1},{id:-1},{id:-1}
{id:40040},{id:40040}</t>
  </si>
  <si>
    <t>7-5</t>
  </si>
  <si>
    <t>{role:-1},
{id:-1},{id:-1},{id:-1},{id:-1},{id:-1}
{id:40043},{id:40041},{id:40041}</t>
  </si>
  <si>
    <t>8,10</t>
  </si>
  <si>
    <t>7-6</t>
  </si>
  <si>
    <t>{role:-1},
{id:-1},{id:-1},{id:-1},{id:-1},{id:-1}
{id:40041},{id:40040},{id:40073}</t>
  </si>
  <si>
    <t>3,5,11</t>
  </si>
  <si>
    <t>7-7</t>
  </si>
  <si>
    <t>{role:-1},
{id:-1},{id:-1},{id:-1},{id:-1},{id:-1}
{id:40041},{id:40044},{id:40073}</t>
  </si>
  <si>
    <t>1,4,5</t>
  </si>
  <si>
    <t>7-8</t>
  </si>
  <si>
    <t>{role:-1},
{id:-1},{id:-1},{id:-1},{id:-1},{id:-1}
{id:40073},{id:40040},{id:40044}</t>
  </si>
  <si>
    <t>7-9</t>
  </si>
  <si>
    <t>{role:-1},
{id:-1},{id:-1},{id:-1},{id:-1},{id:-1}
{id:40044},{id:40041},{id:40040}</t>
  </si>
  <si>
    <t>7-10</t>
  </si>
  <si>
    <t>{role:-1},
{id:-1},{id:-1},{id:-1},{id:-1},{id:-1}
{id:40041},{id:40073},{id:40040}</t>
  </si>
  <si>
    <t>7-11</t>
  </si>
  <si>
    <t>{role:-1},
{id:-1},{id:-1},{id:-1},{id:-1},{id:-1}
{id:40041},{id:40044},{id:40041}</t>
  </si>
  <si>
    <t>1,2,11</t>
  </si>
  <si>
    <t>7-12</t>
  </si>
  <si>
    <t>{role:-1},
{id:-1},{id:-1},{id:-1},{id:-1},{id:-1}
{id:40044},{id:40043},{id:40044}</t>
  </si>
  <si>
    <t>7-13</t>
  </si>
  <si>
    <t>{role:-1},
{id:-1},{id:-1},{id:-1},{id:-1},{id:-1}
{id:40041},{id:40040},{id:40073},{id:40044}</t>
  </si>
  <si>
    <t>2,4,10</t>
  </si>
  <si>
    <t>7-14</t>
  </si>
  <si>
    <t>{role:-1},
{id:-1},{id:-1},{id:-1},{id:-1},{id:-1}
{id:40041},{id:40044},{id:40040},{id:40073}</t>
  </si>
  <si>
    <t>7-15</t>
  </si>
  <si>
    <t>{role:-1},
{id:-1},{id:-1},{id:-1},{id:-1},{id:-1}
{id:40041},{id:40040},{id:40073},{id:40040}</t>
  </si>
  <si>
    <t>7-16</t>
  </si>
  <si>
    <t>{role:-1},
{id:-1},{id:-1},{id:-1},{id:-1},{id:-1}
{id:40073},{id:40040},{id:40073},{id:40073}</t>
  </si>
  <si>
    <t>7-17</t>
  </si>
  <si>
    <t>{role:-1},
{id:-1},{id:-1},{id:-1},{id:-1},{id:-1}
{id:40040},{id:40040},{id:40041},{id:40043},{id:40044}</t>
  </si>
  <si>
    <t>7-18</t>
  </si>
  <si>
    <t>{role:-1},
{id:-1},{id:-1},{id:-1},{id:-1},{id:-1}
{id:40073},{id:40040},{id:40044},{id:40043},{id:40043}</t>
  </si>
  <si>
    <t>1,7,10</t>
  </si>
  <si>
    <t>7-19</t>
  </si>
  <si>
    <t>{role:-1},
{id:-1},{id:-1},{id:-1},{id:-1},{id:-1}
{id:40073},{id:40040},{id:40041},{id:40043},{id:40044}</t>
  </si>
  <si>
    <t>7-20</t>
  </si>
  <si>
    <t>{role:-1},
{id:-1},{id:-1},{id:-1},{id:-1},{id:-1}
{id:40044},{id:40073},{id:40043},{id:40043},{id:40044}</t>
  </si>
  <si>
    <t>7-21</t>
  </si>
  <si>
    <t>{role:-1},
{id:-1},{id:-1},{id:-1},{id:-1},{id:-1}
{id:40040},{id:40073},{id:40041},{id:40044},{id:40073}</t>
  </si>
  <si>
    <t>1,7,11</t>
  </si>
  <si>
    <t>7-22</t>
  </si>
  <si>
    <t>{role:-1},
{id:-1},{id:-1},{id:-1},{id:-1},{id:-1}
{id:40040},{id:40043},{id:40041},{id:40043},{id:40044}</t>
  </si>
  <si>
    <t>7-23</t>
  </si>
  <si>
    <t>{role:-1},
{id:-1},{id:-1},{id:-1},{id:-1},{id:-1}
{id:40043},{id:40040},{id:40041},{id:40073},{id:40073}</t>
  </si>
  <si>
    <t>1,3,10</t>
  </si>
  <si>
    <t>7-24</t>
  </si>
  <si>
    <t>{role:-1},
{id:-1},{id:-1},{id:-1},{id:-1},{id:-1}
{id:40073},{id:40041},{id:40043},{id:40073},{id:40040}</t>
  </si>
  <si>
    <t>7-25</t>
  </si>
  <si>
    <t>{role:-1},
{id:-1},{id:-1},{id:-1},{id:-1},{id:-1}
{id:40044},{id:40073},{id:40043},{id:40041},{id:40044}</t>
  </si>
  <si>
    <t>7-26</t>
  </si>
  <si>
    <t>{role:-1},
{id:-1},{id:-1},{id:-1},{id:-1},{id:-1}
{id:40041},{id:40043},{id:40073},{id:40043},{id:40043}</t>
  </si>
  <si>
    <t>7-27</t>
  </si>
  <si>
    <t>{role:-1},
{id:-1},{id:-1},{id:-1},{id:-1},{id:-1}
{id:40044},{id:40041},{id:40041},{id:40043},{id:40044}</t>
  </si>
  <si>
    <t>7-28</t>
  </si>
  <si>
    <t>{role:-1},
{id:-1},{id:-1},{id:-1},{id:-1},{id:-1}
{id:40041},{id:40041},{id:40044},{id:40041},{id:40041}</t>
  </si>
  <si>
    <t>4,8,13</t>
  </si>
  <si>
    <t>7-29</t>
  </si>
  <si>
    <t>{role:-1},
{id:-1},{id:-1},{id:-1},{id:-1},{id:-1}
{id:40040},{id:40040},{id:40043},{id:40044},{id:40044}</t>
  </si>
  <si>
    <t>7-30</t>
  </si>
  <si>
    <t>{role:-1},
{id:-1},{id:-1},{id:-1},{id:-1},{id:-1}
{id:40040},{id:40043},{id:40043},{id:40073},{id:40043}</t>
  </si>
  <si>
    <t>4,11,13</t>
  </si>
  <si>
    <t>7-31</t>
  </si>
  <si>
    <t>{role:-1},
{id:-1},{id:-1},{id:-1},{id:-1},{id:-1}
{id:40041},{id:40073},{id:40040},{id:40073},{id:40073}</t>
  </si>
  <si>
    <t>7-32</t>
  </si>
  <si>
    <t>{role:-1},
{id:-1},{id:-1},{id:-1},{id:-1},{id:-1}
{id:40073},{id:40044},{id:40040},{id:40041},{id:40041}</t>
  </si>
  <si>
    <t>2,12,13</t>
  </si>
  <si>
    <t>7-33</t>
  </si>
  <si>
    <t>{role:-1},
{id:-1},{id:-1},{id:-1},{id:-1},{id:-1}
{id:40044},{id:40044},{id:40073},{id:40073},{id:40044}</t>
  </si>
  <si>
    <t>2,10,13</t>
  </si>
  <si>
    <t>7-34</t>
  </si>
  <si>
    <t>{role:-1},
{id:-1},{id:-1},{id:-1},{id:-1},{id:-1}
{id:40073},{id:40044},{id:40044},{id:40043},{id:40044}</t>
  </si>
  <si>
    <t>7-35</t>
  </si>
  <si>
    <t>{role:-1},
{id:-1},{id:-1},{id:-1},{id:-1},{id:-1}
{id:40040},{id:40041},{id:40040},{id:40044},{id:40040}</t>
  </si>
  <si>
    <t>7-36</t>
  </si>
  <si>
    <t>{role:-1},
{id:-1},{id:-1},{id:-1},{id:-1},{id:-1}
{id:40073},{id:40041},{id:40073},{id:40043},{id:40040}</t>
  </si>
  <si>
    <t>7-37</t>
  </si>
  <si>
    <t>{role:-1},
{id:-1},{id:-1},{id:-1},{id:-1},{id:-1}
{id:40040},{id:40073},{id:40043},{id:40043},{id:40040}</t>
  </si>
  <si>
    <t>7-38</t>
  </si>
  <si>
    <t>{role:-1},
{id:-1},{id:-1},{id:-1},{id:-1},{id:-1}
{id:40040},{id:40041},{id:40041},{id:40040},{id:40041}</t>
  </si>
  <si>
    <t>3,5,13</t>
  </si>
  <si>
    <t>7-39</t>
  </si>
  <si>
    <t>{role:-1},
{id:-1},{id:-1},{id:-1},{id:-1},{id:-1}
{id:40041},{id:40044},{id:40073},{id:40044},{id:40040}</t>
  </si>
  <si>
    <t>7-40</t>
  </si>
  <si>
    <t>{role:-1},
{id:-1},{id:-1},{id:-1},{id:-1},{id:-1}
{id:50008},{id:40041},{id:40044},{id:40073},{id:40043}</t>
  </si>
  <si>
    <t>8-1</t>
  </si>
  <si>
    <t>{role:-1},
{id:-1},{id:-1},{id:-1},{id:-1},{id:-1}
{id:40074},{id:40032}</t>
  </si>
  <si>
    <t>聖光普照</t>
  </si>
  <si>
    <t>1,2,13</t>
  </si>
  <si>
    <t>光蝕侵擾</t>
  </si>
  <si>
    <t>3,11,12</t>
  </si>
  <si>
    <t>8-2</t>
  </si>
  <si>
    <t>{role:-1},
{id:-1},{id:-1},{id:-1},{id:-1},{id:-1}
{id:40046},{id:40042}</t>
  </si>
  <si>
    <t>8-3</t>
  </si>
  <si>
    <t>{role:-1},
{id:-1},{id:-1},{id:-1},{id:-1},{id:-1}
{id:40042},{id:40047}</t>
  </si>
  <si>
    <t>8-4</t>
  </si>
  <si>
    <t>{role:-1},
{id:-1},{id:-1},{id:-1},{id:-1},{id:-1}
{id:40047},{id:40042}</t>
  </si>
  <si>
    <t>8-5</t>
  </si>
  <si>
    <t>{role:-1},
{id:-1},{id:-1},{id:-1},{id:-1},{id:-1}
{id:40046},{id:40032},{id:40046}</t>
  </si>
  <si>
    <t>3,4,8</t>
  </si>
  <si>
    <t>8-6</t>
  </si>
  <si>
    <t>{role:-1},
{id:-1},{id:-1},{id:-1},{id:-1},{id:-1}
{id:40046},{id:40046},{id:40032}</t>
  </si>
  <si>
    <t>8-7</t>
  </si>
  <si>
    <t>{role:-1},
{id:-1},{id:-1},{id:-1},{id:-1},{id:-1}
{id:40046},{id:40042},{id:40042}</t>
  </si>
  <si>
    <t>8-8</t>
  </si>
  <si>
    <t>{role:-1},
{id:-1},{id:-1},{id:-1},{id:-1},{id:-1}
{id:40047},{id:40046},{id:40047}</t>
  </si>
  <si>
    <t>9,11,12</t>
  </si>
  <si>
    <t>8-9</t>
  </si>
  <si>
    <t>{role:-1},
{id:-1},{id:-1},{id:-1},{id:-1},{id:-1}
{id:40047},{id:40047},{id:40046}</t>
  </si>
  <si>
    <t>9,10,12</t>
  </si>
  <si>
    <t>8-10</t>
  </si>
  <si>
    <t>{role:-1},
{id:-1},{id:-1},{id:-1},{id:-1},{id:-1}
{id:40046},{id:40047},{id:40032}</t>
  </si>
  <si>
    <t>3,7,12</t>
  </si>
  <si>
    <t>8-11</t>
  </si>
  <si>
    <t>{role:-1},
{id:-1},{id:-1},{id:-1},{id:-1},{id:-1}
{id:40032},{id:40042},{id:40047}</t>
  </si>
  <si>
    <t>8-12</t>
  </si>
  <si>
    <t>{role:-1},
{id:-1},{id:-1},{id:-1},{id:-1},{id:-1}
{id:40074},{id:40046},{id:40042}</t>
  </si>
  <si>
    <t>8-13</t>
  </si>
  <si>
    <t>{role:-1},
{id:-1},{id:-1},{id:-1},{id:-1},{id:-1}
{id:40074},{id:40046},{id:40042},{id:40032}</t>
  </si>
  <si>
    <t>8-14</t>
  </si>
  <si>
    <t>{role:-1},
{id:-1},{id:-1},{id:-1},{id:-1},{id:-1}
{id:40046},{id:40074},{id:40032},{id:40074}</t>
  </si>
  <si>
    <t>8-15</t>
  </si>
  <si>
    <t>{role:-1},
{id:-1},{id:-1},{id:-1},{id:-1},{id:-1}
{id:40042},{id:40074},{id:40032},{id:40074}</t>
  </si>
  <si>
    <t>8-16</t>
  </si>
  <si>
    <t>{role:-1},
{id:-1},{id:-1},{id:-1},{id:-1},{id:-1}
{id:40074},{id:40046},{id:40047},{id:40046}</t>
  </si>
  <si>
    <t>8-17</t>
  </si>
  <si>
    <t>{role:-1},
{id:-1},{id:-1},{id:-1},{id:-1},{id:-1}
{id:40074},{id:40046},{id:40032},{id:40074},{id:40042}</t>
  </si>
  <si>
    <t>8-18</t>
  </si>
  <si>
    <t>{role:-1},
{id:-1},{id:-1},{id:-1},{id:-1},{id:-1}
{id:40074},{id:40047},{id:40042},{id:40042},{id:40042}</t>
  </si>
  <si>
    <t>8-19</t>
  </si>
  <si>
    <t>{role:-1},
{id:-1},{id:-1},{id:-1},{id:-1},{id:-1}
{id:40042},{id:40047},{id:40032},{id:40047},{id:40032}</t>
  </si>
  <si>
    <t>4,11</t>
  </si>
  <si>
    <t>8-20</t>
  </si>
  <si>
    <t>{role:-1},
{id:-1},{id:-1},{id:-1},{id:-1},{id:-1}
{id:40074},{id:40046},{id:40032},{id:40042},{id:40047}</t>
  </si>
  <si>
    <t>8-21</t>
  </si>
  <si>
    <t>{role:-1},
{id:-1},{id:-1},{id:-1},{id:-1},{id:-1}
{id:40074},{id:40047},{id:40042},{id:40047},{id:40047}</t>
  </si>
  <si>
    <t>8-22</t>
  </si>
  <si>
    <t>{role:-1},
{id:-1},{id:-1},{id:-1},{id:-1},{id:-1}
{id:40074},{id:40074},{id:40042},{id:40074},{id:40046}</t>
  </si>
  <si>
    <t>2,9,12</t>
  </si>
  <si>
    <t>2,3,7</t>
  </si>
  <si>
    <t>8-23</t>
  </si>
  <si>
    <t>{role:-1},
{id:-1},{id:-1},{id:-1},{id:-1},{id:-1}
{id:40032},{id:40047},{id:40042},{id:40032},{id:40042}</t>
  </si>
  <si>
    <t>8-24</t>
  </si>
  <si>
    <t>{role:-1},
{id:-1},{id:-1},{id:-1},{id:-1},{id:-1}
{id:40047},{id:40042},{id:40046},{id:40032},{id:40032}</t>
  </si>
  <si>
    <t>8-25</t>
  </si>
  <si>
    <t>{role:-1},
{id:-1},{id:-1},{id:-1},{id:-1},{id:-1}
{id:40046},{id:40047},{id:40074},{id:40047},{id:40074}</t>
  </si>
  <si>
    <t>8-26</t>
  </si>
  <si>
    <t>{role:-1},
{id:-1},{id:-1},{id:-1},{id:-1},{id:-1}
{id:40032},{id:40046},{id:40047},{id:40042},{id:40074}</t>
  </si>
  <si>
    <t>3,6,7</t>
  </si>
  <si>
    <t>5,10,11</t>
  </si>
  <si>
    <t>8-27</t>
  </si>
  <si>
    <t>{role:-1},
{id:-1},{id:-1},{id:-1},{id:-1},{id:-1}
{id:40032},{id:40042},{id:40032},{id:40032},{id:40046}</t>
  </si>
  <si>
    <t>8-28</t>
  </si>
  <si>
    <t>{role:-1},
{id:-1},{id:-1},{id:-1},{id:-1},{id:-1}
{id:40032},{id:40046},{id:40046},{id:40074},{id:40074}</t>
  </si>
  <si>
    <t>8-29</t>
  </si>
  <si>
    <t>{role:-1},
{id:-1},{id:-1},{id:-1},{id:-1},{id:-1}
{id:40047},{id:40074},{id:40046},{id:40047},{id:40032}</t>
  </si>
  <si>
    <t>8-30</t>
  </si>
  <si>
    <t>{role:-1},
{id:-1},{id:-1},{id:-1},{id:-1},{id:-1}
{id:40046},{id:40042},{id:40074},{id:40042},{id:40047}</t>
  </si>
  <si>
    <t>8-31</t>
  </si>
  <si>
    <t>{role:-1},
{id:-1},{id:-1},{id:-1},{id:-1},{id:-1}
{id:40042},{id:40032},{id:40046},{id:40032},{id:40042}</t>
  </si>
  <si>
    <t>4,9,10</t>
  </si>
  <si>
    <t>8-32</t>
  </si>
  <si>
    <t>{role:-1},
{id:-1},{id:-1},{id:-1},{id:-1},{id:-1}
{id:40042},{id:40074},{id:40074},{id:40046},{id:40042}</t>
  </si>
  <si>
    <t>1,6,10</t>
  </si>
  <si>
    <t>8-33</t>
  </si>
  <si>
    <t>{role:-1},
{id:-1},{id:-1},{id:-1},{id:-1},{id:-1}
{id:40046},{id:40047},{id:40042},{id:40042},{id:40046}</t>
  </si>
  <si>
    <t>2,6,9</t>
  </si>
  <si>
    <t>8-34</t>
  </si>
  <si>
    <t>{role:-1},
{id:-1},{id:-1},{id:-1},{id:-1},{id:-1}
{id:40074},{id:40046},{id:40046},{id:40046},{id:40032}</t>
  </si>
  <si>
    <t>8-35</t>
  </si>
  <si>
    <t>{role:-1},
{id:-1},{id:-1},{id:-1},{id:-1},{id:-1}
{id:40032},{id:40032},{id:40046},{id:40042},{id:40047}</t>
  </si>
  <si>
    <t>8-36</t>
  </si>
  <si>
    <t>{role:-1},
{id:-1},{id:-1},{id:-1},{id:-1},{id:-1}
{id:40032},{id:40032},{id:40042},{id:40046},{id:40042}</t>
  </si>
  <si>
    <t>8-37</t>
  </si>
  <si>
    <t>{role:-1},
{id:-1},{id:-1},{id:-1},{id:-1},{id:-1}
{id:40047},{id:40046},{id:40047},{id:40032},{id:40032}</t>
  </si>
  <si>
    <t>4,6,8</t>
  </si>
  <si>
    <t>8-38</t>
  </si>
  <si>
    <t>{role:-1},
{id:-1},{id:-1},{id:-1},{id:-1},{id:-1}
{id:40046},{id:40042},{id:40047},{id:40074},{id:40047}</t>
  </si>
  <si>
    <t>8-39</t>
  </si>
  <si>
    <t>{role:-1},
{id:-1},{id:-1},{id:-1},{id:-1},{id:-1}
{id:40074},{id:40042},{id:40047},{id:40047},{id:40046}</t>
  </si>
  <si>
    <t>8-40</t>
  </si>
  <si>
    <t>{role:-1},
{id:-1},{id:-1},{id:-1},{id:-1},{id:-1}
{id:50009},{id:40074},{id:40032},{id:40047},{id:40046}</t>
  </si>
  <si>
    <t>9-1</t>
  </si>
  <si>
    <t>{role:-1},
{id:-1},{id:-1},{id:-1},{id:-1},{id:-1}
{id:40075},{id:40050}</t>
  </si>
  <si>
    <t>贖罪回聲</t>
  </si>
  <si>
    <t>3,8,9</t>
  </si>
  <si>
    <t>墮落低語</t>
  </si>
  <si>
    <t>4,12,13</t>
  </si>
  <si>
    <t>9-2</t>
  </si>
  <si>
    <t>{role:-1},
{id:-1},{id:-1},{id:-1},{id:-1},{id:-1}
{id:40075},{id:40045}</t>
  </si>
  <si>
    <t>2,6,10</t>
  </si>
  <si>
    <t>9-3</t>
  </si>
  <si>
    <t>9-4</t>
  </si>
  <si>
    <t>{role:-1},
{id:-1},{id:-1},{id:-1},{id:-1},{id:-1}
{id:40052},{id:40052}</t>
  </si>
  <si>
    <t>9-5</t>
  </si>
  <si>
    <t>{role:-1},
{id:-1},{id:-1},{id:-1},{id:-1},{id:-1}
{id:40076},{id:40075},{id:40075}</t>
  </si>
  <si>
    <t>9-6</t>
  </si>
  <si>
    <t>{role:-1},
{id:-1},{id:-1},{id:-1},{id:-1},{id:-1}
{id:40075},{id:40052},{id:40052}</t>
  </si>
  <si>
    <t>9-7</t>
  </si>
  <si>
    <t>{role:-1},
{id:-1},{id:-1},{id:-1},{id:-1},{id:-1}
{id:40075},{id:40052},{id:40045}</t>
  </si>
  <si>
    <t>6,8</t>
  </si>
  <si>
    <t>9-8</t>
  </si>
  <si>
    <t>{role:-1},
{id:-1},{id:-1},{id:-1},{id:-1},{id:-1}
{id:40076},{id:40045},{id:40045}</t>
  </si>
  <si>
    <t>9-9</t>
  </si>
  <si>
    <t>{role:-1},
{id:-1},{id:-1},{id:-1},{id:-1},{id:-1}
{id:40052},{id:40050},{id:40050}</t>
  </si>
  <si>
    <t>9-10</t>
  </si>
  <si>
    <t>{role:-1},
{id:-1},{id:-1},{id:-1},{id:-1},{id:-1}
{id:40076},{id:40050},{id:40076}</t>
  </si>
  <si>
    <t>9-11</t>
  </si>
  <si>
    <t>{role:-1},
{id:-1},{id:-1},{id:-1},{id:-1},{id:-1}
{id:40052},{id:40045},{id:40052}</t>
  </si>
  <si>
    <t>9-12</t>
  </si>
  <si>
    <t>{role:-1},
{id:-1},{id:-1},{id:-1},{id:-1},{id:-1}
{id:40045},{id:40050},{id:40075}</t>
  </si>
  <si>
    <t>9-13</t>
  </si>
  <si>
    <t>{role:-1},
{id:-1},{id:-1},{id:-1},{id:-1},{id:-1}
{id:40075},{id:40052},{id:40045},{id:40075}</t>
  </si>
  <si>
    <t>9-14</t>
  </si>
  <si>
    <t>{role:-1},
{id:-1},{id:-1},{id:-1},{id:-1},{id:-1}
{id:40045},{id:40076},{id:40050},{id:40050}</t>
  </si>
  <si>
    <t>9-15</t>
  </si>
  <si>
    <t>{role:-1},
{id:-1},{id:-1},{id:-1},{id:-1},{id:-1}
{id:40076},{id:40076},{id:40076},{id:40075}</t>
  </si>
  <si>
    <t>1,11</t>
  </si>
  <si>
    <t>9-16</t>
  </si>
  <si>
    <t>{role:-1},
{id:-1},{id:-1},{id:-1},{id:-1},{id:-1}
{id:40045},{id:40052},{id:40075},{id:40076}</t>
  </si>
  <si>
    <t>9-17</t>
  </si>
  <si>
    <t>{role:-1},
{id:-1},{id:-1},{id:-1},{id:-1},{id:-1}
{id:40075},{id:40076},{id:40050},{id:40052},{id:40052}</t>
  </si>
  <si>
    <t>9-18</t>
  </si>
  <si>
    <t>{role:-1},
{id:-1},{id:-1},{id:-1},{id:-1},{id:-1}
{id:40075},{id:40050},{id:40075},{id:40076},{id:40076}</t>
  </si>
  <si>
    <t>9-19</t>
  </si>
  <si>
    <t>{role:-1},
{id:-1},{id:-1},{id:-1},{id:-1},{id:-1}
{id:40052},{id:40050},{id:40076},{id:40045},{id:40076}</t>
  </si>
  <si>
    <t>3,4</t>
  </si>
  <si>
    <t>9-20</t>
  </si>
  <si>
    <t>{role:-1},
{id:-1},{id:-1},{id:-1},{id:-1},{id:-1}
{id:40052},{id:40075},{id:40076},{id:40076},{id:40045}</t>
  </si>
  <si>
    <t>9-21</t>
  </si>
  <si>
    <t>{role:-1},
{id:-1},{id:-1},{id:-1},{id:-1},{id:-1}
{id:40045},{id:40045},{id:40076},{id:40075},{id:40052}</t>
  </si>
  <si>
    <t>9-22</t>
  </si>
  <si>
    <t>{role:-1},
{id:-1},{id:-1},{id:-1},{id:-1},{id:-1}
{id:40052},{id:40076},{id:40075},{id:40052},{id:40075}</t>
  </si>
  <si>
    <t>9-23</t>
  </si>
  <si>
    <t>{role:-1},
{id:-1},{id:-1},{id:-1},{id:-1},{id:-1}
{id:40075},{id:40076},{id:40052},{id:40045},{id:40050}</t>
  </si>
  <si>
    <t>9-24</t>
  </si>
  <si>
    <t>{role:-1},
{id:-1},{id:-1},{id:-1},{id:-1},{id:-1}
{id:40050},{id:40052},{id:40075},{id:40052},{id:40050}</t>
  </si>
  <si>
    <t>9-25</t>
  </si>
  <si>
    <t>{role:-1},
{id:-1},{id:-1},{id:-1},{id:-1},{id:-1}
{id:40050},{id:40075},{id:40076},{id:40045},{id:40045}</t>
  </si>
  <si>
    <t>9-26</t>
  </si>
  <si>
    <t>{role:-1},
{id:-1},{id:-1},{id:-1},{id:-1},{id:-1}
{id:40052},{id:40050},{id:40076},{id:40075},{id:40050}</t>
  </si>
  <si>
    <t>9-27</t>
  </si>
  <si>
    <t>{role:-1},
{id:-1},{id:-1},{id:-1},{id:-1},{id:-1}
{id:40052},{id:40052},{id:40050},{id:40045},{id:40052}</t>
  </si>
  <si>
    <t>9-28</t>
  </si>
  <si>
    <t>{role:-1},
{id:-1},{id:-1},{id:-1},{id:-1},{id:-1}
{id:40076},{id:40045},{id:40045},{id:40076},{id:40050}</t>
  </si>
  <si>
    <t>9-29</t>
  </si>
  <si>
    <t>{role:-1},{state:-60013}
{id:-1},{id:-1},{id:-1},{id:-1},{id:-1}
{id:40075},{id:40045},{id:40045},{id:40050},{id:40052}</t>
  </si>
  <si>
    <t>9-30</t>
  </si>
  <si>
    <t>{role:-1},{state:-60013}
{id:-1},{id:-1},{id:-1},{id:-1},{id:-1}
{id:40052},{id:40075},{id:40052},{id:40052},{id:40045}</t>
  </si>
  <si>
    <t>9-31</t>
  </si>
  <si>
    <t>{role:-1},{state:-60013}
{id:-1},{id:-1},{id:-1},{id:-1},{id:-1}
{id:40076},{id:40045},{id:40076},{id:40076},{id:40045}</t>
  </si>
  <si>
    <t>9-32</t>
  </si>
  <si>
    <t>{role:-1},{state:-60013}
{id:-1},{id:-1},{id:-1},{id:-1},{id:-1}
{id:40076},{id:40052},{id:40045},{id:40050},{id:40076}</t>
  </si>
  <si>
    <t>9-33</t>
  </si>
  <si>
    <t>{role:-1},{state:-60013}
{id:-1},{id:-1},{id:-1},{id:-1},{id:-1}
{id:40076},{id:40076},{id:40075},{id:40052},{id:40045}</t>
  </si>
  <si>
    <t>8,9,12</t>
  </si>
  <si>
    <t>9-34</t>
  </si>
  <si>
    <t>{role:-1},{state:-60013}
{id:-1},{id:-1},{id:-1},{id:-1},{id:-1}
{id:40050},{id:40052},{id:40075},{id:40076},{id:40045}</t>
  </si>
  <si>
    <t>9-35</t>
  </si>
  <si>
    <t>{role:-1},{state:-60013}
{id:-1},{id:-1},{id:-1},{id:-1},{id:-1}
{id:40076},{id:40045},{id:40050},{id:40076},{id:40075}</t>
  </si>
  <si>
    <t>1,4,12</t>
  </si>
  <si>
    <t>9-36</t>
  </si>
  <si>
    <t>{role:-1},{state:-60013}
{id:-1},{id:-1},{id:-1},{id:-1},{id:-1}
{id:40075},{id:40045},{id:40050},{id:40050},{id:40076}</t>
  </si>
  <si>
    <t>9-37</t>
  </si>
  <si>
    <t>{role:-1},{state:-60013}
{id:-1},{id:-1},{id:-1},{id:-1},{id:-1}
{id:40050},{id:40050},{id:40045},{id:40075},{id:40052}</t>
  </si>
  <si>
    <t>9-38</t>
  </si>
  <si>
    <t>{role:-1},{state:-60013}
{id:-1},{id:-1},{id:-1},{id:-1},{id:-1}
{id:40045},{id:40076},{id:40076},{id:40076},{id:40052}</t>
  </si>
  <si>
    <t>9-39</t>
  </si>
  <si>
    <t>{role:-1},{state:-60013}
{id:-1},{id:-1},{id:-1},{id:-1},{id:-1}
{id:40045},{id:40050},{id:40075},{id:40045},{id:40075}</t>
  </si>
  <si>
    <t>3,4,10</t>
  </si>
  <si>
    <t>9-40</t>
  </si>
  <si>
    <t>{role:-1},{state:-60013}
{id:-1},{id:-1},{id:-1},{id:-1},{id:-1}
{id:50010},{id:40076},{id:40052},{id:40050},{id:40075}</t>
  </si>
  <si>
    <t>10-1</t>
  </si>
  <si>
    <t>{role:-1},{state:-60014}
{id:-1},{id:-1},{id:-1},{id:-1},{id:-1}
{id:40078},{id:40077}</t>
  </si>
  <si>
    <t>誓約光輝</t>
  </si>
  <si>
    <t>神殿守護</t>
  </si>
  <si>
    <t>10-2</t>
  </si>
  <si>
    <t>{role:-1},{state:-60014}
{id:-1},{id:-1},{id:-1},{id:-1},{id:-1}
{id:40048},{id:40078}</t>
  </si>
  <si>
    <t>10-3</t>
  </si>
  <si>
    <t>{role:-1},{state:-60014}
{id:-1},{id:-1},{id:-1},{id:-1},{id:-1}
{id:40078},{id:40078}</t>
  </si>
  <si>
    <t>10-4</t>
  </si>
  <si>
    <t>{role:-1},{state:-60014}
{id:-1},{id:-1},{id:-1},{id:-1},{id:-1}
{id:40048},{id:40077}</t>
  </si>
  <si>
    <t>10-5</t>
  </si>
  <si>
    <t>{role:-1},{state:-60014}
{id:-1},{id:-1},{id:-1},{id:-1},{id:-1}
{id:40078},{id:40048},{id:40049}</t>
  </si>
  <si>
    <t>5,10,13</t>
  </si>
  <si>
    <t>10-6</t>
  </si>
  <si>
    <t>{role:-1},{state:-60014}
{id:-1},{id:-1},{id:-1},{id:-1},{id:-1}
{id:40077},{id:40049},{id:40077}</t>
  </si>
  <si>
    <t>10-7</t>
  </si>
  <si>
    <t>{role:-1},{state:-60014}
{id:-1},{id:-1},{id:-1},{id:-1},{id:-1}
{id:40078},{id:40077},{id:40054}</t>
  </si>
  <si>
    <t>10-8</t>
  </si>
  <si>
    <t>{role:-1},{state:-60014}
{id:-1},{id:-1},{id:-1},{id:-1},{id:-1}
{id:40077},{id:40077},{id:40048}</t>
  </si>
  <si>
    <t>10-9</t>
  </si>
  <si>
    <t>{role:-1},{state:-60014}
{id:-1},{id:-1},{id:-1},{id:-1},{id:-1}
{id:40048},{id:40078},{id:40078}</t>
  </si>
  <si>
    <t>10-10</t>
  </si>
  <si>
    <t>{role:-1},{state:-60014}
{id:-1},{id:-1},{id:-1},{id:-1},{id:-1}
{id:40054},{id:40049},{id:40078}</t>
  </si>
  <si>
    <t>10-11</t>
  </si>
  <si>
    <t>{role:-1},{state:-60014}
{id:-1},{id:-1},{id:-1},{id:-1},{id:-1}
{id:40077},{id:40054},{id:40077}</t>
  </si>
  <si>
    <t>3,8,10</t>
  </si>
  <si>
    <t>10-12</t>
  </si>
  <si>
    <t>{role:-1},{state:-60014}
{id:-1},{id:-1},{id:-1},{id:-1},{id:-1}
{id:40077},{id:40078},{id:40054}</t>
  </si>
  <si>
    <t>10-13</t>
  </si>
  <si>
    <t>{role:-1},{state:-60014}
{id:-1},{id:-1},{id:-1},{id:-1},{id:-1}
{id:40054},{id:40054},{id:40048},{id:40049}</t>
  </si>
  <si>
    <t>2,8,11</t>
  </si>
  <si>
    <t>10-14</t>
  </si>
  <si>
    <t>{role:-1},{state:-60014}
{id:-1},{id:-1},{id:-1},{id:-1},{id:-1}
{id:40054},{id:40048},{id:40048},{id:40054}</t>
  </si>
  <si>
    <t>10-15</t>
  </si>
  <si>
    <t>{role:-1},{state:-60014}
{id:-1},{id:-1},{id:-1},{id:-1},{id:-1}
{id:40054},{id:40054},{id:40077},{id:40078}</t>
  </si>
  <si>
    <t>10-16</t>
  </si>
  <si>
    <t>{role:-1},{state:-60014}
{id:-1},{id:-1},{id:-1},{id:-1},{id:-1}
{id:40054},{id:40078},{id:40054},{id:40049}</t>
  </si>
  <si>
    <t>10-17</t>
  </si>
  <si>
    <t>{role:-1},{state:-60014}
{id:-1},{id:-1},{id:-1},{id:-1},{id:-1}
{id:40049},{id:40054},{id:40077},{id:40078},{id:40077}</t>
  </si>
  <si>
    <t>10-18</t>
  </si>
  <si>
    <t>{role:-1},{state:-60014}
{id:-1},{id:-1},{id:-1},{id:-1},{id:-1}
{id:40077},{id:40054},{id:40054},{id:40049},{id:40078}</t>
  </si>
  <si>
    <t>10-19</t>
  </si>
  <si>
    <t>{role:-1},{state:-60014}
{id:-1},{id:-1},{id:-1},{id:-1},{id:-1}
{id:40077},{id:40048},{id:40078},{id:40054},{id:40048}</t>
  </si>
  <si>
    <t>10-20</t>
  </si>
  <si>
    <t>{role:-1},{state:-60014}
{id:-1},{id:-1},{id:-1},{id:-1},{id:-1}
{id:40077},{id:40078},{id:40049},{id:40078},{id:40054}</t>
  </si>
  <si>
    <t>10-21</t>
  </si>
  <si>
    <t>{role:-1},{state:-60014}
{id:-1},{id:-1},{id:-1},{id:-1},{id:-1}
{id:40077},{id:40078},{id:40078},{id:40078},{id:40078}</t>
  </si>
  <si>
    <t>10-22</t>
  </si>
  <si>
    <t>{role:-1},{state:-60014}
{id:-1},{id:-1},{id:-1},{id:-1},{id:-1}
{id:40078},{id:40078},{id:40078},{id:40078},{id:40049}</t>
  </si>
  <si>
    <t>5,6,12</t>
  </si>
  <si>
    <t>10-23</t>
  </si>
  <si>
    <t>{role:-1},{state:-60014}
{id:-1},{id:-1},{id:-1},{id:-1},{id:-1}
{id:40049},{id:40078},{id:40078},{id:40054},{id:40078}</t>
  </si>
  <si>
    <t>10-24</t>
  </si>
  <si>
    <t>{role:-1},{state:-60014}
{id:-1},{id:-1},{id:-1},{id:-1},{id:-1}
{id:40049},{id:40049},{id:40048},{id:40049},{id:40054}</t>
  </si>
  <si>
    <t>10-25</t>
  </si>
  <si>
    <t>{role:-1},{state:-60014}
{id:-1},{id:-1},{id:-1},{id:-1},{id:-1}
{id:40049},{id:40078},{id:40078},{id:40048},{id:40048}</t>
  </si>
  <si>
    <t>7,12,13</t>
  </si>
  <si>
    <t>10-26</t>
  </si>
  <si>
    <t>{role:-1},{state:-60014}
{id:-1},{id:-1},{id:-1},{id:-1},{id:-1}
{id:40048},{id:40048},{id:40054},{id:40049},{id:40048}</t>
  </si>
  <si>
    <t>10-27</t>
  </si>
  <si>
    <t>{role:-1},{state:-60014}
{id:-1},{id:-1},{id:-1},{id:-1},{id:-1}
{id:40048},{id:40054},{id:40048},{id:40078},{id:40048}</t>
  </si>
  <si>
    <t>3,6,8</t>
  </si>
  <si>
    <t>10-28</t>
  </si>
  <si>
    <t>{role:-1},{state:-60014}
{id:-1},{id:-1},{id:-1},{id:-1},{id:-1}
{id:40078},{id:40048},{id:40048},{id:40048},{id:40078}</t>
  </si>
  <si>
    <t>10-29</t>
  </si>
  <si>
    <t>{role:-1},{state:-60014}
{id:-1},{id:-1},{id:-1},{id:-1},{id:-1}
{id:40077},{id:40078},{id:40048},{id:40078},{id:40078}</t>
  </si>
  <si>
    <t>3,6,13</t>
  </si>
  <si>
    <t>10-30</t>
  </si>
  <si>
    <t>{role:-1},{state:-60014}
{id:-1},{id:-1},{id:-1},{id:-1},{id:-1}
{id:40077},{id:40049},{id:40077},{id:40077},{id:40054}</t>
  </si>
  <si>
    <t>10-31</t>
  </si>
  <si>
    <t>{role:-1},{state:-60014}
{id:-1},{id:-1},{id:-1},{id:-1},{id:-1}
{id:40077},{id:40054},{id:40078},{id:40049},{id:40077}</t>
  </si>
  <si>
    <t>2,10,11</t>
  </si>
  <si>
    <t>1,4,13</t>
  </si>
  <si>
    <t>10-32</t>
  </si>
  <si>
    <t>{role:-1},{state:-60014}
{id:-1},{id:-1},{id:-1},{id:-1},{id:-1}
{id:40077},{id:40049},{id:40078},{id:40049},{id:40078}</t>
  </si>
  <si>
    <t>10-33</t>
  </si>
  <si>
    <t>{role:-1},{state:-60014}
{id:-1},{id:-1},{id:-1},{id:-1},{id:-1}
{id:40077},{id:40049},{id:40077},{id:40077},{id:40048}</t>
  </si>
  <si>
    <t>10-34</t>
  </si>
  <si>
    <t>{role:-1},{state:-60014}
{id:-1},{id:-1},{id:-1},{id:-1},{id:-1}
{id:40077},{id:40049},{id:40048},{id:40078},{id:40049}</t>
  </si>
  <si>
    <t>10-35</t>
  </si>
  <si>
    <t>{role:-1},{state:-60014}
{id:-1},{id:-1},{id:-1},{id:-1},{id:-1}
{id:40077},{id:40049},{id:40078},{id:40078},{id:40048}</t>
  </si>
  <si>
    <t>10-36</t>
  </si>
  <si>
    <t>{role:-1},{state:-60014}
{id:-1},{id:-1},{id:-1},{id:-1},{id:-1}
{id:40078},{id:40048},{id:40077},{id:40077},{id:40077}</t>
  </si>
  <si>
    <t>10-37</t>
  </si>
  <si>
    <t>{role:-1},{state:-60014}
{id:-1},{id:-1},{id:-1},{id:-1},{id:-1}
{id:40054},{id:40049},{id:40049},{id:40078},{id:40049}</t>
  </si>
  <si>
    <t>10-38</t>
  </si>
  <si>
    <t>{role:-1},{state:-60014}
{id:-1},{id:-1},{id:-1},{id:-1},{id:-1}
{id:40048},{id:40054},{id:40077},{id:40049},{id:40049}</t>
  </si>
  <si>
    <t>10-39</t>
  </si>
  <si>
    <t>{role:-1},{state:-60014}
{id:-1},{id:-1},{id:-1},{id:-1},{id:-1}
{id:40048},{id:40077},{id:40077},{id:40054},{id:40077}</t>
  </si>
  <si>
    <t>10-40</t>
  </si>
  <si>
    <t>{role:-1},{state:-60014}
{id:-1},{id:-1},{id:-1},{id:-1},{id:-1}
{id:50011},{id:40048},{id:40054},{id:40077},{id:40078}</t>
  </si>
  <si>
    <t>11-1</t>
  </si>
  <si>
    <t>{role:-1},{state:-60015}
{id:-1},{id:-1},{id:-1},{id:-1},{id:-1}
{id:40080},{id:40080}</t>
  </si>
  <si>
    <t>武士之魂</t>
  </si>
  <si>
    <t>妖氣繚繞</t>
  </si>
  <si>
    <t>11-2</t>
  </si>
  <si>
    <t>{role:-1},{state:-60015}
{id:-1},{id:-1},{id:-1},{id:-1},{id:-1}
{id:40079},{id:40065}</t>
  </si>
  <si>
    <t>11-3</t>
  </si>
  <si>
    <t>{role:-1},{state:-60015}
{id:-1},{id:-1},{id:-1},{id:-1},{id:-1}
{id:40081},{id:40080}</t>
  </si>
  <si>
    <t>11-4</t>
  </si>
  <si>
    <t>{role:-1},{state:-60015}
{id:-1},{id:-1},{id:-1},{id:-1},{id:-1}
{id:40065},{id:40080}</t>
  </si>
  <si>
    <t>11-5</t>
  </si>
  <si>
    <t>11-6</t>
  </si>
  <si>
    <t>{role:-1},{state:-60015}
{id:-1},{id:-1},{id:-1},{id:-1},{id:-1}
{id:40079},{id:40080},{id:40079}</t>
  </si>
  <si>
    <t>11-7</t>
  </si>
  <si>
    <t>{role:-1},{state:-60015}
{id:-1},{id:-1},{id:-1},{id:-1},{id:-1}
{id:40079},{id:40079},{id:40080}</t>
  </si>
  <si>
    <t>11-8</t>
  </si>
  <si>
    <t>{role:-1},{state:-60015}
{id:-1},{id:-1},{id:-1},{id:-1},{id:-1}
{id:40055},{id:40065},{id:40055}</t>
  </si>
  <si>
    <t>11-9</t>
  </si>
  <si>
    <t>{role:-1},{state:-60015}
{id:-1},{id:-1},{id:-1},{id:-1},{id:-1}
{id:40065},{id:40081},{id:40081}</t>
  </si>
  <si>
    <t>4,9,12</t>
  </si>
  <si>
    <t>11-10</t>
  </si>
  <si>
    <t>{role:-1},{state:-60015}
{id:-1},{id:-1},{id:-1},{id:-1},{id:-1}
{id:40079},{id:40055},{id:40081}</t>
  </si>
  <si>
    <t>11-11</t>
  </si>
  <si>
    <t>{role:-1},{state:-60015}
{id:-1},{id:-1},{id:-1},{id:-1},{id:-1}
{id:40079},{id:40055},{id:40079}</t>
  </si>
  <si>
    <t>11-12</t>
  </si>
  <si>
    <t>{role:-1},{state:-60015}
{id:-1},{id:-1},{id:-1},{id:-1},{id:-1}
{id:40081},{id:40080},{id:40065}</t>
  </si>
  <si>
    <t>11-13</t>
  </si>
  <si>
    <t>{role:-1},{state:-60015}
{id:-1},{id:-1},{id:-1},{id:-1},{id:-1}
{id:40081},{id:40065},{id:40081}</t>
  </si>
  <si>
    <t>11-14</t>
  </si>
  <si>
    <t>{role:-1},{state:-60015}
{id:-1},{id:-1},{id:-1},{id:-1},{id:-1}
{id:40079},{id:40081},{id:40081}</t>
  </si>
  <si>
    <t>3,4,11</t>
  </si>
  <si>
    <t>11-15</t>
  </si>
  <si>
    <t>{role:-1},{state:-60015}
{id:-1},{id:-1},{id:-1},{id:-1},{id:-1}
{id:40055},{id:40055},{id:40080}</t>
  </si>
  <si>
    <t>11-16</t>
  </si>
  <si>
    <t>{role:-1},{state:-60015}
{id:-1},{id:-1},{id:-1},{id:-1},{id:-1}
{id:40055},{id:40055},{id:40080},{id:40055}</t>
  </si>
  <si>
    <t>9,12,13</t>
  </si>
  <si>
    <t>11-17</t>
  </si>
  <si>
    <t>{role:-1},{state:-60015}
{id:-1},{id:-1},{id:-1},{id:-1},{id:-1}
{id:40080},{id:40079},{id:40065},{id:40080}</t>
  </si>
  <si>
    <t>11-18</t>
  </si>
  <si>
    <t>{role:-1},{state:-60015}
{id:-1},{id:-1},{id:-1},{id:-1},{id:-1}
{id:40080},{id:40080},{id:40055},{id:40065}</t>
  </si>
  <si>
    <t>11-19</t>
  </si>
  <si>
    <t>{role:-1},{state:-60015}
{id:-1},{id:-1},{id:-1},{id:-1},{id:-1}
{id:40079},{id:40065},{id:40065},{id:40055}</t>
  </si>
  <si>
    <t>11-20</t>
  </si>
  <si>
    <t>{role:-1},{state:-60015}
{id:-1},{id:-1},{id:-1},{id:-1},{id:-1}
{id:40065},{id:40080},{id:40079},{id:40065}</t>
  </si>
  <si>
    <t>11-21</t>
  </si>
  <si>
    <t>{role:-1},{state:-60015}
{id:-1},{id:-1},{id:-1},{id:-1},{id:-1}
{id:40081},{id:40079},{id:40079},{id:40079},{id:40080}</t>
  </si>
  <si>
    <t>8,9,10</t>
  </si>
  <si>
    <t>11-22</t>
  </si>
  <si>
    <t>{role:-1},{state:-60015}
{id:-1},{id:-1},{id:-1},{id:-1},{id:-1}
{id:40065},{id:40079},{id:40055},{id:40080},{id:40065}</t>
  </si>
  <si>
    <t>11-23</t>
  </si>
  <si>
    <t>{role:-1},{state:-60015}
{id:-1},{id:-1},{id:-1},{id:-1},{id:-1}
{id:40079},{id:40081},{id:40055},{id:40081},{id:40055}</t>
  </si>
  <si>
    <t>11-24</t>
  </si>
  <si>
    <t>{role:-1},{state:-60015}
{id:-1},{id:-1},{id:-1},{id:-1},{id:-1}
{id:40055},{id:40065},{id:40055},{id:40081},{id:40079}</t>
  </si>
  <si>
    <t>11-25</t>
  </si>
  <si>
    <t>{role:-1},{state:-60015}
{id:-1},{id:-1},{id:-1},{id:-1},{id:-1}
{id:40080},{id:40080},{id:40080},{id:40079},{id:40080}</t>
  </si>
  <si>
    <t>11-26</t>
  </si>
  <si>
    <t>{role:-1},{state:-60015}
{id:-1},{id:-1},{id:-1},{id:-1},{id:-1}
{id:40080},{id:40055},{id:40079},{id:40081},{id:40081}</t>
  </si>
  <si>
    <t>11-27</t>
  </si>
  <si>
    <t>{role:-1},{state:-60015}
{id:-1},{id:-1},{id:-1},{id:-1},{id:-1}
{id:40081},{id:40081},{id:40065},{id:40080},{id:40081}</t>
  </si>
  <si>
    <t>1,3,11</t>
  </si>
  <si>
    <t>11-28</t>
  </si>
  <si>
    <t>{role:-1},{state:-60015}
{id:-1},{id:-1},{id:-1},{id:-1},{id:-1}
{id:40065},{id:40055},{id:40065},{id:40065},{id:40080}</t>
  </si>
  <si>
    <t>11-29</t>
  </si>
  <si>
    <t>{role:-1},{state:-60015}
{id:-1},{id:-1},{id:-1},{id:-1},{id:-1}
{id:40055},{id:40065},{id:40055},{id:40079},{id:40065}</t>
  </si>
  <si>
    <t>1,2,6</t>
  </si>
  <si>
    <t>11-30</t>
  </si>
  <si>
    <t>{role:-1},{state:-60015}
{id:-1},{id:-1},{id:-1},{id:-1},{id:-1}
{id:40081},{id:40065},{id:40080},{id:40055},{id:40065}</t>
  </si>
  <si>
    <t>11-31</t>
  </si>
  <si>
    <t>{role:-1},{state:-60015}
{id:-1},{id:-1},{id:-1},{id:-1},{id:-1}
{id:40065},{id:40065},{id:40055},{id:40081},{id:40080}</t>
  </si>
  <si>
    <t>11-32</t>
  </si>
  <si>
    <t>{role:-1},{state:-60015}
{id:-1},{id:-1},{id:-1},{id:-1},{id:-1}
{id:40055},{id:40065},{id:40055},{id:40065},{id:40080}</t>
  </si>
  <si>
    <t>11-33</t>
  </si>
  <si>
    <t>{role:-1},{state:-60015}
{id:-1},{id:-1},{id:-1},{id:-1},{id:-1}
{id:40081},{id:40079},{id:40079},{id:40080},{id:40055}</t>
  </si>
  <si>
    <t>11-34</t>
  </si>
  <si>
    <t>{role:-1},{state:-60015}
{id:-1},{id:-1},{id:-1},{id:-1},{id:-1}
{id:40079},{id:40055},{id:40055},{id:40080},{id:40055}</t>
  </si>
  <si>
    <t>11-35</t>
  </si>
  <si>
    <t>{role:-1},{state:-60015}
{id:-1},{id:-1},{id:-1},{id:-1},{id:-1}
{id:40079},{id:40055},{id:40065},{id:40055},{id:40065}</t>
  </si>
  <si>
    <t>4,11,12</t>
  </si>
  <si>
    <t>11-36</t>
  </si>
  <si>
    <t>{role:-1},{state:-60015}
{id:-1},{id:-1},{id:-1},{id:-1},{id:-1}
{id:40079},{id:40079},{id:40081},{id:40079},{id:40080}</t>
  </si>
  <si>
    <t>6,9,12</t>
  </si>
  <si>
    <t>11-37</t>
  </si>
  <si>
    <t>{role:-1},{state:-60015}
{id:-1},{id:-1},{id:-1},{id:-1},{id:-1}
{id:40081},{id:40065},{id:40055},{id:40081},{id:40079}</t>
  </si>
  <si>
    <t>11-38</t>
  </si>
  <si>
    <t>{role:-1},{state:-60015}
{id:-1},{id:-1},{id:-1},{id:-1},{id:-1}
{id:40055},{id:40081},{id:40080},{id:40079},{id:40081}</t>
  </si>
  <si>
    <t>11-39</t>
  </si>
  <si>
    <t>{role:-1},{state:-60015}
{id:-1},{id:-1},{id:-1},{id:-1},{id:-1}
{id:40065},{id:40079},{id:40080},{id:40081},{id:40079}</t>
  </si>
  <si>
    <t>11-40</t>
  </si>
  <si>
    <t>{role:-1},{state:-60015}
{id:-1},{id:-1},{id:-1},{id:-1},{id:-1}
{id:40079},{id:40080},{id:40081},{id:40079},{id:40065}</t>
  </si>
  <si>
    <t>11-41</t>
  </si>
  <si>
    <t>{role:-1},{state:-60015}
{id:-1},{id:-1},{id:-1},{id:-1},{id:-1}
{id:40079},{id:40055},{id:40080},{id:40065},{id:40079}</t>
  </si>
  <si>
    <t>11-42</t>
  </si>
  <si>
    <t>{role:-1},{state:-60015}
{id:-1},{id:-1},{id:-1},{id:-1},{id:-1}
{id:40079},{id:40081},{id:40079},{id:40080},{id:40055}</t>
  </si>
  <si>
    <t>11-43</t>
  </si>
  <si>
    <t>{role:-1},{state:-60015}
{id:-1},{id:-1},{id:-1},{id:-1},{id:-1}
{id:40081},{id:40065},{id:40081},{id:40079},{id:40065}</t>
  </si>
  <si>
    <t>1,7,13</t>
  </si>
  <si>
    <t>11-44</t>
  </si>
  <si>
    <t>{role:-1},{state:-60015}
{id:-1},{id:-1},{id:-1},{id:-1},{id:-1}
{id:40081},{id:40055},{id:40080},{id:40081},{id:40081}</t>
  </si>
  <si>
    <t>11-45</t>
  </si>
  <si>
    <t>{role:-1},{state:-60015}
{id:-1},{id:-1},{id:-1},{id:-1},{id:-1}
{id:40065},{id:40081},{id:40055},{id:40065},{id:40079}</t>
  </si>
  <si>
    <t>11-46</t>
  </si>
  <si>
    <t>{role:-1},{state:-60015}
{id:-1},{id:-1},{id:-1},{id:-1},{id:-1}
{id:40080},{id:40055},{id:40080},{id:40079},{id:40055}</t>
  </si>
  <si>
    <t>11-47</t>
  </si>
  <si>
    <t>{role:-1},{state:-60015}
{id:-1},{id:-1},{id:-1},{id:-1},{id:-1}
{id:40081},{id:40055},{id:40081},{id:40065},{id:40055}</t>
  </si>
  <si>
    <t>1,9,10</t>
  </si>
  <si>
    <t>11-48</t>
  </si>
  <si>
    <t>{role:-1},{state:-60015}
{id:-1},{id:-1},{id:-1},{id:-1},{id:-1}
{id:40055},{id:40081},{id:40080},{id:40081},{id:40065}</t>
  </si>
  <si>
    <t>11-49</t>
  </si>
  <si>
    <t>{role:-1},{state:-60015}
{id:-1},{id:-1},{id:-1},{id:-1},{id:-1}
{id:40079},{id:40081},{id:40079},{id:40079},{id:40065}</t>
  </si>
  <si>
    <t>11-50</t>
  </si>
  <si>
    <t>{role:-1},{state:-60015}
{id:-1},{id:-1},{id:-1},{id:-1},{id:-1}
{id:50012},{id:40055},{id:40081},{id:40079},{id:40080}</t>
  </si>
  <si>
    <t>10,12,13</t>
  </si>
  <si>
    <t>12-1</t>
  </si>
  <si>
    <t>{role:-1},{state:-60016}
{id:-1},{id:-1},{id:-1},{id:-1},{id:-1}
{id:40059},{id:40083}</t>
  </si>
  <si>
    <t>熔岩噴發</t>
  </si>
  <si>
    <t>灼熱風暴</t>
  </si>
  <si>
    <t>12-2</t>
  </si>
  <si>
    <t>{role:-1},{state:-60016}
{id:-1},{id:-1},{id:-1},{id:-1},{id:-1}
{id:40053},{id:40053}</t>
  </si>
  <si>
    <t>12-3</t>
  </si>
  <si>
    <t>{role:-1},{state:-60016}
{id:-1},{id:-1},{id:-1},{id:-1},{id:-1}
{id:40053},{id:40083}</t>
  </si>
  <si>
    <t>12-4</t>
  </si>
  <si>
    <t>12-5</t>
  </si>
  <si>
    <t>12-6</t>
  </si>
  <si>
    <t>{role:-1},{state:-60016}
{id:-1},{id:-1},{id:-1},{id:-1},{id:-1}
{id:40053},{id:40083},{id:40053}</t>
  </si>
  <si>
    <t>12-7</t>
  </si>
  <si>
    <t>{role:-1},{state:-60016}
{id:-1},{id:-1},{id:-1},{id:-1},{id:-1}
{id:40083},{id:40059},{id:40082}</t>
  </si>
  <si>
    <t>12-8</t>
  </si>
  <si>
    <t>{role:-1},{state:-60016}
{id:-1},{id:-1},{id:-1},{id:-1},{id:-1}
{id:40082},{id:40059},{id:40059}</t>
  </si>
  <si>
    <t>2,7,9</t>
  </si>
  <si>
    <t>12-9</t>
  </si>
  <si>
    <t>{role:-1},{state:-60016}
{id:-1},{id:-1},{id:-1},{id:-1},{id:-1}
{id:40059},{id:40059},{id:40058}</t>
  </si>
  <si>
    <t>12-10</t>
  </si>
  <si>
    <t>{role:-1},{state:-60016}
{id:-1},{id:-1},{id:-1},{id:-1},{id:-1}
{id:40059},{id:40058},{id:40083}</t>
  </si>
  <si>
    <t>12-11</t>
  </si>
  <si>
    <t>{role:-1},{state:-60016}
{id:-1},{id:-1},{id:-1},{id:-1},{id:-1}
{id:40058},{id:40083},{id:40083}</t>
  </si>
  <si>
    <t>12-12</t>
  </si>
  <si>
    <t>12-13</t>
  </si>
  <si>
    <t>{role:-1},{state:-60016}
{id:-1},{id:-1},{id:-1},{id:-1},{id:-1}
{id:40059},{id:40059},{id:40082}</t>
  </si>
  <si>
    <t>12-14</t>
  </si>
  <si>
    <t>{role:-1},{state:-60016}
{id:-1},{id:-1},{id:-1},{id:-1},{id:-1}
{id:40053},{id:40059},{id:40059}</t>
  </si>
  <si>
    <t>12-15</t>
  </si>
  <si>
    <t>{role:-1},{state:-60016}
{id:-1},{id:-1},{id:-1},{id:-1},{id:-1}
{id:40059},{id:40083},{id:40058}</t>
  </si>
  <si>
    <t>12-16</t>
  </si>
  <si>
    <t>{role:-1},{state:-60016}
{id:-1},{id:-1},{id:-1},{id:-1},{id:-1}
{id:40082},{id:40053},{id:40053},{id:40059}</t>
  </si>
  <si>
    <t>12-17</t>
  </si>
  <si>
    <t>{role:-1},{state:-60016}
{id:-1},{id:-1},{id:-1},{id:-1},{id:-1}
{id:40082},{id:40058},{id:40082},{id:40053}</t>
  </si>
  <si>
    <t>12-18</t>
  </si>
  <si>
    <t>{role:-1},{state:-60016}
{id:-1},{id:-1},{id:-1},{id:-1},{id:-1}
{id:40053},{id:40053},{id:40053},{id:40058}</t>
  </si>
  <si>
    <t>12-19</t>
  </si>
  <si>
    <t>{role:-1},{state:-60016}
{id:-1},{id:-1},{id:-1},{id:-1},{id:-1}
{id:40053},{id:40059},{id:40053},{id:40083}</t>
  </si>
  <si>
    <t>12-20</t>
  </si>
  <si>
    <t>{role:-1},{state:-60016}
{id:-1},{id:-1},{id:-1},{id:-1},{id:-1}
{id:40059},{id:40053},{id:40083},{id:40053}</t>
  </si>
  <si>
    <t>12-21</t>
  </si>
  <si>
    <t>{role:-1},{state:-60016}
{id:-1},{id:-1},{id:-1},{id:-1},{id:-1}
{id:40058},{id:40058},{id:40058},{id:40082},{id:40059}</t>
  </si>
  <si>
    <t>2,5,12</t>
  </si>
  <si>
    <t>12-22</t>
  </si>
  <si>
    <t>{role:-1},{state:-60016}
{id:-1},{id:-1},{id:-1},{id:-1},{id:-1}
{id:40053},{id:40059},{id:40082},{id:40082},{id:40059}</t>
  </si>
  <si>
    <t>12-23</t>
  </si>
  <si>
    <t>{role:-1},{state:-60016}
{id:-1},{id:-1},{id:-1},{id:-1},{id:-1}
{id:40082},{id:40053},{id:40053},{id:40083},{id:40082}</t>
  </si>
  <si>
    <t>12-24</t>
  </si>
  <si>
    <t>{role:-1},{state:-60016}
{id:-1},{id:-1},{id:-1},{id:-1},{id:-1}
{id:40083},{id:40083},{id:40082},{id:40082},{id:40083}</t>
  </si>
  <si>
    <t>12-25</t>
  </si>
  <si>
    <t>{role:-1},{state:-60016}
{id:-1},{id:-1},{id:-1},{id:-1},{id:-1}
{id:40059},{id:40083},{id:40058},{id:40059},{id:40083}</t>
  </si>
  <si>
    <t>12-26</t>
  </si>
  <si>
    <t>{role:-1},{state:-60016}
{id:-1},{id:-1},{id:-1},{id:-1},{id:-1}
{id:40053},{id:40059},{id:40053},{id:40083},{id:40083}</t>
  </si>
  <si>
    <t>12-27</t>
  </si>
  <si>
    <t>{role:-1},{state:-60016}
{id:-1},{id:-1},{id:-1},{id:-1},{id:-1}
{id:40059},{id:40059},{id:40058},{id:40083},{id:40053}</t>
  </si>
  <si>
    <t>12-28</t>
  </si>
  <si>
    <t>{role:-1},{state:-60016}
{id:-1},{id:-1},{id:-1},{id:-1},{id:-1}
{id:40082},{id:40083},{id:40059},{id:40058},{id:40082}</t>
  </si>
  <si>
    <t>12-29</t>
  </si>
  <si>
    <t>{role:-1},{state:-60016}
{id:-1},{id:-1},{id:-1},{id:-1},{id:-1}
{id:40059},{id:40053},{id:40059},{id:40083},{id:40058}</t>
  </si>
  <si>
    <t>12-30</t>
  </si>
  <si>
    <t>{role:-1},{state:-60016}
{id:-1},{id:-1},{id:-1},{id:-1},{id:-1}
{id:40053},{id:40083},{id:40082},{id:40083},{id:40083}</t>
  </si>
  <si>
    <t>12-31</t>
  </si>
  <si>
    <t>{role:-1},{state:-60016}
{id:-1},{id:-1},{id:-1},{id:-1},{id:-1}
{id:40053},{id:40059},{id:40058},{id:40082},{id:40058}</t>
  </si>
  <si>
    <t>12-32</t>
  </si>
  <si>
    <t>{role:-1},{state:-60016}
{id:-1},{id:-1},{id:-1},{id:-1},{id:-1}
{id:40059},{id:40083},{id:40053},{id:40083},{id:40059}</t>
  </si>
  <si>
    <t>12-33</t>
  </si>
  <si>
    <t>{role:-1},{state:-60016}
{id:-1},{id:-1},{id:-1},{id:-1},{id:-1}
{id:40083},{id:40082},{id:40059},{id:40082},{id:40053}</t>
  </si>
  <si>
    <t>12-34</t>
  </si>
  <si>
    <t>{role:-1},{state:-60016}
{id:-1},{id:-1},{id:-1},{id:-1},{id:-1}
{id:40059},{id:40083},{id:40083},{id:40083},{id:40083}</t>
  </si>
  <si>
    <t>12-35</t>
  </si>
  <si>
    <t>{role:-1},{state:-60016}
{id:-1},{id:-1},{id:-1},{id:-1},{id:-1}
{id:40059},{id:40058},{id:40059},{id:40058},{id:40059}</t>
  </si>
  <si>
    <t>12-36</t>
  </si>
  <si>
    <t>{role:-1},{state:-60016}
{id:-1},{id:-1},{id:-1},{id:-1},{id:-1}
{id:40083},{id:40083},{id:40083},{id:40053},{id:40059}</t>
  </si>
  <si>
    <t>1,4,8</t>
  </si>
  <si>
    <t>12-37</t>
  </si>
  <si>
    <t>{role:-1},{state:-60016}
{id:-1},{id:-1},{id:-1},{id:-1},{id:-1}
{id:40082},{id:40058},{id:40083},{id:40083},{id:40059}</t>
  </si>
  <si>
    <t>12-38</t>
  </si>
  <si>
    <t>{role:-1},{state:-60016}
{id:-1},{id:-1},{id:-1},{id:-1},{id:-1}
{id:40058},{id:40058},{id:40059},{id:40059},{id:40082}</t>
  </si>
  <si>
    <t>3,6,12</t>
  </si>
  <si>
    <t>12-39</t>
  </si>
  <si>
    <t>{role:-1},{state:-60016}
{id:-1},{id:-1},{id:-1},{id:-1},{id:-1}
{id:40083},{id:40082},{id:40083},{id:40058},{id:40059}</t>
  </si>
  <si>
    <t>12-40</t>
  </si>
  <si>
    <t>{role:-1},{state:-60016}
{id:-1},{id:-1},{id:-1},{id:-1},{id:-1}
{id:40082},{id:40083},{id:40053},{id:40058},{id:40082}</t>
  </si>
  <si>
    <t>12-41</t>
  </si>
  <si>
    <t>{role:-1},{state:-60016}
{id:-1},{id:-1},{id:-1},{id:-1},{id:-1}
{id:40082},{id:40082},{id:40053},{id:40083},{id:40053}</t>
  </si>
  <si>
    <t>12-42</t>
  </si>
  <si>
    <t>{role:-1},{state:-60016}
{id:-1},{id:-1},{id:-1},{id:-1},{id:-1}
{id:40058},{id:40083},{id:40059},{id:40058},{id:40058}</t>
  </si>
  <si>
    <t>12-43</t>
  </si>
  <si>
    <t>{role:-1},{state:-60016}
{id:-1},{id:-1},{id:-1},{id:-1},{id:-1}
{id:40058},{id:40058},{id:40053},{id:40083},{id:40059}</t>
  </si>
  <si>
    <t>5,9,13</t>
  </si>
  <si>
    <t>12-44</t>
  </si>
  <si>
    <t>{role:-1},{state:-60016}
{id:-1},{id:-1},{id:-1},{id:-1},{id:-1}
{id:40083},{id:40059},{id:40059},{id:40059},{id:40059}</t>
  </si>
  <si>
    <t>2,7,10</t>
  </si>
  <si>
    <t>12-45</t>
  </si>
  <si>
    <t>{role:-1},{state:-60016}
{id:-1},{id:-1},{id:-1},{id:-1},{id:-1}
{id:40053},{id:40083},{id:40058},{id:40053},{id:40058}</t>
  </si>
  <si>
    <t>6,8,13</t>
  </si>
  <si>
    <t>5,7,8</t>
  </si>
  <si>
    <t>12-46</t>
  </si>
  <si>
    <t>{role:-1},{state:-60016}
{id:-1},{id:-1},{id:-1},{id:-1},{id:-1}
{id:40082},{id:40059},{id:40058},{id:40053},{id:40059}</t>
  </si>
  <si>
    <t>12-47</t>
  </si>
  <si>
    <t>{role:-1},{state:-60016}
{id:-1},{id:-1},{id:-1},{id:-1},{id:-1}
{id:40058},{id:40053},{id:40059},{id:40058},{id:40058}</t>
  </si>
  <si>
    <t>12-48</t>
  </si>
  <si>
    <t>{role:-1},{state:-60016}
{id:-1},{id:-1},{id:-1},{id:-1},{id:-1}
{id:40082},{id:40083},{id:40053},{id:40059},{id:40053}</t>
  </si>
  <si>
    <t>12-49</t>
  </si>
  <si>
    <t>{role:-1},{state:-60016}
{id:-1},{id:-1},{id:-1},{id:-1},{id:-1}
{id:40053},{id:40082},{id:40058},{id:40053},{id:40053}</t>
  </si>
  <si>
    <t>12-50</t>
  </si>
  <si>
    <t>{role:-1},{state:-60016}
{id:-1},{id:-1},{id:-1},{id:-1},{id:-1}
{id:50013},{id:40083},{id:40059},{id:40082},{id:40058}</t>
  </si>
  <si>
    <t>13-1</t>
  </si>
  <si>
    <t>{role:-1},{state:-60017}
{id:-1},{id:-1},{id:-1},{id:-1},{id:-1}
{id:40064},{id:40062}</t>
  </si>
  <si>
    <t>暴風雪</t>
  </si>
  <si>
    <t>寒氣侵襲</t>
  </si>
  <si>
    <t>13-2</t>
  </si>
  <si>
    <t>{role:-1},{state:-60017}
{id:-1},{id:-1},{id:-1},{id:-1},{id:-1}
{id:40084},{id:40064}</t>
  </si>
  <si>
    <t>13-3</t>
  </si>
  <si>
    <t>{role:-1},{state:-60017}
{id:-1},{id:-1},{id:-1},{id:-1},{id:-1}
{id:40062},{id:40061}</t>
  </si>
  <si>
    <t>13-4</t>
  </si>
  <si>
    <t>{role:-1},{state:-60017}
{id:-1},{id:-1},{id:-1},{id:-1},{id:-1}
{id:40084},{id:40061}</t>
  </si>
  <si>
    <t>13-5</t>
  </si>
  <si>
    <t>{role:-1},{state:-60017}
{id:-1},{id:-1},{id:-1},{id:-1},{id:-1}
{id:40084},{id:40084}</t>
  </si>
  <si>
    <t>13-6</t>
  </si>
  <si>
    <t>{role:-1},{state:-60017}
{id:-1},{id:-1},{id:-1},{id:-1},{id:-1}
{id:40064},{id:40051},{id:40062}</t>
  </si>
  <si>
    <t>13-7</t>
  </si>
  <si>
    <t>{role:-1},{state:-60017}
{id:-1},{id:-1},{id:-1},{id:-1},{id:-1}
{id:40064},{id:40084},{id:40051}</t>
  </si>
  <si>
    <t>13-8</t>
  </si>
  <si>
    <t>{role:-1},{state:-60017}
{id:-1},{id:-1},{id:-1},{id:-1},{id:-1}
{id:40062},{id:40051},{id:40084}</t>
  </si>
  <si>
    <t>13-9</t>
  </si>
  <si>
    <t>13-10</t>
  </si>
  <si>
    <t>{role:-1},{state:-60017}
{id:-1},{id:-1},{id:-1},{id:-1},{id:-1}
{id:40084},{id:40061},{id:40051}</t>
  </si>
  <si>
    <t>13-11</t>
  </si>
  <si>
    <t>{role:-1},{state:-60017}
{id:-1},{id:-1},{id:-1},{id:-1},{id:-1}
{id:40051},{id:40084},{id:40062}</t>
  </si>
  <si>
    <t>13-12</t>
  </si>
  <si>
    <t>{role:-1},{state:-60017}
{id:-1},{id:-1},{id:-1},{id:-1},{id:-1}
{id:40062},{id:40061},{id:40051}</t>
  </si>
  <si>
    <t>13-13</t>
  </si>
  <si>
    <t>{role:-1},{state:-60017}
{id:-1},{id:-1},{id:-1},{id:-1},{id:-1}
{id:40084},{id:40084},{id:40051}</t>
  </si>
  <si>
    <t>13-14</t>
  </si>
  <si>
    <t>{role:-1},{state:-60017}
{id:-1},{id:-1},{id:-1},{id:-1},{id:-1}
{id:40062},{id:40062},{id:40084}</t>
  </si>
  <si>
    <t>13-15</t>
  </si>
  <si>
    <t>{role:-1},{state:-60017}
{id:-1},{id:-1},{id:-1},{id:-1},{id:-1}
{id:40084},{id:40061},{id:40064}</t>
  </si>
  <si>
    <t>3,9,11</t>
  </si>
  <si>
    <t>6,9,13</t>
  </si>
  <si>
    <t>13-16</t>
  </si>
  <si>
    <t>{role:-1},{state:-60017}
{id:-1},{id:-1},{id:-1},{id:-1},{id:-1}
{id:40084},{id:40062},{id:40064},{id:40062}</t>
  </si>
  <si>
    <t>13-17</t>
  </si>
  <si>
    <t>{role:-1},{state:-60017}
{id:-1},{id:-1},{id:-1},{id:-1},{id:-1}
{id:40062},{id:40064},{id:40061},{id:40084}</t>
  </si>
  <si>
    <t>13-18</t>
  </si>
  <si>
    <t>{role:-1},{state:-60017}
{id:-1},{id:-1},{id:-1},{id:-1},{id:-1}
{id:40061},{id:40084},{id:40061},{id:40084}</t>
  </si>
  <si>
    <t>13-19</t>
  </si>
  <si>
    <t>{role:-1},{state:-60017}
{id:-1},{id:-1},{id:-1},{id:-1},{id:-1}
{id:40064},{id:40064},{id:40064},{id:40061}</t>
  </si>
  <si>
    <t>13-20</t>
  </si>
  <si>
    <t>{role:-1},{state:-60017}
{id:-1},{id:-1},{id:-1},{id:-1},{id:-1}
{id:40062},{id:40062},{id:40051},{id:40084}</t>
  </si>
  <si>
    <t>3,9,12</t>
  </si>
  <si>
    <t>13-21</t>
  </si>
  <si>
    <t>{role:-1},{state:-60017}
{id:-1},{id:-1},{id:-1},{id:-1},{id:-1}
{id:40064},{id:40064},{id:40061},{id:40064},{id:40084}</t>
  </si>
  <si>
    <t>8,10,12</t>
  </si>
  <si>
    <t>13-22</t>
  </si>
  <si>
    <t>{role:-1},{state:-60017}
{id:-1},{id:-1},{id:-1},{id:-1},{id:-1}
{id:40061},{id:40051},{id:40084},{id:40051},{id:40064}</t>
  </si>
  <si>
    <t>13-23</t>
  </si>
  <si>
    <t>{role:-1},{state:-60017}
{id:-1},{id:-1},{id:-1},{id:-1},{id:-1}
{id:40064},{id:40061},{id:40064},{id:40064},{id:40061}</t>
  </si>
  <si>
    <t>4,5,10</t>
  </si>
  <si>
    <t>13-24</t>
  </si>
  <si>
    <t>{role:-1},{state:-60017}
{id:-1},{id:-1},{id:-1},{id:-1},{id:-1}
{id:40051},{id:40064},{id:40064},{id:40064},{id:40064}</t>
  </si>
  <si>
    <t>2,5,7</t>
  </si>
  <si>
    <t>13-25</t>
  </si>
  <si>
    <t>{role:-1},{state:-60017}
{id:-1},{id:-1},{id:-1},{id:-1},{id:-1}
{id:40051},{id:40061},{id:40061},{id:40061},{id:40064}</t>
  </si>
  <si>
    <t>13-26</t>
  </si>
  <si>
    <t>{role:-1},{state:-60017}
{id:-1},{id:-1},{id:-1},{id:-1},{id:-1}
{id:40051},{id:40084},{id:40061},{id:40051},{id:40064}</t>
  </si>
  <si>
    <t>13-27</t>
  </si>
  <si>
    <t>{role:-1},{state:-60017}
{id:-1},{id:-1},{id:-1},{id:-1},{id:-1}
{id:40061},{id:40051},{id:40051},{id:40051},{id:40064}</t>
  </si>
  <si>
    <t>13-28</t>
  </si>
  <si>
    <t>{role:-1},{state:-60017}
{id:-1},{id:-1},{id:-1},{id:-1},{id:-1}
{id:40084},{id:40084},{id:40051},{id:40064},{id:40084}</t>
  </si>
  <si>
    <t>13-29</t>
  </si>
  <si>
    <t>{role:-1},{state:-60017}
{id:-1},{id:-1},{id:-1},{id:-1},{id:-1}
{id:40062},{id:40062},{id:40084},{id:40084},{id:40062}</t>
  </si>
  <si>
    <t>13-30</t>
  </si>
  <si>
    <t>{role:-1},{state:-60017}
{id:-1},{id:-1},{id:-1},{id:-1},{id:-1}
{id:40062},{id:40084},{id:40062},{id:40062},{id:40061}</t>
  </si>
  <si>
    <t>3,7,10</t>
  </si>
  <si>
    <t>13-31</t>
  </si>
  <si>
    <t>{role:-1},{state:-60017}
{id:-1},{id:-1},{id:-1},{id:-1},{id:-1}
{id:40061},{id:40084},{id:40061},{id:40064},{id:40051}</t>
  </si>
  <si>
    <t>13-32</t>
  </si>
  <si>
    <t>{role:-1},{state:-60017}
{id:-1},{id:-1},{id:-1},{id:-1},{id:-1}
{id:40061},{id:40061},{id:40062},{id:40061},{id:40061}</t>
  </si>
  <si>
    <t>13-33</t>
  </si>
  <si>
    <t>{role:-1},{state:-60017}
{id:-1},{id:-1},{id:-1},{id:-1},{id:-1}
{id:40051},{id:40084},{id:40064},{id:40064},{id:40051}</t>
  </si>
  <si>
    <t>13-34</t>
  </si>
  <si>
    <t>{role:-1},{state:-60017}
{id:-1},{id:-1},{id:-1},{id:-1},{id:-1}
{id:40064},{id:40064},{id:40062},{id:40062},{id:40084}</t>
  </si>
  <si>
    <t>13-35</t>
  </si>
  <si>
    <t>{role:-1},{state:-60017}
{id:-1},{id:-1},{id:-1},{id:-1},{id:-1}
{id:40061},{id:40051},{id:40064},{id:40051},{id:40064}</t>
  </si>
  <si>
    <t>13-36</t>
  </si>
  <si>
    <t>{role:-1},{state:-60017}
{id:-1},{id:-1},{id:-1},{id:-1},{id:-1}
{id:40064},{id:40064},{id:40084},{id:40061},{id:40061}</t>
  </si>
  <si>
    <t>13-37</t>
  </si>
  <si>
    <t>{role:-1},{state:-60017}
{id:-1},{id:-1},{id:-1},{id:-1},{id:-1}
{id:40051},{id:40064},{id:40061},{id:40061},{id:40084}</t>
  </si>
  <si>
    <t>13-38</t>
  </si>
  <si>
    <t>{role:-1},{state:-60017}
{id:-1},{id:-1},{id:-1},{id:-1},{id:-1}
{id:40064},{id:40051},{id:40061},{id:40064},{id:40064}</t>
  </si>
  <si>
    <t>13-39</t>
  </si>
  <si>
    <t>{role:-1},{state:-60017}
{id:-1},{id:-1},{id:-1},{id:-1},{id:-1}
{id:40062},{id:40051},{id:40064},{id:40064},{id:40061}</t>
  </si>
  <si>
    <t>4,6,10</t>
  </si>
  <si>
    <t>13-40</t>
  </si>
  <si>
    <t>{role:-1},{state:-60017}
{id:-1},{id:-1},{id:-1},{id:-1},{id:-1}
{id:40084},{id:40062},{id:40051},{id:40064},{id:40061}</t>
  </si>
  <si>
    <t>13-41</t>
  </si>
  <si>
    <t>{role:-1},{state:-60017}
{id:-1},{id:-1},{id:-1},{id:-1},{id:-1}
{id:40062},{id:40084},{id:40051},{id:40062},{id:40064}</t>
  </si>
  <si>
    <t>13-42</t>
  </si>
  <si>
    <t>{role:-1},{state:-60017}
{id:-1},{id:-1},{id:-1},{id:-1},{id:-1}
{id:40062},{id:40051},{id:40062},{id:40061},{id:40064}</t>
  </si>
  <si>
    <t>13-43</t>
  </si>
  <si>
    <t>{role:-1},{state:-60017}
{id:-1},{id:-1},{id:-1},{id:-1},{id:-1}
{id:40084},{id:40064},{id:40061},{id:40064},{id:40084}</t>
  </si>
  <si>
    <t>13-44</t>
  </si>
  <si>
    <t>{role:-1},{state:-60017}
{id:-1},{id:-1},{id:-1},{id:-1},{id:-1}
{id:40084},{id:40064},{id:40051},{id:40084},{id:40064}</t>
  </si>
  <si>
    <t>13-45</t>
  </si>
  <si>
    <t>{role:-1},{state:-60017}
{id:-1},{id:-1},{id:-1},{id:-1},{id:-1}
{id:40061},{id:40064},{id:40062},{id:40084},{id:40051}</t>
  </si>
  <si>
    <t>13-46</t>
  </si>
  <si>
    <t>{role:-1},{state:-60017}
{id:-1},{id:-1},{id:-1},{id:-1},{id:-1}
{id:40051},{id:40051},{id:40084},{id:40051},{id:40084}</t>
  </si>
  <si>
    <t>13-47</t>
  </si>
  <si>
    <t>{role:-1},{state:-60017}
{id:-1},{id:-1},{id:-1},{id:-1},{id:-1}
{id:40061},{id:40051},{id:40051},{id:40062},{id:40061}</t>
  </si>
  <si>
    <t>13-48</t>
  </si>
  <si>
    <t>{role:-1},{state:-60017}
{id:-1},{id:-1},{id:-1},{id:-1},{id:-1}
{id:40062},{id:40084},{id:40061},{id:40084},{id:40084}</t>
  </si>
  <si>
    <t>13-49</t>
  </si>
  <si>
    <t>{role:-1},{state:-60017}
{id:-1},{id:-1},{id:-1},{id:-1},{id:-1}
{id:40051},{id:40062},{id:40061},{id:40061},{id:40051}</t>
  </si>
  <si>
    <t>13-50</t>
  </si>
  <si>
    <t>{role:-1},{state:-60017}
{id:-1},{id:-1},{id:-1},{id:-1},{id:-1}
{id:50014},{id:40051},{id:40084},{id:40061},{id:40064}</t>
  </si>
  <si>
    <t>6,8,11</t>
  </si>
  <si>
    <t>14-1</t>
  </si>
  <si>
    <t>{role:-1},{state:-60018}
{id:-1},{id:-1},{id:-1},{id:-1},{id:-1}
{id:40060},{id:40056}</t>
  </si>
  <si>
    <t>亡靈低語</t>
  </si>
  <si>
    <t>黑暗籠罩</t>
  </si>
  <si>
    <t>14-2</t>
  </si>
  <si>
    <t>{role:-1},{state:-60018}
{id:-1},{id:-1},{id:-1},{id:-1},{id:-1}
{id:40060},{id:40085}</t>
  </si>
  <si>
    <t>7,8,10</t>
  </si>
  <si>
    <t>14-3</t>
  </si>
  <si>
    <t>{role:-1},{state:-60018}
{id:-1},{id:-1},{id:-1},{id:-1},{id:-1}
{id:40066},{id:40066}</t>
  </si>
  <si>
    <t>14-4</t>
  </si>
  <si>
    <t>{role:-1},{state:-60018}
{id:-1},{id:-1},{id:-1},{id:-1},{id:-1}
{id:40067},{id:40085}</t>
  </si>
  <si>
    <t>14-5</t>
  </si>
  <si>
    <t>{role:-1},{state:-60018}
{id:-1},{id:-1},{id:-1},{id:-1},{id:-1}
{id:40060},{id:40066}</t>
  </si>
  <si>
    <t>14-6</t>
  </si>
  <si>
    <t>{role:-1},{state:-60018}
{id:-1},{id:-1},{id:-1},{id:-1},{id:-1}
{id:40056},{id:40085},{id:40085}</t>
  </si>
  <si>
    <t>14-7</t>
  </si>
  <si>
    <t>{role:-1},{state:-60018}
{id:-1},{id:-1},{id:-1},{id:-1},{id:-1}
{id:40066},{id:40060},{id:40056}</t>
  </si>
  <si>
    <t>3,10</t>
  </si>
  <si>
    <t>14-8</t>
  </si>
  <si>
    <t>{role:-1},{state:-60018}
{id:-1},{id:-1},{id:-1},{id:-1},{id:-1}
{id:40056},{id:40060},{id:40067}</t>
  </si>
  <si>
    <t>14-9</t>
  </si>
  <si>
    <t>{role:-1},{state:-60018}
{id:-1},{id:-1},{id:-1},{id:-1},{id:-1}
{id:40056},{id:40066},{id:40060}</t>
  </si>
  <si>
    <t>2,4,6</t>
  </si>
  <si>
    <t>14-10</t>
  </si>
  <si>
    <t>14-11</t>
  </si>
  <si>
    <t>{role:-1},{state:-60018}
{id:-1},{id:-1},{id:-1},{id:-1},{id:-1}
{id:40066},{id:40085},{id:40066}</t>
  </si>
  <si>
    <t>14-12</t>
  </si>
  <si>
    <t>{role:-1},{state:-60018}
{id:-1},{id:-1},{id:-1},{id:-1},{id:-1}
{id:40066},{id:40067},{id:40056}</t>
  </si>
  <si>
    <t>14-13</t>
  </si>
  <si>
    <t>{role:-1},{state:-60018}
{id:-1},{id:-1},{id:-1},{id:-1},{id:-1}
{id:40060},{id:40085},{id:40066}</t>
  </si>
  <si>
    <t>14-14</t>
  </si>
  <si>
    <t>{role:-1},{state:-60018}
{id:-1},{id:-1},{id:-1},{id:-1},{id:-1}
{id:40056},{id:40085},{id:40056}</t>
  </si>
  <si>
    <t>3,10,11</t>
  </si>
  <si>
    <t>14-15</t>
  </si>
  <si>
    <t>{role:-1},{state:-60018}
{id:-1},{id:-1},{id:-1},{id:-1},{id:-1}
{id:40066},{id:40067},{id:40067}</t>
  </si>
  <si>
    <t>14-16</t>
  </si>
  <si>
    <t>{role:-1},{state:-60018}
{id:-1},{id:-1},{id:-1},{id:-1},{id:-1}
{id:40067},{id:40066},{id:40056},{id:40067}</t>
  </si>
  <si>
    <t>14-17</t>
  </si>
  <si>
    <t>{role:-1},{state:-60018}
{id:-1},{id:-1},{id:-1},{id:-1},{id:-1}
{id:40056},{id:40085},{id:40085},{id:40060}</t>
  </si>
  <si>
    <t>2,4,11</t>
  </si>
  <si>
    <t>14-18</t>
  </si>
  <si>
    <t>{role:-1},{state:-60018}
{id:-1},{id:-1},{id:-1},{id:-1},{id:-1}
{id:40056},{id:40060},{id:40085},{id:40085}</t>
  </si>
  <si>
    <t>14-19</t>
  </si>
  <si>
    <t>{role:-1},{state:-60018}
{id:-1},{id:-1},{id:-1},{id:-1},{id:-1}
{id:40067},{id:40067},{id:40067},{id:40056}</t>
  </si>
  <si>
    <t>14-20</t>
  </si>
  <si>
    <t>{role:-1},{state:-60018}
{id:-1},{id:-1},{id:-1},{id:-1},{id:-1}
{id:40056},{id:40085},{id:40056},{id:40060}</t>
  </si>
  <si>
    <t>14-21</t>
  </si>
  <si>
    <t>{role:-1},{state:-60018}
{id:-1},{id:-1},{id:-1},{id:-1},{id:-1}
{id:40085},{id:40056},{id:40085},{id:40060},{id:40060}</t>
  </si>
  <si>
    <t>14-22</t>
  </si>
  <si>
    <t>{role:-1},{state:-60018}
{id:-1},{id:-1},{id:-1},{id:-1},{id:-1}
{id:40085},{id:40066},{id:40067},{id:40060},{id:40060}</t>
  </si>
  <si>
    <t>14-23</t>
  </si>
  <si>
    <t>{role:-1},{state:-60018}
{id:-1},{id:-1},{id:-1},{id:-1},{id:-1}
{id:40067},{id:40066},{id:40067},{id:40060},{id:40066}</t>
  </si>
  <si>
    <t>14-24</t>
  </si>
  <si>
    <t>{role:-1},{state:-60018}
{id:-1},{id:-1},{id:-1},{id:-1},{id:-1}
{id:40066},{id:40060},{id:40056},{id:40066},{id:40056}</t>
  </si>
  <si>
    <t>14-25</t>
  </si>
  <si>
    <t>{role:-1},{state:-60018}
{id:-1},{id:-1},{id:-1},{id:-1},{id:-1}
{id:40066},{id:40056},{id:40066},{id:40066},{id:40060}</t>
  </si>
  <si>
    <t>5,12,13</t>
  </si>
  <si>
    <t>14-26</t>
  </si>
  <si>
    <t>{role:-1},{state:-60018}
{id:-1},{id:-1},{id:-1},{id:-1},{id:-1}
{id:40067},{id:40066},{id:40056},{id:40067},{id:40067}</t>
  </si>
  <si>
    <t>14-27</t>
  </si>
  <si>
    <t>{role:-1},{state:-60018}
{id:-1},{id:-1},{id:-1},{id:-1},{id:-1}
{id:40056},{id:40056},{id:40056},{id:40056},{id:40060}</t>
  </si>
  <si>
    <t>14-28</t>
  </si>
  <si>
    <t>{role:-1},{state:-60018}
{id:-1},{id:-1},{id:-1},{id:-1},{id:-1}
{id:40066},{id:40056},{id:40066},{id:40056},{id:40060}</t>
  </si>
  <si>
    <t>7,11,13</t>
  </si>
  <si>
    <t>14-29</t>
  </si>
  <si>
    <t>{role:-1},{state:-60018}
{id:-1},{id:-1},{id:-1},{id:-1},{id:-1}
{id:40060},{id:40056},{id:40056},{id:40056},{id:40067}</t>
  </si>
  <si>
    <t>14-30</t>
  </si>
  <si>
    <t>{role:-1},{state:-60018}
{id:-1},{id:-1},{id:-1},{id:-1},{id:-1}
{id:40056},{id:40056},{id:40056},{id:40085},{id:40060}</t>
  </si>
  <si>
    <t>14-31</t>
  </si>
  <si>
    <t>{role:-1},{state:-60018}
{id:-1},{id:-1},{id:-1},{id:-1},{id:-1}
{id:40066},{id:40085},{id:40066},{id:40066},{id:40085}</t>
  </si>
  <si>
    <t>1,6,9</t>
  </si>
  <si>
    <t>14-32</t>
  </si>
  <si>
    <t>{role:-1},{state:-60018}
{id:-1},{id:-1},{id:-1},{id:-1},{id:-1}
{id:40085},{id:40085},{id:40067},{id:40085},{id:40056}</t>
  </si>
  <si>
    <t>14-33</t>
  </si>
  <si>
    <t>{role:-1},{state:-60018}
{id:-1},{id:-1},{id:-1},{id:-1},{id:-1}
{id:40066},{id:40067},{id:40085},{id:40060},{id:40067}</t>
  </si>
  <si>
    <t>14-34</t>
  </si>
  <si>
    <t>{role:-1},{state:-60018}
{id:-1},{id:-1},{id:-1},{id:-1},{id:-1}
{id:40060},{id:40085},{id:40085},{id:40067},{id:40066}</t>
  </si>
  <si>
    <t>14-35</t>
  </si>
  <si>
    <t>{role:-1},{state:-60018}
{id:-1},{id:-1},{id:-1},{id:-1},{id:-1}
{id:40056},{id:40067},{id:40085},{id:40085},{id:40060}</t>
  </si>
  <si>
    <t>14-36</t>
  </si>
  <si>
    <t>{role:-1},{state:-60018}
{id:-1},{id:-1},{id:-1},{id:-1},{id:-1}
{id:40066},{id:40066},{id:40060},{id:40085},{id:40066}</t>
  </si>
  <si>
    <t>14-37</t>
  </si>
  <si>
    <t>{role:-1},{state:-60018}
{id:-1},{id:-1},{id:-1},{id:-1},{id:-1}
{id:40085},{id:40060},{id:40067},{id:40067},{id:40067}</t>
  </si>
  <si>
    <t>5,7,9</t>
  </si>
  <si>
    <t>14-38</t>
  </si>
  <si>
    <t>{role:-1},{state:-60018}
{id:-1},{id:-1},{id:-1},{id:-1},{id:-1}
{id:40060},{id:40060},{id:40067},{id:40056},{id:40085}</t>
  </si>
  <si>
    <t>14-39</t>
  </si>
  <si>
    <t>{role:-1},{state:-60018}
{id:-1},{id:-1},{id:-1},{id:-1},{id:-1}
{id:40060},{id:40060},{id:40066},{id:40056},{id:40067}</t>
  </si>
  <si>
    <t>14-40</t>
  </si>
  <si>
    <t>{role:-1},{state:-60018}
{id:-1},{id:-1},{id:-1},{id:-1},{id:-1}
{id:40067},{id:40066},{id:40067},{id:40056},{id:40066}</t>
  </si>
  <si>
    <t>14-41</t>
  </si>
  <si>
    <t>{role:-1},{state:-60018}
{id:-1},{id:-1},{id:-1},{id:-1},{id:-1}
{id:40085},{id:40060},{id:40060},{id:40067},{id:40056}</t>
  </si>
  <si>
    <t>14-42</t>
  </si>
  <si>
    <t>{role:-1},{state:-60018}
{id:-1},{id:-1},{id:-1},{id:-1},{id:-1}
{id:40060},{id:40085},{id:40085},{id:40056},{id:40067}</t>
  </si>
  <si>
    <t>14-43</t>
  </si>
  <si>
    <t>{role:-1},{state:-60018}
{id:-1},{id:-1},{id:-1},{id:-1},{id:-1}
{id:40067},{id:40066},{id:40085},{id:40067},{id:40060}</t>
  </si>
  <si>
    <t>14-44</t>
  </si>
  <si>
    <t>{role:-1},{state:-60018}
{id:-1},{id:-1},{id:-1},{id:-1},{id:-1}
{id:40060},{id:40085},{id:40056},{id:40066},{id:40067}</t>
  </si>
  <si>
    <t>1,8,11</t>
  </si>
  <si>
    <t>14-45</t>
  </si>
  <si>
    <t>{role:-1},{state:-60018}
{id:-1},{id:-1},{id:-1},{id:-1},{id:-1}
{id:40060},{id:40060},{id:40056},{id:40060},{id:40067}</t>
  </si>
  <si>
    <t>14-46</t>
  </si>
  <si>
    <t>{role:-1},{state:-60018}
{id:-1},{id:-1},{id:-1},{id:-1},{id:-1}
{id:40067},{id:40085},{id:40056},{id:40066},{id:40066}</t>
  </si>
  <si>
    <t>14-47</t>
  </si>
  <si>
    <t>{role:-1},{state:-60018}
{id:-1},{id:-1},{id:-1},{id:-1},{id:-1}
{id:40066},{id:40056},{id:40066},{id:40056},{id:40066}</t>
  </si>
  <si>
    <t>14-48</t>
  </si>
  <si>
    <t>{role:-1},{state:-60018}
{id:-1},{id:-1},{id:-1},{id:-1},{id:-1}
{id:40060},{id:40060},{id:40085},{id:40056},{id:40067}</t>
  </si>
  <si>
    <t>14-49</t>
  </si>
  <si>
    <t>{role:-1},{state:-60018}
{id:-1},{id:-1},{id:-1},{id:-1},{id:-1}
{id:40067},{id:40085},{id:40056},{id:40060},{id:40085}</t>
  </si>
  <si>
    <t>14-50</t>
  </si>
  <si>
    <t>{role:-1},{state:-60018}
{id:-1},{id:-1},{id:-1},{id:-1},{id:-1}
{id:50015},{id:40060},{id:40085},{id:40056},{id:40066}</t>
  </si>
  <si>
    <t>15-1</t>
  </si>
  <si>
    <t>{role:-1},{state:-60019}
{id:-1},{id:-1},{id:-1},{id:-1},{id:-1}
{id:40063},{id:40086}</t>
  </si>
  <si>
    <t>魔王威壓</t>
  </si>
  <si>
    <t>深淵絕望</t>
  </si>
  <si>
    <t>15-2</t>
  </si>
  <si>
    <t>{role:-1},{state:-60019}
{id:-1},{id:-1},{id:-1},{id:-1},{id:-1}
{id:40072},{id:40063}</t>
  </si>
  <si>
    <t>15-3</t>
  </si>
  <si>
    <t>{role:-1},{state:-60019}
{id:-1},{id:-1},{id:-1},{id:-1},{id:-1}
{id:40069},{id:40086}</t>
  </si>
  <si>
    <t>15-4</t>
  </si>
  <si>
    <t>{role:-1},{state:-60019}
{id:-1},{id:-1},{id:-1},{id:-1},{id:-1}
{id:40072},{id:40072}</t>
  </si>
  <si>
    <t>15-5</t>
  </si>
  <si>
    <t>15-6</t>
  </si>
  <si>
    <t>{role:-1},{state:-60019}
{id:-1},{id:-1},{id:-1},{id:-1},{id:-1}
{id:40087},{id:40069},{id:40063}</t>
  </si>
  <si>
    <t>15-7</t>
  </si>
  <si>
    <t>{role:-1},{state:-60019}
{id:-1},{id:-1},{id:-1},{id:-1},{id:-1}
{id:40072},{id:40072},{id:40063}</t>
  </si>
  <si>
    <t>15-8</t>
  </si>
  <si>
    <t>{role:-1},{state:-60019}
{id:-1},{id:-1},{id:-1},{id:-1},{id:-1}
{id:40087},{id:40087},{id:40072}</t>
  </si>
  <si>
    <t>15-9</t>
  </si>
  <si>
    <t>{role:-1},{state:-60019}
{id:-1},{id:-1},{id:-1},{id:-1},{id:-1}
{id:40086},{id:40069},{id:40069}</t>
  </si>
  <si>
    <t>15-10</t>
  </si>
  <si>
    <t>{role:-1},{state:-60019}
{id:-1},{id:-1},{id:-1},{id:-1},{id:-1}
{id:40063},{id:40086},{id:40069}</t>
  </si>
  <si>
    <t>15-11</t>
  </si>
  <si>
    <t>{role:-1},{state:-60019}
{id:-1},{id:-1},{id:-1},{id:-1},{id:-1}
{id:40063},{id:40087},{id:40086}</t>
  </si>
  <si>
    <t>2,5,10</t>
  </si>
  <si>
    <t>15-12</t>
  </si>
  <si>
    <t>{role:-1},{state:-60019}
{id:-1},{id:-1},{id:-1},{id:-1},{id:-1}
{id:40063},{id:40069},{id:40072}</t>
  </si>
  <si>
    <t>15-13</t>
  </si>
  <si>
    <t>{role:-1},{state:-60019}
{id:-1},{id:-1},{id:-1},{id:-1},{id:-1}
{id:40072},{id:40069},{id:40072}</t>
  </si>
  <si>
    <t>15-14</t>
  </si>
  <si>
    <t>{role:-1},{state:-60019}
{id:-1},{id:-1},{id:-1},{id:-1},{id:-1}
{id:40086},{id:40086},{id:40086}</t>
  </si>
  <si>
    <t>15-15</t>
  </si>
  <si>
    <t>{role:-1},{state:-60019}
{id:-1},{id:-1},{id:-1},{id:-1},{id:-1}
{id:40072},{id:40086},{id:40063}</t>
  </si>
  <si>
    <t>15-16</t>
  </si>
  <si>
    <t>{role:-1},{state:-60019}
{id:-1},{id:-1},{id:-1},{id:-1},{id:-1}
{id:40087},{id:40069},{id:40087},{id:40086}</t>
  </si>
  <si>
    <t>15-17</t>
  </si>
  <si>
    <t>{role:-1},{state:-60019}
{id:-1},{id:-1},{id:-1},{id:-1},{id:-1}
{id:40086},{id:40087},{id:40069},{id:40063}</t>
  </si>
  <si>
    <t>15-18</t>
  </si>
  <si>
    <t>{role:-1},{state:-60019}
{id:-1},{id:-1},{id:-1},{id:-1},{id:-1}
{id:40069},{id:40072},{id:40069},{id:40086}</t>
  </si>
  <si>
    <t>15-19</t>
  </si>
  <si>
    <t>{role:-1},{state:-60019}
{id:-1},{id:-1},{id:-1},{id:-1},{id:-1}
{id:40087},{id:40086},{id:40063},{id:40087}</t>
  </si>
  <si>
    <t>15-20</t>
  </si>
  <si>
    <t>{role:-1},{state:-60019}
{id:-1},{id:-1},{id:-1},{id:-1},{id:-1}
{id:40063},{id:40086},{id:40087},{id:40087}</t>
  </si>
  <si>
    <t>15-21</t>
  </si>
  <si>
    <t>{role:-1},{state:-60019}
{id:-1},{id:-1},{id:-1},{id:-1},{id:-1}
{id:40087},{id:40072},{id:40063},{id:40072},{id:40086}</t>
  </si>
  <si>
    <t>15-22</t>
  </si>
  <si>
    <t>{role:-1},{state:-60019}
{id:-1},{id:-1},{id:-1},{id:-1},{id:-1}
{id:40072},{id:40063},{id:40069},{id:40063},{id:40072}</t>
  </si>
  <si>
    <t>4,8,9</t>
  </si>
  <si>
    <t>15-23</t>
  </si>
  <si>
    <t>{role:-1},{state:-60019}
{id:-1},{id:-1},{id:-1},{id:-1},{id:-1}
{id:40086},{id:40086},{id:40063},{id:40063},{id:40072}</t>
  </si>
  <si>
    <t>15-24</t>
  </si>
  <si>
    <t>{role:-1},{state:-60019}
{id:-1},{id:-1},{id:-1},{id:-1},{id:-1}
{id:40069},{id:40069},{id:40087},{id:40086},{id:40087}</t>
  </si>
  <si>
    <t>15-25</t>
  </si>
  <si>
    <t>{role:-1},{state:-60019}
{id:-1},{id:-1},{id:-1},{id:-1},{id:-1}
{id:40072},{id:40072},{id:40087},{id:40087},{id:40087}</t>
  </si>
  <si>
    <t>15-26</t>
  </si>
  <si>
    <t>{role:-1},{state:-60019}
{id:-1},{id:-1},{id:-1},{id:-1},{id:-1}
{id:40069},{id:40072},{id:40063},{id:40072},{id:40086}</t>
  </si>
  <si>
    <t>15-27</t>
  </si>
  <si>
    <t>{role:-1},{state:-60019}
{id:-1},{id:-1},{id:-1},{id:-1},{id:-1}
{id:40086},{id:40086},{id:40069},{id:40069},{id:40063}</t>
  </si>
  <si>
    <t>15-28</t>
  </si>
  <si>
    <t>{role:-1},{state:-60019}
{id:-1},{id:-1},{id:-1},{id:-1},{id:-1}
{id:40072},{id:40086},{id:40072},{id:40063},{id:40087}</t>
  </si>
  <si>
    <t>15-29</t>
  </si>
  <si>
    <t>{role:-1},{state:-60019}
{id:-1},{id:-1},{id:-1},{id:-1},{id:-1}
{id:40063},{id:40072},{id:40086},{id:40086},{id:40086}</t>
  </si>
  <si>
    <t>15-30</t>
  </si>
  <si>
    <t>{role:-1},{state:-60019}
{id:-1},{id:-1},{id:-1},{id:-1},{id:-1}
{id:40087},{id:40086},{id:40072},{id:40063},{id:40086}</t>
  </si>
  <si>
    <t>15-31</t>
  </si>
  <si>
    <t>{role:-1},{state:-60019}
{id:-1},{id:-1},{id:-1},{id:-1},{id:-1}
{id:40087},{id:40069},{id:40086},{id:40086},{id:40087}</t>
  </si>
  <si>
    <t>15-32</t>
  </si>
  <si>
    <t>{role:-1},{state:-60019}
{id:-1},{id:-1},{id:-1},{id:-1},{id:-1}
{id:40069},{id:40072},{id:40069},{id:40072},{id:40072}</t>
  </si>
  <si>
    <t>15-33</t>
  </si>
  <si>
    <t>{role:-1},{state:-60019}
{id:-1},{id:-1},{id:-1},{id:-1},{id:-1}
{id:40087},{id:40069},{id:40072},{id:40063},{id:40069}</t>
  </si>
  <si>
    <t>15-34</t>
  </si>
  <si>
    <t>{role:-1},{state:-60019}
{id:-1},{id:-1},{id:-1},{id:-1},{id:-1}
{id:40086},{id:40072},{id:40087},{id:40069},{id:40069}</t>
  </si>
  <si>
    <t>15-35</t>
  </si>
  <si>
    <t>{role:-1},{state:-60019}
{id:-1},{id:-1},{id:-1},{id:-1},{id:-1}
{id:40069},{id:40087},{id:40087},{id:40063},{id:40086}</t>
  </si>
  <si>
    <t>15-36</t>
  </si>
  <si>
    <t>{role:-1},{state:-60019}
{id:-1},{id:-1},{id:-1},{id:-1},{id:-1}
{id:40069},{id:40086},{id:40087},{id:40072},{id:40072}</t>
  </si>
  <si>
    <t>15-37</t>
  </si>
  <si>
    <t>{role:-1},{state:-60019}
{id:-1},{id:-1},{id:-1},{id:-1},{id:-1}
{id:40086},{id:40087},{id:40069},{id:40069},{id:40086}</t>
  </si>
  <si>
    <t>15-38</t>
  </si>
  <si>
    <t>{role:-1},{state:-60019}
{id:-1},{id:-1},{id:-1},{id:-1},{id:-1}
{id:40072},{id:40069},{id:40072},{id:40063},{id:40072}</t>
  </si>
  <si>
    <t>15-39</t>
  </si>
  <si>
    <t>{role:-1},{state:-60019}
{id:-1},{id:-1},{id:-1},{id:-1},{id:-1}
{id:40087},{id:40063},{id:40072},{id:40072},{id:40069}</t>
  </si>
  <si>
    <t>15-40</t>
  </si>
  <si>
    <t>{role:-1},{state:-60019}
{id:-1},{id:-1},{id:-1},{id:-1},{id:-1}
{id:40086},{id:40069},{id:40063},{id:40069},{id:40087}</t>
  </si>
  <si>
    <t>15-41</t>
  </si>
  <si>
    <t>{role:-1},{state:-60019}
{id:-1},{id:-1},{id:-1},{id:-1},{id:-1}
{id:40069},{id:40086},{id:40086},{id:40072},{id:40086}</t>
  </si>
  <si>
    <t>3,7,13</t>
  </si>
  <si>
    <t>15-42</t>
  </si>
  <si>
    <t>{role:-1},{state:-60019}
{id:-1},{id:-1},{id:-1},{id:-1},{id:-1}
{id:40087},{id:40063},{id:40072},{id:40069},{id:40072}</t>
  </si>
  <si>
    <t>15-43</t>
  </si>
  <si>
    <t>{role:-1},{state:-60019}
{id:-1},{id:-1},{id:-1},{id:-1},{id:-1}
{id:40086},{id:40087},{id:40072},{id:40069},{id:40086}</t>
  </si>
  <si>
    <t>15-44</t>
  </si>
  <si>
    <t>{role:-1},{state:-60019}
{id:-1},{id:-1},{id:-1},{id:-1},{id:-1}
{id:40072},{id:40087},{id:40069},{id:40087},{id:40069}</t>
  </si>
  <si>
    <t>15-45</t>
  </si>
  <si>
    <t>{role:-1},{state:-60019}
{id:-1},{id:-1},{id:-1},{id:-1},{id:-1}
{id:40063},{id:40087},{id:40072},{id:40086},{id:40086}</t>
  </si>
  <si>
    <t>15-46</t>
  </si>
  <si>
    <t>{role:-1},{state:-60019}
{id:-1},{id:-1},{id:-1},{id:-1},{id:-1}
{id:40086},{id:40086},{id:40072},{id:40086},{id:40086}</t>
  </si>
  <si>
    <t>15-47</t>
  </si>
  <si>
    <t>{role:-1},{state:-60019}
{id:-1},{id:-1},{id:-1},{id:-1},{id:-1}
{id:40086},{id:40086},{id:40072},{id:40087},{id:40069}</t>
  </si>
  <si>
    <t>1,4,10</t>
  </si>
  <si>
    <t>15-48</t>
  </si>
  <si>
    <t>{role:-1},{state:-60019}
{id:-1},{id:-1},{id:-1},{id:-1},{id:-1}
{id:40072},{id:40069},{id:40063},{id:40069},{id:40086}</t>
  </si>
  <si>
    <t>15-49</t>
  </si>
  <si>
    <t>{role:-1},{state:-60019}
{id:-1},{id:-1},{id:-1},{id:-1},{id:-1}
{id:40069},{id:40069},{id:40069},{id:40063},{id:40087}</t>
  </si>
  <si>
    <t>15-50</t>
  </si>
  <si>
    <t>{role:-1},{state:-60020}
{id:-1},{id:-1},{id:-1},{id:-1},{id:-1}
{id:50000},{id:40063},{id:40072},{id:40086},{id:40069}</t>
  </si>
  <si>
    <t>godcharacter</t>
  </si>
  <si>
    <t>普通・限定「野獸」</t>
  </si>
  <si>
    <t>{role:-1},
{id:-1},{id:-1},{id:-1},{id:-1},{id:-1}, {id:40001},{id:40002},{id:40004},{id:40006},{id:40008}</t>
  </si>
  <si>
    <t>普通・限定「史萊姆」</t>
  </si>
  <si>
    <t>{role:-1},
{id:-1},{id:-1},{id:-1},{id:-1},{id:-1}, {id:40011},{id:40012},{id:40013},{id:40014},{id:40015}</t>
  </si>
  <si>
    <t>普通・限定「精靈元素」</t>
  </si>
  <si>
    <t>{role:-1},
{id:-1},{id:-1},{id:-1},{id:-1},{id:-1}, {id:40005},{id:40009},{id:40010},{id:40028},{id:40029}</t>
  </si>
  <si>
    <t>普通・限定「不死亡靈」</t>
  </si>
  <si>
    <t>{role:-1},
{id:-1},{id:-1},{id:-1},{id:-1},{id:-1}, {id:40023},{id:40043},{id:40050},{id:40054},{id:40055}</t>
  </si>
  <si>
    <t>普通・限定「魔族深淵」</t>
  </si>
  <si>
    <t>{role:-1},
{id:-1},{id:-1},{id:-1},{id:-1},{id:-1}, {id:40020},{id:40035},{id:40044},{id:40063},{id:40068}</t>
  </si>
  <si>
    <t>普通・限定「構裝傀儡」</t>
  </si>
  <si>
    <t>{role:-1},
{id:-1},{id:-1},{id:-1},{id:-1},{id:-1}, {id:40003},{id:40007},{id:40017},{id:40018},{id:40019}</t>
  </si>
  <si>
    <t>普通・限定「盜賊術士」</t>
  </si>
  <si>
    <t>{role:-1},
{id:-1},{id:-1},{id:-1},{id:-1},{id:-1}, {id:40022},{id:40025},{id:40027},{id:40032},{id:40037}</t>
  </si>
  <si>
    <t>普通・限定「騎士聖光」</t>
  </si>
  <si>
    <t>{role:-1},
{id:-1},{id:-1},{id:-1},{id:-1},{id:-1}, {id:40047},{id:40048},{id:40049},{id:40077},{id:50009}</t>
  </si>
  <si>
    <t>中等・限定「野獸」</t>
  </si>
  <si>
    <t>中等・限定「史萊姆」</t>
  </si>
  <si>
    <t>中等・限定「精靈元素」</t>
  </si>
  <si>
    <t>中等・限定「不死亡靈」</t>
  </si>
  <si>
    <t>中等・限定「魔族深淵」</t>
  </si>
  <si>
    <t>中等・限定「構裝傀儡」</t>
  </si>
  <si>
    <t>中等・限定「盜賊術士」</t>
  </si>
  <si>
    <t>中等・限定「騎士聖光」</t>
  </si>
  <si>
    <t>高級・限定「野獸」</t>
  </si>
  <si>
    <t>高級・限定「史萊姆」</t>
  </si>
  <si>
    <t>高級・限定「精靈元素」</t>
  </si>
  <si>
    <t>高級・限定「不死亡靈」</t>
  </si>
  <si>
    <t>高級・限定「魔族深淵」</t>
  </si>
  <si>
    <t>高級・限定「構裝傀儡」</t>
  </si>
  <si>
    <t>高級・限定「盜賊術士」</t>
  </si>
  <si>
    <t>高級・限定「騎士聖光」</t>
  </si>
  <si>
    <t>惡夢・限定「野獸」</t>
  </si>
  <si>
    <t>惡夢・限定「史萊姆」</t>
  </si>
  <si>
    <t>惡夢・限定「精靈元素」</t>
  </si>
  <si>
    <t>惡夢・限定「不死亡靈」</t>
  </si>
  <si>
    <t>惡夢・限定「魔族深淵」</t>
  </si>
  <si>
    <t>惡夢・限定「構裝傀儡」</t>
  </si>
  <si>
    <t>惡夢・限定「盜賊術士」</t>
  </si>
  <si>
    <t>惡夢・限定「騎士聖光」</t>
  </si>
  <si>
    <t>連續3wave</t>
  </si>
  <si>
    <t>{role:-1},
{id:-1},{id:-1},{id:-1},{id:-1},{id:-1}
{id:40042,level:20,wave="1"},{id:40020,level:20,wave="1"},{id:40051,level:20,wave="1"},{id:40084,level:20,wave="1"},{id:40007,level:20,wave="1"}
{id:40042,level:20,wave="2"},{id:40020,level:20,wave="2"},{id:40051,level:20,wave="2"},{id:40084,level:20,wave="2"},{id:40007,level:20,wave="2"}
{id:40042,level:20,wave="3"},{id:40020,level:20,wave="3"},{id:40051,level:20,wave="3"},{id:40084,level:20,wave="3"},{id:40007,level:20,wave="3"}</t>
  </si>
  <si>
    <t>2003,2004</t>
  </si>
  <si>
    <t>連續5wave</t>
  </si>
  <si>
    <t>{role:-1},
{id:-1},{id:-1},{id:-1},{id:-1},{id:-1}
{id:40010,level:30,wave="1"},{id:40069,level:30,wave="1"},{id:40013,level:30,wave="1"},{id:40047,level:30,wave="1"},{id:40075,level:30,wave="1"}
{id:40010,level:30,wave="2"},{id:40069,level:30,wave="2"},{id:40013,level:30,wave="2"},{id:40047,level:30,wave="2"},{id:40075,level:30,wave="2"}
{id:40010,level:30,wave="3"},{id:40069,level:30,wave="3"},{id:40013,level:30,wave="3"},{id:40047,level:30,wave="3"},{id:40075,level:30,wave="3"}
{id:40010,level:30,wave="4"},{id:40069,level:30,wave="4"},{id:40013,level:30,wave="4"},{id:40047,level:30,wave="4"},{id:40075,level:30,wave="4"}
{id:40010,level:30,wave="5"},{id:40069,level:30,wave="5"},{id:40013,level:30,wave="5"},{id:40047,level:30,wave="5"},{id:40075,level:30,wave="5"}</t>
  </si>
  <si>
    <t>連續7wave</t>
  </si>
  <si>
    <t>{role:-1},
{id:-1},{id:-1},{id:-1},{id:-1},{id:-1}
{id:40008,level:40,wave="1"},{id:40065,level:40,wave="1"},{id:40028,level:40,wave="1"},{id:40005,level:40,wave="1"},{id:40012,level:40,wave="1"}
{id:40008,level:40,wave="2"},{id:40065,level:40,wave="2"},{id:40028,level:40,wave="2"},{id:40005,level:40,wave="2"},{id:40012,level:40,wave="2"}
{id:40008,level:40,wave="3"},{id:40065,level:40,wave="3"},{id:40028,level:40,wave="3"},{id:40005,level:40,wave="3"},{id:40012,level:40,wave="3"}
{id:40008,level:40,wave="4"},{id:40065,level:40,wave="4"},{id:40028,level:40,wave="4"},{id:40005,level:40,wave="4"},{id:40012,level:40,wave="4"}
{id:40008,level:40,wave="5"},{id:40065,level:40,wave="5"},{id:40028,level:40,wave="5"},{id:40005,level:40,wave="5"},{id:40012,level:40,wave="5"}
{id:40008,level:40,wave="6"},{id:40065,level:40,wave="6"},{id:40028,level:40,wave="6"},{id:40005,level:40,wave="6"},{id:40012,level:40,wave="6"}
{id:40008,level:40,wave="7"},{id:40065,level:40,wave="7"},{id:40028,level:40,wave="7"},{id:40005,level:40,wave="7"},{id:40012,level:40,wave="7"}</t>
  </si>
  <si>
    <t>連續9wave</t>
  </si>
  <si>
    <t>{role:-1},
{id:-1},{id:-1},{id:-1},{id:-1},{id:-1}
{id:40056,level:50,wave="1"},{id:40054,level:50,wave="1"},{id:40009,level:50,wave="1"},{id:40031,level:50,wave="1"},{id:40012,level:50,wave="1"}
{id:40056,level:50,wave="2"},{id:40054,level:50,wave="2"},{id:40009,level:50,wave="2"},{id:40031,level:50,wave="2"},{id:40012,level:50,wave="2"}
{id:40056,level:50,wave="3"},{id:40054,level:50,wave="3"},{id:40009,level:50,wave="3"},{id:40031,level:50,wave="3"},{id:40012,level:50,wave="3"}
{id:40056,level:50,wave="4"},{id:40054,level:50,wave="4"},{id:40009,level:50,wave="4"},{id:40031,level:50,wave="4"},{id:40012,level:50,wave="4"}
{id:40056,level:50,wave="5"},{id:40054,level:50,wave="5"},{id:40009,level:50,wave="5"},{id:40031,level:50,wave="5"},{id:40012,level:50,wave="5"}
{id:40056,level:50,wave="6"},{id:40054,level:50,wave="6"},{id:40009,level:50,wave="6"},{id:40031,level:50,wave="6"},{id:40012,level:50,wave="6"}
{id:40056,level:50,wave="7"},{id:40054,level:50,wave="7"},{id:40009,level:50,wave="7"},{id:40031,level:50,wave="7"},{id:40012,level:50,wave="7"}
{id:40056,level:50,wave="8"},{id:40054,level:50,wave="8"},{id:40009,level:50,wave="8"},{id:40031,level:50,wave="8"},{id:40012,level:50,wave="8"}
{id:40056,level:50,wave="9"},{id:40054,level:50,wave="9"},{id:40009,level:50,wave="9"},{id:40031,level:50,wave="9"},{id:40012,level:50,wave="9"}</t>
  </si>
  <si>
    <t>連續11wave</t>
  </si>
  <si>
    <t>{role:-1},
{id:-1},{id:-1},{id:-1},{id:-1},{id:-1}
{id:40071,level:60,wave="1"},{id:40055,level:60,wave="1"},{id:40008,level:60,wave="1"},{id:40073,level:60,wave="1"},{id:40016,level:60,wave="1"}
{id:40071,level:60,wave="2"},{id:40055,level:60,wave="2"},{id:40008,level:60,wave="2"},{id:40073,level:60,wave="2"},{id:40016,level:60,wave="2"}
{id:40071,level:60,wave="3"},{id:40055,level:60,wave="3"},{id:40008,level:60,wave="3"},{id:40073,level:60,wave="3"},{id:40016,level:60,wave="3"}
{id:40071,level:60,wave="4"},{id:40055,level:60,wave="4"},{id:40008,level:60,wave="4"},{id:40073,level:60,wave="4"},{id:40016,level:60,wave="4"}
{id:40071,level:60,wave="5"},{id:40055,level:60,wave="5"},{id:40008,level:60,wave="5"},{id:40073,level:60,wave="5"},{id:40016,level:60,wave="5"}
{id:40071,level:60,wave="6"},{id:40055,level:60,wave="6"},{id:40008,level:60,wave="6"},{id:40073,level:60,wave="6"},{id:40016,level:60,wave="6"}
{id:40071,level:60,wave="7"},{id:40055,level:60,wave="7"},{id:40008,level:60,wave="7"},{id:40073,level:60,wave="7"},{id:40016,level:60,wave="7"}
{id:40071,level:60,wave="8"},{id:40055,level:60,wave="8"},{id:40008,level:60,wave="8"},{id:40073,level:60,wave="8"},{id:40016,level:60,wave="8"}
{id:40071,level:60,wave="9"},{id:40055,level:60,wave="9"},{id:40008,level:60,wave="9"},{id:40073,level:60,wave="9"},{id:40016,level:60,wave="9"}
{id:40071,level:60,wave="10"},{id:40055,level:60,wave="10"},{id:40008,level:60,wave="10"},{id:40073,level:60,wave="10"},{id:40016,level:60,wave="10"}
{id:40071,level:60,wave="11"},{id:40055,level:60,wave="11"},{id:40008,level:60,wave="11"},{id:40073,level:60,wave="11"},{id:40016,level:60,wave="11"}</t>
  </si>
  <si>
    <t>連續13wave</t>
  </si>
  <si>
    <t>{role:-1},
{id:-1},{id:-1},{id:-1},{id:-1},{id:-1}
{id:40029,level:70,wave="1"},{id:40081,level:70,wave="1"},{id:40075,level:70,wave="1"},{id:40008,level:70,wave="1"},{id:40074,level:70,wave="1"}
{id:40029,level:70,wave="2"},{id:40081,level:70,wave="2"},{id:40075,level:70,wave="2"},{id:40008,level:70,wave="2"},{id:40074,level:70,wave="2"}
{id:40029,level:70,wave="3"},{id:40081,level:70,wave="3"},{id:40075,level:70,wave="3"},{id:40008,level:70,wave="3"},{id:40074,level:70,wave="3"}
{id:40029,level:70,wave="4"},{id:40081,level:70,wave="4"},{id:40075,level:70,wave="4"},{id:40008,level:70,wave="4"},{id:40074,level:70,wave="4"}
{id:40029,level:70,wave="5"},{id:40081,level:70,wave="5"},{id:40075,level:70,wave="5"},{id:40008,level:70,wave="5"},{id:40074,level:70,wave="5"}
{id:40029,level:70,wave="6"},{id:40081,level:70,wave="6"},{id:40075,level:70,wave="6"},{id:40008,level:70,wave="6"},{id:40074,level:70,wave="6"}
{id:40029,level:70,wave="7"},{id:40081,level:70,wave="7"},{id:40075,level:70,wave="7"},{id:40008,level:70,wave="7"},{id:40074,level:70,wave="7"}
{id:40029,level:70,wave="8"},{id:40081,level:70,wave="8"},{id:40075,level:70,wave="8"},{id:40008,level:70,wave="8"},{id:40074,level:70,wave="8"}
{id:40029,level:70,wave="9"},{id:40081,level:70,wave="9"},{id:40075,level:70,wave="9"},{id:40008,level:70,wave="9"},{id:40074,level:70,wave="9"}
{id:40029,level:70,wave="10"},{id:40081,level:70,wave="10"},{id:40075,level:70,wave="10"},{id:40008,level:70,wave="10"},{id:40074,level:70,wave="10"}
{id:40029,level:70,wave="11"},{id:40081,level:70,wave="11"},{id:40075,level:70,wave="11"},{id:40008,level:70,wave="11"},{id:40074,level:70,wave="11"}
{id:40029,level:70,wave="12"},{id:40081,level:70,wave="12"},{id:40075,level:70,wave="12"},{id:40008,level:70,wave="12"},{id:40074,level:70,wave="12"}
{id:40029,level:70,wave="13"},{id:40081,level:70,wave="13"},{id:40075,level:70,wave="13"},{id:40008,level:70,wave="13"},{id:40074,level:70,wave="13"}</t>
  </si>
  <si>
    <t>連續15wave</t>
  </si>
  <si>
    <t>{role:-1},
{id:-1},{id:-1},{id:-1},{id:-1},{id:-1}
{id:40075,level:80,wave="1"},{id:40051,level:80,wave="1"},{id:40007,level:80,wave="1"},{id:40029,level:80,wave="1"},{id:40006,level:80,wave="1"}
{id:40075,level:80,wave="2"},{id:40051,level:80,wave="2"},{id:40007,level:80,wave="2"},{id:40029,level:80,wave="2"},{id:40006,level:80,wave="2"}
{id:40075,level:80,wave="3"},{id:40051,level:80,wave="3"},{id:40007,level:80,wave="3"},{id:40029,level:80,wave="3"},{id:40006,level:80,wave="3"}
{id:40075,level:80,wave="4"},{id:40051,level:80,wave="4"},{id:40007,level:80,wave="4"},{id:40029,level:80,wave="4"},{id:40006,level:80,wave="4"}
{id:40075,level:80,wave="5"},{id:40051,level:80,wave="5"},{id:40007,level:80,wave="5"},{id:40029,level:80,wave="5"},{id:40006,level:80,wave="5"}
{id:40075,level:80,wave="6"},{id:40051,level:80,wave="6"},{id:40007,level:80,wave="6"},{id:40029,level:80,wave="6"},{id:40006,level:80,wave="6"}
{id:40075,level:80,wave="7"},{id:40051,level:80,wave="7"},{id:40007,level:80,wave="7"},{id:40029,level:80,wave="7"},{id:40006,level:80,wave="7"}
{id:40075,level:80,wave="8"},{id:40051,level:80,wave="8"},{id:40007,level:80,wave="8"},{id:40029,level:80,wave="8"},{id:40006,level:80,wave="8"}
{id:40075,level:80,wave="9"},{id:40051,level:80,wave="9"},{id:40007,level:80,wave="9"},{id:40029,level:80,wave="9"},{id:40006,level:80,wave="9"}
{id:40075,level:80,wave="10"},{id:40051,level:80,wave="10"},{id:40007,level:80,wave="10"},{id:40029,level:80,wave="10"},{id:40006,level:80,wave="10"}
{id:40075,level:80,wave="11"},{id:40051,level:80,wave="11"},{id:40007,level:80,wave="11"},{id:40029,level:80,wave="11"},{id:40006,level:80,wave="11"}
{id:40075,level:80,wave="12"},{id:40051,level:80,wave="12"},{id:40007,level:80,wave="12"},{id:40029,level:80,wave="12"},{id:40006,level:80,wave="12"}
{id:40075,level:80,wave="13"},{id:40051,level:80,wave="13"},{id:40007,level:80,wave="13"},{id:40029,level:80,wave="13"},{id:40006,level:80,wave="13"}
{id:40075,level:80,wave="14"},{id:40051,level:80,wave="14"},{id:40007,level:80,wave="14"},{id:40029,level:80,wave="14"},{id:40006,level:80,wave="14"}
{id:40075,level:80,wave="15"},{id:40051,level:80,wave="15"},{id:40007,level:80,wave="15"},{id:40029,level:80,wave="15"},{id:40006,level:80,wave="15"}</t>
  </si>
  <si>
    <t>連續17wave</t>
  </si>
  <si>
    <t>{role:-1},
{id:-1},{id:-1},{id:-1},{id:-1},{id:-1}
{id:40072,level:90,wave="1"},{id:40018,level:90,wave="1"},{id:40038,level:90,wave="1"},{id:40054,level:90,wave="1"},{id:40019,level:90,wave="1"}
{id:40072,level:90,wave="2"},{id:40018,level:90,wave="2"},{id:40038,level:90,wave="2"},{id:40054,level:90,wave="2"},{id:40019,level:90,wave="2"}
{id:40072,level:90,wave="3"},{id:40018,level:90,wave="3"},{id:40038,level:90,wave="3"},{id:40054,level:90,wave="3"},{id:40019,level:90,wave="3"}
{id:40072,level:90,wave="4"},{id:40018,level:90,wave="4"},{id:40038,level:90,wave="4"},{id:40054,level:90,wave="4"},{id:40019,level:90,wave="4"}
{id:40072,level:90,wave="5"},{id:40018,level:90,wave="5"},{id:40038,level:90,wave="5"},{id:40054,level:90,wave="5"},{id:40019,level:90,wave="5"}
{id:40072,level:90,wave="6"},{id:40018,level:90,wave="6"},{id:40038,level:90,wave="6"},{id:40054,level:90,wave="6"},{id:40019,level:90,wave="6"}
{id:40072,level:90,wave="7"},{id:40018,level:90,wave="7"},{id:40038,level:90,wave="7"},{id:40054,level:90,wave="7"},{id:40019,level:90,wave="7"}
{id:40072,level:90,wave="8"},{id:40018,level:90,wave="8"},{id:40038,level:90,wave="8"},{id:40054,level:90,wave="8"},{id:40019,level:90,wave="8"}
{id:40072,level:90,wave="9"},{id:40018,level:90,wave="9"},{id:40038,level:90,wave="9"},{id:40054,level:90,wave="9"},{id:40019,level:90,wave="9"}
{id:40072,level:90,wave="10"},{id:40018,level:90,wave="10"},{id:40038,level:90,wave="10"},{id:40054,level:90,wave="10"},{id:40019,level:90,wave="10"}
{id:40072,level:90,wave="11"},{id:40018,level:90,wave="11"},{id:40038,level:90,wave="11"},{id:40054,level:90,wave="11"},{id:40019,level:90,wave="11"}
{id:40072,level:90,wave="12"},{id:40018,level:90,wave="12"},{id:40038,level:90,wave="12"},{id:40054,level:90,wave="12"},{id:40019,level:90,wave="12"}
{id:40072,level:90,wave="13"},{id:40018,level:90,wave="13"},{id:40038,level:90,wave="13"},{id:40054,level:90,wave="13"},{id:40019,level:90,wave="13"}
{id:40072,level:90,wave="14"},{id:40018,level:90,wave="14"},{id:40038,level:90,wave="14"},{id:40054,level:90,wave="14"},{id:40019,level:90,wave="14"}
{id:40072,level:90,wave="15"},{id:40018,level:90,wave="15"},{id:40038,level:90,wave="15"},{id:40054,level:90,wave="15"},{id:40019,level:90,wave="15"}
{id:40072,level:90,wave="16"},{id:40018,level:90,wave="16"},{id:40038,level:90,wave="16"},{id:40054,level:90,wave="16"},{id:40019,level:90,wave="16"}
{id:40072,level:90,wave="17"},{id:40018,level:90,wave="17"},{id:40038,level:90,wave="17"},{id:40054,level:90,wave="17"},{id:40019,level:90,wave="17"}</t>
  </si>
  <si>
    <t>連續19wave</t>
  </si>
  <si>
    <t>{role:-1},
{id:-1},{id:-1},{id:-1},{id:-1},{id:-1}
{id:40070,level:100,wave="1"},{id:40016,level:100,wave="1"},{id:40074,level:100,wave="1"},{id:40040,level:100,wave="1"},{id:40072,level:100,wave="1"}
{id:40070,level:100,wave="2"},{id:40016,level:100,wave="2"},{id:40074,level:100,wave="2"},{id:40040,level:100,wave="2"},{id:40072,level:100,wave="2"}
{id:40070,level:100,wave="3"},{id:40016,level:100,wave="3"},{id:40074,level:100,wave="3"},{id:40040,level:100,wave="3"},{id:40072,level:100,wave="3"}
{id:40070,level:100,wave="4"},{id:40016,level:100,wave="4"},{id:40074,level:100,wave="4"},{id:40040,level:100,wave="4"},{id:40072,level:100,wave="4"}
{id:40070,level:100,wave="5"},{id:40016,level:100,wave="5"},{id:40074,level:100,wave="5"},{id:40040,level:100,wave="5"},{id:40072,level:100,wave="5"}
{id:40070,level:100,wave="6"},{id:40016,level:100,wave="6"},{id:40074,level:100,wave="6"},{id:40040,level:100,wave="6"},{id:40072,level:100,wave="6"}
{id:40070,level:100,wave="7"},{id:40016,level:100,wave="7"},{id:40074,level:100,wave="7"},{id:40040,level:100,wave="7"},{id:40072,level:100,wave="7"}
{id:40070,level:100,wave="8"},{id:40016,level:100,wave="8"},{id:40074,level:100,wave="8"},{id:40040,level:100,wave="8"},{id:40072,level:100,wave="8"}
{id:40070,level:100,wave="9"},{id:40016,level:100,wave="9"},{id:40074,level:100,wave="9"},{id:40040,level:100,wave="9"},{id:40072,level:100,wave="9"}
{id:40070,level:100,wave="10"},{id:40016,level:100,wave="10"},{id:40074,level:100,wave="10"},{id:40040,level:100,wave="10"},{id:40072,level:100,wave="10"}
{id:40070,level:100,wave="11"},{id:40016,level:100,wave="11"},{id:40074,level:100,wave="11"},{id:40040,level:100,wave="11"},{id:40072,level:100,wave="11"}
{id:40070,level:100,wave="12"},{id:40016,level:100,wave="12"},{id:40074,level:100,wave="12"},{id:40040,level:100,wave="12"},{id:40072,level:100,wave="12"}
{id:40070,level:100,wave="13"},{id:40016,level:100,wave="13"},{id:40074,level:100,wave="13"},{id:40040,level:100,wave="13"},{id:40072,level:100,wave="13"}
{id:40070,level:100,wave="14"},{id:40016,level:100,wave="14"},{id:40074,level:100,wave="14"},{id:40040,level:100,wave="14"},{id:40072,level:100,wave="14"}
{id:40070,level:100,wave="15"},{id:40016,level:100,wave="15"},{id:40074,level:100,wave="15"},{id:40040,level:100,wave="15"},{id:40072,level:100,wave="15"}
{id:40070,level:100,wave="16"},{id:40016,level:100,wave="16"},{id:40074,level:100,wave="16"},{id:40040,level:100,wave="16"},{id:40072,level:100,wave="16"}
{id:40070,level:100,wave="17"},{id:40016,level:100,wave="17"},{id:40074,level:100,wave="17"},{id:40040,level:100,wave="17"},{id:40072,level:100,wave="17"}
{id:40070,level:100,wave="18"},{id:40016,level:100,wave="18"},{id:40074,level:100,wave="18"},{id:40040,level:100,wave="18"},{id:40072,level:100,wave="18"}
{id:40070,level:100,wave="19"},{id:40016,level:100,wave="19"},{id:40074,level:100,wave="19"},{id:40040,level:100,wave="19"},{id:40072,level:100,wave="19"}</t>
  </si>
  <si>
    <t>連續21wave</t>
  </si>
  <si>
    <t>{role:-1},
{id:-1},{id:-1},{id:-1},{id:-1},{id:-1}
{id:40024,level:110,wave="1"},{id:40014,level:110,wave="1"},{id:40075,level:110,wave="1"},{id:40074,level:110,wave="1"},{id:40082,level:110,wave="1"}
{id:40024,level:110,wave="2"},{id:40014,level:110,wave="2"},{id:40075,level:110,wave="2"},{id:40074,level:110,wave="2"},{id:40082,level:110,wave="2"}
{id:40024,level:110,wave="3"},{id:40014,level:110,wave="3"},{id:40075,level:110,wave="3"},{id:40074,level:110,wave="3"},{id:40082,level:110,wave="3"}
{id:40024,level:110,wave="4"},{id:40014,level:110,wave="4"},{id:40075,level:110,wave="4"},{id:40074,level:110,wave="4"},{id:40082,level:110,wave="4"}
{id:40024,level:110,wave="5"},{id:40014,level:110,wave="5"},{id:40075,level:110,wave="5"},{id:40074,level:110,wave="5"},{id:40082,level:110,wave="5"}
{id:40024,level:110,wave="6"},{id:40014,level:110,wave="6"},{id:40075,level:110,wave="6"},{id:40074,level:110,wave="6"},{id:40082,level:110,wave="6"}
{id:40024,level:110,wave="7"},{id:40014,level:110,wave="7"},{id:40075,level:110,wave="7"},{id:40074,level:110,wave="7"},{id:40082,level:110,wave="7"}
{id:40024,level:110,wave="8"},{id:40014,level:110,wave="8"},{id:40075,level:110,wave="8"},{id:40074,level:110,wave="8"},{id:40082,level:110,wave="8"}
{id:40024,level:110,wave="9"},{id:40014,level:110,wave="9"},{id:40075,level:110,wave="9"},{id:40074,level:110,wave="9"},{id:40082,level:110,wave="9"}
{id:40024,level:110,wave="10"},{id:40014,level:110,wave="10"},{id:40075,level:110,wave="10"},{id:40074,level:110,wave="10"},{id:40082,level:110,wave="10"}
{id:40024,level:110,wave="11"},{id:40014,level:110,wave="11"},{id:40075,level:110,wave="11"},{id:40074,level:110,wave="11"},{id:40082,level:110,wave="11"}
{id:40024,level:110,wave="12"},{id:40014,level:110,wave="12"},{id:40075,level:110,wave="12"},{id:40074,level:110,wave="12"},{id:40082,level:110,wave="12"}
{id:40024,level:110,wave="13"},{id:40014,level:110,wave="13"},{id:40075,level:110,wave="13"},{id:40074,level:110,wave="13"},{id:40082,level:110,wave="13"}
{id:40024,level:110,wave="14"},{id:40014,level:110,wave="14"},{id:40075,level:110,wave="14"},{id:40074,level:110,wave="14"},{id:40082,level:110,wave="14"}
{id:40024,level:110,wave="15"},{id:40014,level:110,wave="15"},{id:40075,level:110,wave="15"},{id:40074,level:110,wave="15"},{id:40082,level:110,wave="15"}
{id:40024,level:110,wave="16"},{id:40014,level:110,wave="16"},{id:40075,level:110,wave="16"},{id:40074,level:110,wave="16"},{id:40082,level:110,wave="16"}
{id:40024,level:110,wave="17"},{id:40014,level:110,wave="17"},{id:40075,level:110,wave="17"},{id:40074,level:110,wave="17"},{id:40082,level:110,wave="17"}
{id:40024,level:110,wave="18"},{id:40014,level:110,wave="18"},{id:40075,level:110,wave="18"},{id:40074,level:110,wave="18"},{id:40082,level:110,wave="18"}
{id:40024,level:110,wave="19"},{id:40014,level:110,wave="19"},{id:40075,level:110,wave="19"},{id:40074,level:110,wave="19"},{id:40082,level:110,wave="19"}
{id:40024,level:110,wave="20"},{id:40014,level:110,wave="20"},{id:40075,level:110,wave="20"},{id:40074,level:110,wave="20"},{id:40082,level:110,wave="20"}
{id:40024,level:110,wave="21"},{id:40014,level:110,wave="21"},{id:40075,level:110,wave="21"},{id:40074,level:110,wave="21"},{id:40082,level:110,wave="21"}</t>
  </si>
  <si>
    <t>連續23wave</t>
  </si>
  <si>
    <t>{role:-1},
{id:-1},{id:-1},{id:-1},{id:-1},{id:-1}
{id:40025,level:120,wave="1"},{id:40048,level:120,wave="1"},{id:40013,level:120,wave="1"},{id:40071,level:120,wave="1"},{id:40009,level:120,wave="1"}
{id:40025,level:120,wave="2"},{id:40048,level:120,wave="2"},{id:40013,level:120,wave="2"},{id:40071,level:120,wave="2"},{id:40009,level:120,wave="2"}
{id:40025,level:120,wave="3"},{id:40048,level:120,wave="3"},{id:40013,level:120,wave="3"},{id:40071,level:120,wave="3"},{id:40009,level:120,wave="3"}
{id:40025,level:120,wave="4"},{id:40048,level:120,wave="4"},{id:40013,level:120,wave="4"},{id:40071,level:120,wave="4"},{id:40009,level:120,wave="4"}
{id:40025,level:120,wave="5"},{id:40048,level:120,wave="5"},{id:40013,level:120,wave="5"},{id:40071,level:120,wave="5"},{id:40009,level:120,wave="5"}
{id:40025,level:120,wave="6"},{id:40048,level:120,wave="6"},{id:40013,level:120,wave="6"},{id:40071,level:120,wave="6"},{id:40009,level:120,wave="6"}
{id:40025,level:120,wave="7"},{id:40048,level:120,wave="7"},{id:40013,level:120,wave="7"},{id:40071,level:120,wave="7"},{id:40009,level:120,wave="7"}
{id:40025,level:120,wave="8"},{id:40048,level:120,wave="8"},{id:40013,level:120,wave="8"},{id:40071,level:120,wave="8"},{id:40009,level:120,wave="8"}
{id:40025,level:120,wave="9"},{id:40048,level:120,wave="9"},{id:40013,level:120,wave="9"},{id:40071,level:120,wave="9"},{id:40009,level:120,wave="9"}
{id:40025,level:120,wave="10"},{id:40048,level:120,wave="10"},{id:40013,level:120,wave="10"},{id:40071,level:120,wave="10"},{id:40009,level:120,wave="10"}
{id:40025,level:120,wave="11"},{id:40048,level:120,wave="11"},{id:40013,level:120,wave="11"},{id:40071,level:120,wave="11"},{id:40009,level:120,wave="11"}
{id:40025,level:120,wave="12"},{id:40048,level:120,wave="12"},{id:40013,level:120,wave="12"},{id:40071,level:120,wave="12"},{id:40009,level:120,wave="12"}
{id:40025,level:120,wave="13"},{id:40048,level:120,wave="13"},{id:40013,level:120,wave="13"},{id:40071,level:120,wave="13"},{id:40009,level:120,wave="13"}
{id:40025,level:120,wave="14"},{id:40048,level:120,wave="14"},{id:40013,level:120,wave="14"},{id:40071,level:120,wave="14"},{id:40009,level:120,wave="14"}
{id:40025,level:120,wave="15"},{id:40048,level:120,wave="15"},{id:40013,level:120,wave="15"},{id:40071,level:120,wave="15"},{id:40009,level:120,wave="15"}
{id:40025,level:120,wave="16"},{id:40048,level:120,wave="16"},{id:40013,level:120,wave="16"},{id:40071,level:120,wave="16"},{id:40009,level:120,wave="16"}
{id:40025,level:120,wave="17"},{id:40048,level:120,wave="17"},{id:40013,level:120,wave="17"},{id:40071,level:120,wave="17"},{id:40009,level:120,wave="17"}
{id:40025,level:120,wave="18"},{id:40048,level:120,wave="18"},{id:40013,level:120,wave="18"},{id:40071,level:120,wave="18"},{id:40009,level:120,wave="18"}
{id:40025,level:120,wave="19"},{id:40048,level:120,wave="19"},{id:40013,level:120,wave="19"},{id:40071,level:120,wave="19"},{id:40009,level:120,wave="19"}
{id:40025,level:120,wave="20"},{id:40048,level:120,wave="20"},{id:40013,level:120,wave="20"},{id:40071,level:120,wave="20"},{id:40009,level:120,wave="20"}
{id:40025,level:120,wave="21"},{id:40048,level:120,wave="21"},{id:40013,level:120,wave="21"},{id:40071,level:120,wave="21"},{id:40009,level:120,wave="21"}
{id:40025,level:120,wave="22"},{id:40048,level:120,wave="22"},{id:40013,level:120,wave="22"},{id:40071,level:120,wave="22"},{id:40009,level:120,wave="22"}
{id:40025,level:120,wave="23"},{id:40048,level:120,wave="23"},{id:40013,level:120,wave="23"},{id:40071,level:120,wave="23"},{id:40009,level:120,wave="23"}</t>
  </si>
  <si>
    <t>連續25wave</t>
  </si>
  <si>
    <t>{role:-1},
{id:-1},{id:-1},{id:-1},{id:-1},{id:-1}
{id:40073,level:130,wave="1"},{id:40008,level:130,wave="1"},{id:40080,level:130,wave="1"},{id:40027,level:130,wave="1"},{id:40064,level:130,wave="1"}
{id:40073,level:130,wave="2"},{id:40008,level:130,wave="2"},{id:40080,level:130,wave="2"},{id:40027,level:130,wave="2"},{id:40064,level:130,wave="2"}
{id:40073,level:130,wave="3"},{id:40008,level:130,wave="3"},{id:40080,level:130,wave="3"},{id:40027,level:130,wave="3"},{id:40064,level:130,wave="3"}
{id:40073,level:130,wave="4"},{id:40008,level:130,wave="4"},{id:40080,level:130,wave="4"},{id:40027,level:130,wave="4"},{id:40064,level:130,wave="4"}
{id:40073,level:130,wave="5"},{id:40008,level:130,wave="5"},{id:40080,level:130,wave="5"},{id:40027,level:130,wave="5"},{id:40064,level:130,wave="5"}
{id:40073,level:130,wave="6"},{id:40008,level:130,wave="6"},{id:40080,level:130,wave="6"},{id:40027,level:130,wave="6"},{id:40064,level:130,wave="6"}
{id:40073,level:130,wave="7"},{id:40008,level:130,wave="7"},{id:40080,level:130,wave="7"},{id:40027,level:130,wave="7"},{id:40064,level:130,wave="7"}
{id:40073,level:130,wave="8"},{id:40008,level:130,wave="8"},{id:40080,level:130,wave="8"},{id:40027,level:130,wave="8"},{id:40064,level:130,wave="8"}
{id:40073,level:130,wave="9"},{id:40008,level:130,wave="9"},{id:40080,level:130,wave="9"},{id:40027,level:130,wave="9"},{id:40064,level:130,wave="9"}
{id:40073,level:130,wave="10"},{id:40008,level:130,wave="10"},{id:40080,level:130,wave="10"},{id:40027,level:130,wave="10"},{id:40064,level:130,wave="10"}
{id:40073,level:130,wave="11"},{id:40008,level:130,wave="11"},{id:40080,level:130,wave="11"},{id:40027,level:130,wave="11"},{id:40064,level:130,wave="11"}
{id:40073,level:130,wave="12"},{id:40008,level:130,wave="12"},{id:40080,level:130,wave="12"},{id:40027,level:130,wave="12"},{id:40064,level:130,wave="12"}
{id:40073,level:130,wave="13"},{id:40008,level:130,wave="13"},{id:40080,level:130,wave="13"},{id:40027,level:130,wave="13"},{id:40064,level:130,wave="13"}
{id:40073,level:130,wave="14"},{id:40008,level:130,wave="14"},{id:40080,level:130,wave="14"},{id:40027,level:130,wave="14"},{id:40064,level:130,wave="14"}
{id:40073,level:130,wave="15"},{id:40008,level:130,wave="15"},{id:40080,level:130,wave="15"},{id:40027,level:130,wave="15"},{id:40064,level:130,wave="15"}
{id:40073,level:130,wave="16"},{id:40008,level:130,wave="16"},{id:40080,level:130,wave="16"},{id:40027,level:130,wave="16"},{id:40064,level:130,wave="16"}
{id:40073,level:130,wave="17"},{id:40008,level:130,wave="17"},{id:40080,level:130,wave="17"},{id:40027,level:130,wave="17"},{id:40064,level:130,wave="17"}
{id:40073,level:130,wave="18"},{id:40008,level:130,wave="18"},{id:40080,level:130,wave="18"},{id:40027,level:130,wave="18"},{id:40064,level:130,wave="18"}
{id:40073,level:130,wave="19"},{id:40008,level:130,wave="19"},{id:40080,level:130,wave="19"},{id:40027,level:130,wave="19"},{id:40064,level:130,wave="19"}
{id:40073,level:130,wave="20"},{id:40008,level:130,wave="20"},{id:40080,level:130,wave="20"},{id:40027,level:130,wave="20"},{id:40064,level:130,wave="20"}
{id:40073,level:130,wave="21"},{id:40008,level:130,wave="21"},{id:40080,level:130,wave="21"},{id:40027,level:130,wave="21"},{id:40064,level:130,wave="21"}
{id:40073,level:130,wave="22"},{id:40008,level:130,wave="22"},{id:40080,level:130,wave="22"},{id:40027,level:130,wave="22"},{id:40064,level:130,wave="22"}
{id:40073,level:130,wave="23"},{id:40008,level:130,wave="23"},{id:40080,level:130,wave="23"},{id:40027,level:130,wave="23"},{id:40064,level:130,wave="23"}
{id:40073,level:130,wave="24"},{id:40008,level:130,wave="24"},{id:40080,level:130,wave="24"},{id:40027,level:130,wave="24"},{id:40064,level:130,wave="24"}
{id:40073,level:130,wave="25"},{id:40008,level:130,wave="25"},{id:40080,level:130,wave="25"},{id:40027,level:130,wave="25"},{id:40064,level:130,wave="25"}</t>
  </si>
  <si>
    <t>連續27wave</t>
  </si>
  <si>
    <t>{role:-1},
{id:-1},{id:-1},{id:-1},{id:-1},{id:-1}
{id:40069,level:140,wave="1"},{id:40055,level:140,wave="1"},{id:40041,level:140,wave="1"},{id:40060,level:140,wave="1"},{id:40075,level:140,wave="1"}
{id:40069,level:140,wave="2"},{id:40055,level:140,wave="2"},{id:40041,level:140,wave="2"},{id:40060,level:140,wave="2"},{id:40075,level:140,wave="2"}
{id:40069,level:140,wave="3"},{id:40055,level:140,wave="3"},{id:40041,level:140,wave="3"},{id:40060,level:140,wave="3"},{id:40075,level:140,wave="3"}
{id:40069,level:140,wave="4"},{id:40055,level:140,wave="4"},{id:40041,level:140,wave="4"},{id:40060,level:140,wave="4"},{id:40075,level:140,wave="4"}
{id:40069,level:140,wave="5"},{id:40055,level:140,wave="5"},{id:40041,level:140,wave="5"},{id:40060,level:140,wave="5"},{id:40075,level:140,wave="5"}
{id:40069,level:140,wave="6"},{id:40055,level:140,wave="6"},{id:40041,level:140,wave="6"},{id:40060,level:140,wave="6"},{id:40075,level:140,wave="6"}
{id:40069,level:140,wave="7"},{id:40055,level:140,wave="7"},{id:40041,level:140,wave="7"},{id:40060,level:140,wave="7"},{id:40075,level:140,wave="7"}
{id:40069,level:140,wave="8"},{id:40055,level:140,wave="8"},{id:40041,level:140,wave="8"},{id:40060,level:140,wave="8"},{id:40075,level:140,wave="8"}
{id:40069,level:140,wave="9"},{id:40055,level:140,wave="9"},{id:40041,level:140,wave="9"},{id:40060,level:140,wave="9"},{id:40075,level:140,wave="9"}
{id:40069,level:140,wave="10"},{id:40055,level:140,wave="10"},{id:40041,level:140,wave="10"},{id:40060,level:140,wave="10"},{id:40075,level:140,wave="10"}
{id:40069,level:140,wave="11"},{id:40055,level:140,wave="11"},{id:40041,level:140,wave="11"},{id:40060,level:140,wave="11"},{id:40075,level:140,wave="11"}
{id:40069,level:140,wave="12"},{id:40055,level:140,wave="12"},{id:40041,level:140,wave="12"},{id:40060,level:140,wave="12"},{id:40075,level:140,wave="12"}
{id:40069,level:140,wave="13"},{id:40055,level:140,wave="13"},{id:40041,level:140,wave="13"},{id:40060,level:140,wave="13"},{id:40075,level:140,wave="13"}
{id:40069,level:140,wave="14"},{id:40055,level:140,wave="14"},{id:40041,level:140,wave="14"},{id:40060,level:140,wave="14"},{id:40075,level:140,wave="14"}
{id:40069,level:140,wave="15"},{id:40055,level:140,wave="15"},{id:40041,level:140,wave="15"},{id:40060,level:140,wave="15"},{id:40075,level:140,wave="15"}
{id:40069,level:140,wave="16"},{id:40055,level:140,wave="16"},{id:40041,level:140,wave="16"},{id:40060,level:140,wave="16"},{id:40075,level:140,wave="16"}
{id:40069,level:140,wave="17"},{id:40055,level:140,wave="17"},{id:40041,level:140,wave="17"},{id:40060,level:140,wave="17"},{id:40075,level:140,wave="17"}
{id:40069,level:140,wave="18"},{id:40055,level:140,wave="18"},{id:40041,level:140,wave="18"},{id:40060,level:140,wave="18"},{id:40075,level:140,wave="18"}
{id:40069,level:140,wave="19"},{id:40055,level:140,wave="19"},{id:40041,level:140,wave="19"},{id:40060,level:140,wave="19"},{id:40075,level:140,wave="19"}
{id:40069,level:140,wave="20"},{id:40055,level:140,wave="20"},{id:40041,level:140,wave="20"},{id:40060,level:140,wave="20"},{id:40075,level:140,wave="20"}
{id:40069,level:140,wave="21"},{id:40055,level:140,wave="21"},{id:40041,level:140,wave="21"},{id:40060,level:140,wave="21"},{id:40075,level:140,wave="21"}
{id:40069,level:140,wave="22"},{id:40055,level:140,wave="22"},{id:40041,level:140,wave="22"},{id:40060,level:140,wave="22"},{id:40075,level:140,wave="22"}
{id:40069,level:140,wave="23"},{id:40055,level:140,wave="23"},{id:40041,level:140,wave="23"},{id:40060,level:140,wave="23"},{id:40075,level:140,wave="23"}
{id:40069,level:140,wave="24"},{id:40055,level:140,wave="24"},{id:40041,level:140,wave="24"},{id:40060,level:140,wave="24"},{id:40075,level:140,wave="24"}
{id:40069,level:140,wave="25"},{id:40055,level:140,wave="25"},{id:40041,level:140,wave="25"},{id:40060,level:140,wave="25"},{id:40075,level:140,wave="25"}
{id:40069,level:140,wave="26"},{id:40055,level:140,wave="26"},{id:40041,level:140,wave="26"},{id:40060,level:140,wave="26"},{id:40075,level:140,wave="26"}
{id:40069,level:140,wave="27"},{id:40055,level:140,wave="27"},{id:40041,level:140,wave="27"},{id:40060,level:140,wave="27"},{id:40075,level:140,wave="27"}</t>
  </si>
  <si>
    <t>連續29wave</t>
  </si>
  <si>
    <t>{role:-1},
{id:-1},{id:-1},{id:-1},{id:-1},{id:-1}
{id:40059,level:150,wave="1"},{id:40047,level:150,wave="1"},{id:40039,level:150,wave="1"},{id:40032,level:150,wave="1"},{id:40024,level:150,wave="1"}
{id:40059,level:150,wave="2"},{id:40047,level:150,wave="2"},{id:40039,level:150,wave="2"},{id:40032,level:150,wave="2"},{id:40024,level:150,wave="2"}
{id:40059,level:150,wave="3"},{id:40047,level:150,wave="3"},{id:40039,level:150,wave="3"},{id:40032,level:150,wave="3"},{id:40024,level:150,wave="3"}
{id:40059,level:150,wave="4"},{id:40047,level:150,wave="4"},{id:40039,level:150,wave="4"},{id:40032,level:150,wave="4"},{id:40024,level:150,wave="4"}
{id:40059,level:150,wave="5"},{id:40047,level:150,wave="5"},{id:40039,level:150,wave="5"},{id:40032,level:150,wave="5"},{id:40024,level:150,wave="5"}
{id:40059,level:150,wave="6"},{id:40047,level:150,wave="6"},{id:40039,level:150,wave="6"},{id:40032,level:150,wave="6"},{id:40024,level:150,wave="6"}
{id:40059,level:150,wave="7"},{id:40047,level:150,wave="7"},{id:40039,level:150,wave="7"},{id:40032,level:150,wave="7"},{id:40024,level:150,wave="7"}
{id:40059,level:150,wave="8"},{id:40047,level:150,wave="8"},{id:40039,level:150,wave="8"},{id:40032,level:150,wave="8"},{id:40024,level:150,wave="8"}
{id:40059,level:150,wave="9"},{id:40047,level:150,wave="9"},{id:40039,level:150,wave="9"},{id:40032,level:150,wave="9"},{id:40024,level:150,wave="9"}
{id:40059,level:150,wave="10"},{id:40047,level:150,wave="10"},{id:40039,level:150,wave="10"},{id:40032,level:150,wave="10"},{id:40024,level:150,wave="10"}
{id:40059,level:150,wave="11"},{id:40047,level:150,wave="11"},{id:40039,level:150,wave="11"},{id:40032,level:150,wave="11"},{id:40024,level:150,wave="11"}
{id:40059,level:150,wave="12"},{id:40047,level:150,wave="12"},{id:40039,level:150,wave="12"},{id:40032,level:150,wave="12"},{id:40024,level:150,wave="12"}
{id:40059,level:150,wave="13"},{id:40047,level:150,wave="13"},{id:40039,level:150,wave="13"},{id:40032,level:150,wave="13"},{id:40024,level:150,wave="13"}
{id:40059,level:150,wave="14"},{id:40047,level:150,wave="14"},{id:40039,level:150,wave="14"},{id:40032,level:150,wave="14"},{id:40024,level:150,wave="14"}
{id:40059,level:150,wave="15"},{id:40047,level:150,wave="15"},{id:40039,level:150,wave="15"},{id:40032,level:150,wave="15"},{id:40024,level:150,wave="15"}
{id:40059,level:150,wave="16"},{id:40047,level:150,wave="16"},{id:40039,level:150,wave="16"},{id:40032,level:150,wave="16"},{id:40024,level:150,wave="16"}
{id:40059,level:150,wave="17"},{id:40047,level:150,wave="17"},{id:40039,level:150,wave="17"},{id:40032,level:150,wave="17"},{id:40024,level:150,wave="17"}
{id:40059,level:150,wave="18"},{id:40047,level:150,wave="18"},{id:40039,level:150,wave="18"},{id:40032,level:150,wave="18"},{id:40024,level:150,wave="18"}
{id:40059,level:150,wave="19"},{id:40047,level:150,wave="19"},{id:40039,level:150,wave="19"},{id:40032,level:150,wave="19"},{id:40024,level:150,wave="19"}
{id:40059,level:150,wave="20"},{id:40047,level:150,wave="20"},{id:40039,level:150,wave="20"},{id:40032,level:150,wave="20"},{id:40024,level:150,wave="20"}
{id:40059,level:150,wave="21"},{id:40047,level:150,wave="21"},{id:40039,level:150,wave="21"},{id:40032,level:150,wave="21"},{id:40024,level:150,wave="21"}
{id:40059,level:150,wave="22"},{id:40047,level:150,wave="22"},{id:40039,level:150,wave="22"},{id:40032,level:150,wave="22"},{id:40024,level:150,wave="22"}
{id:40059,level:150,wave="23"},{id:40047,level:150,wave="23"},{id:40039,level:150,wave="23"},{id:40032,level:150,wave="23"},{id:40024,level:150,wave="23"}
{id:40059,level:150,wave="24"},{id:40047,level:150,wave="24"},{id:40039,level:150,wave="24"},{id:40032,level:150,wave="24"},{id:40024,level:150,wave="24"}
{id:40059,level:150,wave="25"},{id:40047,level:150,wave="25"},{id:40039,level:150,wave="25"},{id:40032,level:150,wave="25"},{id:40024,level:150,wave="25"}
{id:40059,level:150,wave="26"},{id:40047,level:150,wave="26"},{id:40039,level:150,wave="26"},{id:40032,level:150,wave="26"},{id:40024,level:150,wave="26"}
{id:40059,level:150,wave="27"},{id:40047,level:150,wave="27"},{id:40039,level:150,wave="27"},{id:40032,level:150,wave="27"},{id:40024,level:150,wave="27"}
{id:40059,level:150,wave="28"},{id:40047,level:150,wave="28"},{id:40039,level:150,wave="28"},{id:40032,level:150,wave="28"},{id:40024,level:150,wave="28"}
{id:40059,level:150,wave="29"},{id:40047,level:150,wave="29"},{id:40039,level:150,wave="29"},{id:40032,level:150,wave="29"},{id:40024,level:150,wave="29"}</t>
  </si>
  <si>
    <t>連續30wave</t>
  </si>
  <si>
    <t>{role:-1},
{id:-1},{id:-1},{id:-1},{id:-1},{id:-1}
{id:40032,level:160,wave="1"},{id:40011,level:160,wave="1"},{id:40074,level:160,wave="1"},{id:40039,level:160,wave="1"},{id:40068,level:160,wave="1"}
{id:40032,level:160,wave="2"},{id:40011,level:160,wave="2"},{id:40074,level:160,wave="2"},{id:40039,level:160,wave="2"},{id:40068,level:160,wave="2"}
{id:40032,level:160,wave="3"},{id:40011,level:160,wave="3"},{id:40074,level:160,wave="3"},{id:40039,level:160,wave="3"},{id:40068,level:160,wave="3"}
{id:40032,level:160,wave="4"},{id:40011,level:160,wave="4"},{id:40074,level:160,wave="4"},{id:40039,level:160,wave="4"},{id:40068,level:160,wave="4"}
{id:40032,level:160,wave="5"},{id:40011,level:160,wave="5"},{id:40074,level:160,wave="5"},{id:40039,level:160,wave="5"},{id:40068,level:160,wave="5"}
{id:40032,level:160,wave="6"},{id:40011,level:160,wave="6"},{id:40074,level:160,wave="6"},{id:40039,level:160,wave="6"},{id:40068,level:160,wave="6"}
{id:40032,level:160,wave="7"},{id:40011,level:160,wave="7"},{id:40074,level:160,wave="7"},{id:40039,level:160,wave="7"},{id:40068,level:160,wave="7"}
{id:40032,level:160,wave="8"},{id:40011,level:160,wave="8"},{id:40074,level:160,wave="8"},{id:40039,level:160,wave="8"},{id:40068,level:160,wave="8"}
{id:40032,level:160,wave="9"},{id:40011,level:160,wave="9"},{id:40074,level:160,wave="9"},{id:40039,level:160,wave="9"},{id:40068,level:160,wave="9"}
{id:40032,level:160,wave="10"},{id:40011,level:160,wave="10"},{id:40074,level:160,wave="10"},{id:40039,level:160,wave="10"},{id:40068,level:160,wave="10"}
{id:40032,level:160,wave="11"},{id:40011,level:160,wave="11"},{id:40074,level:160,wave="11"},{id:40039,level:160,wave="11"},{id:40068,level:160,wave="11"}
{id:40032,level:160,wave="12"},{id:40011,level:160,wave="12"},{id:40074,level:160,wave="12"},{id:40039,level:160,wave="12"},{id:40068,level:160,wave="12"}
{id:40032,level:160,wave="13"},{id:40011,level:160,wave="13"},{id:40074,level:160,wave="13"},{id:40039,level:160,wave="13"},{id:40068,level:160,wave="13"}
{id:40032,level:160,wave="14"},{id:40011,level:160,wave="14"},{id:40074,level:160,wave="14"},{id:40039,level:160,wave="14"},{id:40068,level:160,wave="14"}
{id:40032,level:160,wave="15"},{id:40011,level:160,wave="15"},{id:40074,level:160,wave="15"},{id:40039,level:160,wave="15"},{id:40068,level:160,wave="15"}
{id:40032,level:160,wave="16"},{id:40011,level:160,wave="16"},{id:40074,level:160,wave="16"},{id:40039,level:160,wave="16"},{id:40068,level:160,wave="16"}
{id:40032,level:160,wave="17"},{id:40011,level:160,wave="17"},{id:40074,level:160,wave="17"},{id:40039,level:160,wave="17"},{id:40068,level:160,wave="17"}
{id:40032,level:160,wave="18"},{id:40011,level:160,wave="18"},{id:40074,level:160,wave="18"},{id:40039,level:160,wave="18"},{id:40068,level:160,wave="18"}
{id:40032,level:160,wave="19"},{id:40011,level:160,wave="19"},{id:40074,level:160,wave="19"},{id:40039,level:160,wave="19"},{id:40068,level:160,wave="19"}
{id:40032,level:160,wave="20"},{id:40011,level:160,wave="20"},{id:40074,level:160,wave="20"},{id:40039,level:160,wave="20"},{id:40068,level:160,wave="20"}
{id:40032,level:160,wave="21"},{id:40011,level:160,wave="21"},{id:40074,level:160,wave="21"},{id:40039,level:160,wave="21"},{id:40068,level:160,wave="21"}
{id:40032,level:160,wave="22"},{id:40011,level:160,wave="22"},{id:40074,level:160,wave="22"},{id:40039,level:160,wave="22"},{id:40068,level:160,wave="22"}
{id:40032,level:160,wave="23"},{id:40011,level:160,wave="23"},{id:40074,level:160,wave="23"},{id:40039,level:160,wave="23"},{id:40068,level:160,wave="23"}
{id:40032,level:160,wave="24"},{id:40011,level:160,wave="24"},{id:40074,level:160,wave="24"},{id:40039,level:160,wave="24"},{id:40068,level:160,wave="24"}
{id:40032,level:160,wave="25"},{id:40011,level:160,wave="25"},{id:40074,level:160,wave="25"},{id:40039,level:160,wave="25"},{id:40068,level:160,wave="25"}
{id:40032,level:160,wave="26"},{id:40011,level:160,wave="26"},{id:40074,level:160,wave="26"},{id:40039,level:160,wave="26"},{id:40068,level:160,wave="26"}
{id:40032,level:160,wave="27"},{id:40011,level:160,wave="27"},{id:40074,level:160,wave="27"},{id:40039,level:160,wave="27"},{id:40068,level:160,wave="27"}
{id:40032,level:160,wave="28"},{id:40011,level:160,wave="28"},{id:40074,level:160,wave="28"},{id:40039,level:160,wave="28"},{id:40068,level:160,wave="28"}
{id:40032,level:160,wave="29"},{id:40011,level:160,wave="29"},{id:40074,level:160,wave="29"},{id:40039,level:160,wave="29"},{id:40068,level:160,wave="29"}
{id:40032,level:160,wave="30"},{id:40011,level:160,wave="30"},{id:40074,level:160,wave="30"},{id:40039,level:160,wave="30"},{id:40068,level:160,wave="30"}</t>
  </si>
  <si>
    <t>map_red</t>
  </si>
  <si>
    <t>紅色大門1</t>
  </si>
  <si>
    <t>{role:-1},
{id:-1}{id:-1},{id:-1},{id:-1},{id:-1} {id:40008},{id:40007},{id:50003},{id:40010},{id:40009}</t>
  </si>
  <si>
    <t>70001,70002,70003,70004,70005,70006,70007,70008,70009,70010,70011,70012,70013,70014,70015,70016,70017,70018,70019,70020,70021,70022,70023,70024,70025,70026,70027,70028,70029,70030,70031,70032,70033,70034,70035,70036,70037,70038,70039,70040,70041,70042,70043,70044,70045,70046,70047,70048,70049,70050,70051,70052,70053,70054,70055,70056,70057,70058,70059,70060,70061,70062,70063,70064,70065,70066,70067,70068,70069,70070,70071,70072,70073,70074,70075,70076,70077,70078,70079,70080,80001,81001,82001,83001,84001,85001,88000,88001,88002,88003,88004,88005,88006,88007,88008,88009,88010,88011,88012,88013,88014,88015,88016,88017,88018,88019,88020,88021,88022,88023,88024,88025,88026,88027,88028,88029,88030,88031,88032,88033,88034,88035,88036,88037,88038,88039,88040,88041</t>
  </si>
  <si>
    <t>紅色大門2</t>
  </si>
  <si>
    <t>{role:-1},
{id:-1}{id:-1},{id:-1},{id:-1},{id:-1}, {id:40012},{id:40011},{id:50002},{id:40013},{id:40015}</t>
  </si>
  <si>
    <t>紅色大門3</t>
  </si>
  <si>
    <t>{role:-1},
{id:-1},{id:-1},{id:-1},{id:-1},{id:-1}, {id:40005},{id:40003},{id:50001},{id:40001},{id:40004}</t>
  </si>
  <si>
    <t>紅色大門4</t>
  </si>
  <si>
    <t>map_blue</t>
  </si>
  <si>
    <t>藍色大門1</t>
  </si>
  <si>
    <t>藍色大門2</t>
  </si>
  <si>
    <t>藍色大門3</t>
  </si>
  <si>
    <t>藍色大門4</t>
  </si>
  <si>
    <t>map_purple</t>
  </si>
  <si>
    <t>紫色大門1</t>
  </si>
  <si>
    <t>紫色大門2</t>
  </si>
  <si>
    <t>紫色大門3</t>
  </si>
  <si>
    <t>紫色大門4</t>
  </si>
  <si>
    <t>map_yellow</t>
  </si>
  <si>
    <t>增益大門1</t>
  </si>
  <si>
    <t>增益選擇</t>
  </si>
  <si>
    <t>select_self</t>
  </si>
  <si>
    <t>1,2,3,4,5,6,7,8,9,10,11,12,13,14,15,16,17,18,19,20</t>
  </si>
  <si>
    <t>增益大門2</t>
  </si>
  <si>
    <t>增益大門3</t>
  </si>
  <si>
    <t>增益大門4</t>
  </si>
  <si>
    <t>prefeb_map</t>
  </si>
  <si>
    <t>list</t>
  </si>
  <si>
    <t>power</t>
  </si>
  <si>
    <t>is_end</t>
  </si>
  <si>
    <t>gate4</t>
  </si>
  <si>
    <t>gate4_2</t>
  </si>
  <si>
    <t>gate3_3</t>
  </si>
  <si>
    <t>gate3_2</t>
  </si>
  <si>
    <t>gate3</t>
  </si>
  <si>
    <t>gate2_3</t>
  </si>
  <si>
    <t>gate2_2</t>
  </si>
  <si>
    <t>gate2</t>
  </si>
  <si>
    <t>gate1_2</t>
  </si>
  <si>
    <t>gate1</t>
  </si>
  <si>
    <t>timing</t>
  </si>
  <si>
    <t>操作備註</t>
  </si>
  <si>
    <t>guide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</si>
  <si>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</si>
  <si>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</si>
  <si>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</si>
  <si>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</si>
  <si>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t>$一開始全螢幕覆蓋魔王城的圖；直接上下遮罩開始左邊的旁白，旁白完後淡出進入戰鬥
遊戲初始開始時，像是劇情對話一樣的，下方有對話框；玩家點選一次則跑出下一條文字；文字結束後進入下一個欄位</t>
  </si>
  <si>
    <t>出現閃爍的框供玩家點選，引導玩家使用技能來完成戰鬥
*下方的所有選單需要先進行上鎖
請點擊技能
請點擊對象
玩家點選其他的地方都會顯示"請依照引導"
$ 職業、天賦、武器、裝備、召喚全部都要鎖，按鈕都不能按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</si>
  <si>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</si>
  <si>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</si>
  <si>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
上方預計要擺人物；有名稱加上 : 的是人物，沒有的則是旁白
(1)旁白出現在上對話框
(2)說話統一顯示在下方對話框
玩家點選一次則跑出下一條文字；文字結束後進入下一個欄位</t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</si>
  <si>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</si>
  <si>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$換上中央地帶的背景</t>
  </si>
  <si>
    <t>玩家可以透過輸入法輸入自己的名稱(開啟網頁的輸入法；讓玩家可以打字)
$取名功能的後方依然要用全黑的遮罩(僅剩取名用的視窗)</t>
  </si>
  <si>
    <t>$接下來開始；劇情文本中出現的&lt;name&gt;都是玩家自己取的ID名字 要自己帶入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</si>
  <si>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</si>
  <si>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選擇
劍士 
戰士 
弓劍手 
盜賊
魔法師
實習祭司
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
選擇職業後；獲得該職業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</si>
  <si>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</si>
  <si>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t>*解鎖召喚頁面(看到一個鎖頭解開)
轉跳到召喚頁面開始對話
引導點選召喚武器
*召喚結果的彈窗如果玩家沒有點選關閉，就不繼續下一步；點了才跳入佈陣的引導</t>
  </si>
  <si>
    <t>引導至佈陣畫面，讓玩家點選自動佈陣
*畫面切回主介面，點選挑戰開始進入第一關
*解鎖主線頁面(看到一個鎖頭解開)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</si>
  <si>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</si>
  <si>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</si>
  <si>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</si>
  <si>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</si>
  <si>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</si>
  <si>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</si>
  <si>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</si>
  <si>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</si>
  <si>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</si>
  <si>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</si>
  <si>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</si>
  <si>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</si>
  <si>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</si>
  <si>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</si>
  <si>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</si>
  <si>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</si>
  <si>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</si>
  <si>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</si>
  <si>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</si>
  <si>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</si>
  <si>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</si>
  <si>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</si>
  <si>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</si>
  <si>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</si>
  <si>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</si>
  <si>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</si>
  <si>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</si>
  <si>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</si>
  <si>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</si>
  <si>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</si>
  <si>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</si>
  <si>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</si>
  <si>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</si>
  <si>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</si>
  <si>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</si>
  <si>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</si>
  <si>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</si>
  <si>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</si>
  <si>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</si>
  <si>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</si>
  <si>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第七章</t>
  </si>
  <si>
    <t>『新的區域映入眼前。』
露娜：這裡就是魔導塔群。
&lt;name&gt;：我有種說不出的熟悉感。
露娜：有記憶嗎？
&lt;name&gt;：還不到可以稱為記憶。
露娜：那就先記住現在看到的。</t>
  </si>
  <si>
    <t>『魔導塔群的防禦本能出現在視線中。』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&lt;name&gt;：防禦本能。
『影像消失。』</t>
  </si>
  <si>
    <t>『魔導塔群的魔法施放本能出現在視線中。』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&lt;name&gt;：魔法施放本能。
『影像消失。』</t>
  </si>
  <si>
    <t>『魔導塔群的失敗記憶出現在視線中。』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&lt;name&gt;：失敗記憶。
『影像消失。』</t>
  </si>
  <si>
    <t>『禁術塔主出現在魔導塔群最深處。』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『禁術塔主倒下。』</t>
  </si>
  <si>
    <t>露娜：又想起什麼了嗎？
&lt;name&gt;：一些零散畫面。
露娜：足夠讓你繼續了嗎？
&lt;name&gt;：足夠。
露娜：那就走吧。
&lt;name&gt;：嗯。
『下一段道路在前方展開。』</t>
  </si>
  <si>
    <t>第八章</t>
  </si>
  <si>
    <t>『新的區域映入眼前。』
露娜：這裡就是光輝平原。
&lt;name&gt;：我有種說不出的熟悉感。
露娜：有記憶嗎？
&lt;name&gt;：還不到可以稱為記憶。
露娜：那就先記住現在看到的。</t>
  </si>
  <si>
    <t>『光輝平原的民眾呼喊出現在視線中。』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&lt;name&gt;：民眾呼喊。
『影像消失。』</t>
  </si>
  <si>
    <t>『光輝平原的旗幟出現在視線中。』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&lt;name&gt;：旗幟。
『影像消失。』</t>
  </si>
  <si>
    <t>『光輝平原的戰場命令出現在視線中。』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&lt;name&gt;：戰場命令。
『影像消失。』</t>
  </si>
  <si>
    <t>『聖痕騎士長出現在光輝平原最深處。』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『聖痕騎士長倒下。』</t>
  </si>
  <si>
    <t>露娜：又想起什麼了嗎？
&lt;name&gt;：一段影片。
露娜：足夠讓你繼續了嗎？
&lt;name&gt;：足夠。
露娜：那就走吧。
&lt;name&gt;：嗯。
『下一段道路在前方展開。』</t>
  </si>
  <si>
    <t>第九章</t>
  </si>
  <si>
    <t>『新的區域映入眼前。』
露娜：這裡就是聖者之塔。
&lt;name&gt;：我有種說不出的熟悉感。
露娜：有記憶嗎？
&lt;name&gt;：還不到可以稱為記憶。
露娜：那就先記住現在看到的。</t>
  </si>
  <si>
    <t>『聖者之塔的王座出現在視線中。』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&lt;name&gt;：王座。
『影像消失。』</t>
  </si>
  <si>
    <t>『聖者之塔的祈禱詞出現在視線中。』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&lt;name&gt;：祈禱詞。
『影像消失。』</t>
  </si>
  <si>
    <t>『聖者之塔的拒絕加冕出現在視線中。』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&lt;name&gt;：拒絕加冕。
『影像消失。』</t>
  </si>
  <si>
    <t>『墮落聖者出現在聖者之塔最深處。』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『墮落聖者倒下。』</t>
  </si>
  <si>
    <t>第十章</t>
  </si>
  <si>
    <t>『新的區域映入眼前。』
露娜：這裡就是聖槍神殿。
&lt;name&gt;：我有種說不出的熟悉感。
露娜：有記憶嗎？
&lt;name&gt;：還不到可以稱為記憶。
露娜：那就先記住現在看到的。</t>
  </si>
  <si>
    <t>『聖槍神殿的撤離命令出現在視線中。』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&lt;name&gt;：撤離命令。
『影像消失。』</t>
  </si>
  <si>
    <t>『聖槍神殿的同伴背影出現在視線中。』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&lt;name&gt;：同伴背影。
『影像消失。』</t>
  </si>
  <si>
    <t>『聖槍神殿的奔跑影片出現在視線中。』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&lt;name&gt;：奔跑影片。
『影像消失。』</t>
  </si>
  <si>
    <t>『聖槍守護者出現在聖槍神殿最深處。』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『聖槍守護者倒下。』</t>
  </si>
  <si>
    <t>第十一章</t>
  </si>
  <si>
    <t>『新的區域映入眼前。』
露娜：這裡就是皇都・天照城。
&lt;name&gt;：我有種說不出的熟悉感。
露娜：有記憶嗎？
&lt;name&gt;：還不到可以稱為記憶。
露娜：那就先記住現在看到的。</t>
  </si>
  <si>
    <t>『皇都・天照城的月下刀光出現在視線中。』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&lt;name&gt;：月下刀光。
『影像消失。』</t>
  </si>
  <si>
    <t>『皇都・天照城的東方同伴出現在視線中。』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&lt;name&gt;：東方同伴。
『影像消失。』</t>
  </si>
  <si>
    <t>『皇都・天照城的茶館出現在視線中。』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&lt;name&gt;：茶館。
『影像消失。』</t>
  </si>
  <si>
    <t>『皇都・天照城的未說完的話出現在視線中。』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&lt;name&gt;：未說完的話。
『影像消失。』</t>
  </si>
  <si>
    <t>『妖刀將軍出現在皇都・天照城最深處。』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『妖刀將軍倒下。』</t>
  </si>
  <si>
    <t>第十二章</t>
  </si>
  <si>
    <t>『新的區域映入眼前。』
露娜：這裡就是火神山。
&lt;name&gt;：我有種說不出的熟悉感。
露娜：有記憶嗎？
&lt;name&gt;：還不到可以稱為記憶。
露娜：那就先記住現在看到的。</t>
  </si>
  <si>
    <t>『火神山的火海救援出現在視線中。』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&lt;name&gt;：火海救援。
『影像消失。』</t>
  </si>
  <si>
    <t>『火神山的水壺出現在視線中。』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&lt;name&gt;：水壺。
『影像消失。』</t>
  </si>
  <si>
    <t>『火神山的約定手勢出現在視線中。』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&lt;name&gt;：約定手勢。
『影像消失。』</t>
  </si>
  <si>
    <t>『火神山的誓約之環出現在視線中。』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&lt;name&gt;：誓約之環。
『影像消失。』</t>
  </si>
  <si>
    <t>『炎獄巨龍出現在火神山最深處。』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『炎獄巨龍倒下。』</t>
  </si>
  <si>
    <t>第十三章</t>
  </si>
  <si>
    <t>『新的區域映入眼前。』
露娜：這裡就是凜冬要塞。
&lt;name&gt;：我有種說不出的熟悉感。
露娜：有記憶嗎？
&lt;name&gt;：還不到可以稱為記憶。
露娜：那就先記住現在看到的。</t>
  </si>
  <si>
    <t>『凜冬要塞的聯軍旗出現在視線中。』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&lt;name&gt;：聯軍旗。
『影像消失。』</t>
  </si>
  <si>
    <t>『凜冬要塞的舊軍令出現在視線中。』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&lt;name&gt;：舊軍令。
『影像消失。』</t>
  </si>
  <si>
    <t>『凜冬要塞的魔王影像出現在視線中。』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&lt;name&gt;：魔王影像。
『影像消失。』</t>
  </si>
  <si>
    <t>『凜冬要塞的被刪除的名字出現在視線中。』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&lt;name&gt;：被刪除的名字。
『影像消失。』</t>
  </si>
  <si>
    <t>『冰冠大公出現在凜冬要塞最深處。』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『冰冠大公倒下。』</t>
  </si>
  <si>
    <t>第十四章</t>
  </si>
  <si>
    <t>『新的區域映入眼前。』
露娜：這裡就是黑王城。
&lt;name&gt;：我有種說不出的熟悉感。
露娜：有記憶嗎？
&lt;name&gt;：還不到可以稱為記憶。
露娜：那就先記住現在看到的。</t>
  </si>
  <si>
    <t>『黑王城的亡者臉孔出現在視線中。』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&lt;name&gt;：亡者臉孔。
『影像消失。』</t>
  </si>
  <si>
    <t>『黑王城的同伴聲音出現在視線中。』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&lt;name&gt;：同伴聲音。
『影像消失。』</t>
  </si>
  <si>
    <t>『黑王城的仇恨來源出現在視線中。』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&lt;name&gt;：仇恨來源。
『影像消失。』</t>
  </si>
  <si>
    <t>『黑王城的最後對話出現在視線中。』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&lt;name&gt;：最後對話。
『影像消失。』</t>
  </si>
  <si>
    <t>『冥王使徒出現在黑王城最深處。』
『牠沒有說話。』
『戰場因牠的出現而震動。』
&lt;name&gt;：……就是這裡。
『&lt;name&gt;的視線短暫停在Boss身上。』
『某個曾經經歷過的畫面與眼前重疊。』
&lt;name&gt;：原來是這樣。
『戰鬥開始。』
『冥王使徒倒下。』</t>
  </si>
  <si>
    <t>第十五章</t>
  </si>
  <si>
    <t>『新的區域映入眼前。』
露娜：這裡就是魔王領域。
&lt;name&gt;：我有種說不出的熟悉感。
露娜：有記憶嗎？
&lt;name&gt;：還不到可以稱為記憶。
露娜：那就先記住現在看到的。</t>
  </si>
  <si>
    <t>『魔王領域的舊戰場出現在視線中。』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&lt;name&gt;：舊戰場。
『影像消失。』</t>
  </si>
  <si>
    <t>『魔王領域的四天王遺物痕跡出現在視線中。』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&lt;name&gt;：四天王遺物痕跡。
『影像消失。』</t>
  </si>
  <si>
    <t>『魔王領域的七件聖物共鳴出現在視線中。』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&lt;name&gt;：七件聖物共鳴。
『影像消失。』</t>
  </si>
  <si>
    <t>『魔王領域的完整戰敗影片出現在視線中。』
露娜：你認識這個嗎？
&lt;name&gt;：我不知道。
『&lt;name&gt;伸手觸碰。』
&lt;name&gt;：等一下……
『一段短暫影像掠過。』
露娜：你看到了什麼？
&lt;name&gt;：一個片段。
露娜：什麼片段？
&lt;name&gt;：完整戰敗影片。
『影像消失。』</t>
  </si>
  <si>
    <t>『終焉神殿的大門緩緩打開。』
『魔王奧斯維德站在王座前。』
魔王奧斯維德：你終於來了。
&lt;name&gt;：你知道我會來？
魔王奧斯維德：我不知道你會不會成功。
魔王奧斯維德：但我知道，這不是第一次。
&lt;name&gt;：……
『七件聖物同時發光。』
魔王奧斯維德：把你記得的一切帶來吧。
&lt;name&gt;：這一次，我不會再讓世界走向同樣的結局。
『最終戰開始。』</t>
  </si>
  <si>
    <t>idle_unlock</t>
  </si>
  <si>
    <t>掛機探索開放了！你的角色會持續在此關卡自動歷練，即使沒有開著遊戲畫面也會持續累積獎勵。已經幫你準備好一份獎勵，點擊「掛機」按鈕即可立即領取！</t>
  </si>
  <si>
    <t>批次3新增：系統開放檢查點引導(資料驅動，刪除此列即可關閉，功能解鎖不受影響)</t>
  </si>
  <si>
    <t>talent_intro</t>
  </si>
  <si>
    <t>「天賦」分頁已開放！這裡可以消耗天賦點強化你的職業能力，點選下方導覽列的天賦分頁看看吧。</t>
  </si>
  <si>
    <t>weapon_levelup</t>
  </si>
  <si>
    <t>武器升級開放了！消耗「武器經驗」即可提升武器等級、強化戰鬥數值。已經送你一批武器經驗，快去武器分頁試試看升10級吧！</t>
  </si>
  <si>
    <t>auto_next</t>
  </si>
  <si>
    <t>現在起，戰鬥結算畫面會出現「自動下一關」開關，開啟後戰勝就會倒數3秒自動接續下一關，讓你不用每次手動點擊挑戰。</t>
  </si>
  <si>
    <t>weapon_starup</t>
  </si>
  <si>
    <t>武器升星開放了！升星能大幅提升武器的戰鬥力，已經送你一把新武器和升星材料，快去試試看吧！</t>
  </si>
  <si>
    <t>dark_contract</t>
  </si>
  <si>
    <t>「黑暗契約」開放了！戰鬥中消耗一張契約卷，就有機會捕捉敵方魔物成為你的夥伴。已經送你10張契約卷，並幫你完成了第一次契約，快去佈陣看看你的新夥伴吧！</t>
  </si>
  <si>
    <t>speed2x</t>
  </si>
  <si>
    <t>戰鬥中的自動戰鬥按鈕現在可以切換到2倍速了，戰鬥演出與延遲都會加快，讓你更有效率地推進關卡。</t>
  </si>
  <si>
    <t>副本系統開放了！「試煉之塔」正式開放挑戰，從第一層開始層層突破，每層都有豐厚的鑽石獎勵。</t>
  </si>
  <si>
    <t>god_stat</t>
  </si>
  <si>
    <t>「神格」系統開放了！你可以透過神格點數為角色加點，強化六圍屬性，點選職業分頁的「神格」子分頁查看。</t>
  </si>
  <si>
    <t>god_trial</t>
  </si>
  <si>
    <t>「神格試煉」開放了！挑戰試煉能取得神格點與轉職推薦書碎片，已經送你一張試煉券，快去挑戰看看吧！</t>
  </si>
  <si>
    <t>infinite_dungeon_50</t>
  </si>
  <si>
    <t>class_equip</t>
  </si>
  <si>
    <t>「職業裝備」開放了！為你的職業穿上專屬裝備，強化戰鬥數值，點選「裝備」分頁內的「職業裝備」查看。</t>
  </si>
  <si>
    <t>class_change</t>
  </si>
  <si>
    <t>「轉職」開放了！只要天賦點數配置足夠，就能將職業轉換為更強大的二轉職業，快去職業分頁看看有哪些新選擇！</t>
  </si>
  <si>
    <t>「殲滅任務」開放了！挑戰殲滅任務可以取得魔法石與強化石，是提升裝備的重要來源。</t>
  </si>
  <si>
    <t>infinite_dungeon_100</t>
  </si>
  <si>
    <t>無限地城的可選等級上限提升到LV.100了！更高等級的地城將帶來更豐厚的獎勵，敢挑戰嗎？</t>
  </si>
  <si>
    <t>infinite_dungeon_130</t>
  </si>
  <si>
    <t>無限地城的可選等級上限提升到LV.130了！這是目前最高難度的地城等級，準備好你最強的陣容再挑戰吧！</t>
  </si>
  <si>
    <t>rate_add</t>
  </si>
  <si>
    <t>guarant_min</t>
  </si>
  <si>
    <t>guarant_max</t>
  </si>
  <si>
    <t>buff_max</t>
  </si>
  <si>
    <t>recipe</t>
  </si>
  <si>
    <t>recipe_rate</t>
  </si>
  <si>
    <t>buff_pasive</t>
  </si>
  <si>
    <t>refine_id</t>
  </si>
  <si>
    <t>cost_id</t>
  </si>
  <si>
    <t>build</t>
  </si>
  <si>
    <t>gem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</si>
  <si>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</si>
  <si>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</si>
  <si>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</si>
  <si>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</si>
  <si>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</si>
  <si>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</si>
  <si>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</si>
  <si>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</si>
  <si>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</si>
  <si>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</si>
  <si>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</si>
  <si>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</si>
  <si>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</si>
  <si>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</si>
  <si>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</si>
  <si>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</si>
  <si>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</si>
  <si>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</si>
  <si>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</si>
  <si>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</si>
  <si>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</si>
  <si>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</si>
  <si>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</si>
  <si>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</si>
  <si>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</si>
  <si>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</si>
  <si>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</si>
  <si>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</si>
  <si>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</si>
  <si>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</si>
  <si>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</si>
  <si>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</si>
  <si>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</si>
  <si>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</si>
  <si>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</si>
  <si>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</si>
  <si>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</si>
  <si>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</si>
  <si>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</si>
  <si>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</si>
  <si>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</si>
  <si>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</si>
  <si>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</si>
  <si>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</si>
  <si>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</si>
  <si>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</si>
  <si>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</si>
  <si>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</si>
  <si>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</si>
  <si>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</si>
  <si>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</si>
  <si>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</si>
  <si>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</si>
  <si>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</si>
  <si>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</si>
  <si>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</si>
  <si>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</si>
  <si>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</si>
  <si>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</si>
  <si>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</si>
  <si>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</si>
  <si>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</si>
  <si>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</si>
  <si>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</si>
  <si>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</si>
  <si>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</si>
  <si>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</si>
  <si>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</si>
  <si>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</si>
  <si>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</si>
  <si>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</si>
  <si>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</si>
  <si>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</si>
  <si>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</si>
  <si>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</si>
  <si>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</si>
  <si>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</si>
  <si>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永夜白骨刃</t>
  </si>
  <si>
    <t>月亮寶珠</t>
  </si>
  <si>
    <t>泰坦巨斧</t>
  </si>
  <si>
    <t>group_id</t>
  </si>
  <si>
    <t>value_offset</t>
  </si>
  <si>
    <t>id_amount</t>
  </si>
  <si>
    <t>名稱</t>
  </si>
  <si>
    <t>usage</t>
  </si>
  <si>
    <t>天賦點數</t>
  </si>
  <si>
    <t>魔物經驗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</si>
  <si>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</si>
  <si>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</si>
  <si>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</si>
  <si>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</si>
  <si>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</si>
  <si>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</si>
  <si>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</si>
  <si>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</si>
  <si>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</si>
  <si>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</si>
  <si>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</si>
  <si>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破碎的轉職推薦書</t>
  </si>
  <si>
    <t>破碎的皇宮推薦信</t>
  </si>
  <si>
    <t>魔石碎片</t>
  </si>
  <si>
    <t>火之迦具土神劍碎片</t>
  </si>
  <si>
    <t>童子切安綱碎片</t>
  </si>
  <si>
    <t>村雨碎片</t>
  </si>
  <si>
    <t>隆基努斯之槍碎片</t>
  </si>
  <si>
    <t>村正碎片</t>
  </si>
  <si>
    <t>天叢雲劍碎片</t>
  </si>
  <si>
    <t>干將莫邪碎片</t>
  </si>
  <si>
    <t>埃斯卡利巴碎片</t>
  </si>
  <si>
    <t>布都御魂碎片</t>
  </si>
  <si>
    <t>提爾鋒碎片</t>
  </si>
  <si>
    <t>真十字架碎片</t>
  </si>
  <si>
    <t>阿斯卡隆碎片</t>
  </si>
  <si>
    <t>鬼丸國綱碎片</t>
  </si>
  <si>
    <t>阿隆戴特碎片</t>
  </si>
  <si>
    <t>哈迪斯之盔碎片</t>
  </si>
  <si>
    <t>封印之書碎片</t>
  </si>
  <si>
    <t>永恆聖鏡碎片</t>
  </si>
  <si>
    <t>熔岩之鼎碎片</t>
  </si>
  <si>
    <t>布里歐納克碎片</t>
  </si>
  <si>
    <t>美杜莎之盾碎片</t>
  </si>
  <si>
    <t>赫格尼之劍碎片</t>
  </si>
  <si>
    <t>堅鐵長矛碎片</t>
  </si>
  <si>
    <t>尖刺短刀碎片</t>
  </si>
  <si>
    <t>學徒法杖碎片</t>
  </si>
  <si>
    <t>枯木魔杖碎片</t>
  </si>
  <si>
    <t>十字堅盾碎片</t>
  </si>
  <si>
    <t>獵人之弓碎片</t>
  </si>
  <si>
    <t>修行者法球碎片</t>
  </si>
  <si>
    <t>迴旋鏈刃碎片</t>
  </si>
  <si>
    <t>晨星鎚碎片</t>
  </si>
  <si>
    <t>戰鬥者長劍碎片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</si>
  <si>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</si>
  <si>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</si>
  <si>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</si>
  <si>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</si>
  <si>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</si>
  <si>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</si>
  <si>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</si>
  <si>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</si>
  <si>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</si>
  <si>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</si>
  <si>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</si>
  <si>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</si>
  <si>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</si>
  <si>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idlereward5_id</t>
  </si>
  <si>
    <t>idlereward5_amount</t>
  </si>
  <si>
    <t>idlereward5_rate</t>
  </si>
  <si>
    <t>idlereward6_id</t>
  </si>
  <si>
    <t>idlereward6_amount</t>
  </si>
  <si>
    <t>idlereward6_rate</t>
  </si>
  <si>
    <t>idlereward7_id</t>
  </si>
  <si>
    <t>idlereward7_amount</t>
  </si>
  <si>
    <t>idlereward7_rate</t>
  </si>
  <si>
    <t>idlereward8_id</t>
  </si>
  <si>
    <t>idlereward8_amount</t>
  </si>
  <si>
    <t>idlereward8_rate</t>
  </si>
  <si>
    <t>40001,40002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</si>
  <si>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</si>
  <si>
    <t>2001,2002</t>
  </si>
  <si>
    <t>40005,40002</t>
  </si>
  <si>
    <t>40005</t>
  </si>
  <si>
    <t>40005,40004</t>
  </si>
  <si>
    <t>40001,40004,40005</t>
  </si>
  <si>
    <t>40002,40001,40003</t>
  </si>
  <si>
    <t>40004,40001,40002</t>
  </si>
  <si>
    <t>40002,40005</t>
  </si>
  <si>
    <t>40003,40004</t>
  </si>
  <si>
    <t>40002,40003,40005</t>
  </si>
  <si>
    <t>40002,40005,40004</t>
  </si>
  <si>
    <t>40001,40004,40002</t>
  </si>
  <si>
    <t>40005,40003,40004,40001</t>
  </si>
  <si>
    <t>40005,40003,40002,40001</t>
  </si>
  <si>
    <t>40003,40001,40004</t>
  </si>
  <si>
    <t>40005,40004,40002,40003</t>
  </si>
  <si>
    <t>40005,40001,40004,40002</t>
  </si>
  <si>
    <t>40005,40004,40001</t>
  </si>
  <si>
    <t>40005,40002,40003</t>
  </si>
  <si>
    <t>40004,40003,40002</t>
  </si>
  <si>
    <t>40002,40004,40005,40001</t>
  </si>
  <si>
    <t>40005,40001,40003,40002</t>
  </si>
  <si>
    <t>40001,40002,40005</t>
  </si>
  <si>
    <t>40002,40001,40004,40005</t>
  </si>
  <si>
    <t>40003,40004,40005,40001</t>
  </si>
  <si>
    <t>40002,40001,40005,40004</t>
  </si>
  <si>
    <t>40004,40005</t>
  </si>
  <si>
    <t>40003,40005,40001</t>
  </si>
  <si>
    <t>40005,40002,40004,40003</t>
  </si>
  <si>
    <t>50001,40003,40002,40001,40005</t>
  </si>
  <si>
    <t>40016</t>
  </si>
  <si>
    <t>40015,40016</t>
  </si>
  <si>
    <t>40014,40016</t>
  </si>
  <si>
    <t>40015,40016,40013</t>
  </si>
  <si>
    <t>40014,40016,40015</t>
  </si>
  <si>
    <t>40015,40012</t>
  </si>
  <si>
    <t>40016,40012</t>
  </si>
  <si>
    <t>40015,40014</t>
  </si>
  <si>
    <t>40013,40015,40012</t>
  </si>
  <si>
    <t>40012,40016,40013</t>
  </si>
  <si>
    <t>40014,40013</t>
  </si>
  <si>
    <t>40015,40016,40012,40013</t>
  </si>
  <si>
    <t>40013,40015,40014</t>
  </si>
  <si>
    <t>40014,40013,40015,40016</t>
  </si>
  <si>
    <t>40012,40015,40013,40016,40014</t>
  </si>
  <si>
    <t>40015,40012,40014</t>
  </si>
  <si>
    <t>40015,40013,40012</t>
  </si>
  <si>
    <t>40016,40015,40014</t>
  </si>
  <si>
    <t>40013,40012,40016</t>
  </si>
  <si>
    <t>40012,40013,40015</t>
  </si>
  <si>
    <t>40015,40012,40014,40013</t>
  </si>
  <si>
    <t>40013,40014,40015,40016</t>
  </si>
  <si>
    <t>40015,40014,40016,40012</t>
  </si>
  <si>
    <t>40016,40013,40015</t>
  </si>
  <si>
    <t>40015,40013,40016</t>
  </si>
  <si>
    <t>40016,40013,40014,40012</t>
  </si>
  <si>
    <t>40014,40016,40015,40013</t>
  </si>
  <si>
    <t>40013,40016,40014</t>
  </si>
  <si>
    <t>50002,40012,40016,40014,40013</t>
  </si>
  <si>
    <t>40020,40021</t>
  </si>
  <si>
    <t>40021,40020</t>
  </si>
  <si>
    <t>40021,40017</t>
  </si>
  <si>
    <t>40020,40017,40019</t>
  </si>
  <si>
    <t>40018</t>
  </si>
  <si>
    <t>40018,40021</t>
  </si>
  <si>
    <t>40021,40018,40017</t>
  </si>
  <si>
    <t>40018,40021,40017</t>
  </si>
  <si>
    <t>40018,40019,40017,40021</t>
  </si>
  <si>
    <t>40021,40018,40020</t>
  </si>
  <si>
    <t>40020,40019,40021</t>
  </si>
  <si>
    <t>40018,40020,40017</t>
  </si>
  <si>
    <t>40019,40018</t>
  </si>
  <si>
    <t>40017,40018,40021</t>
  </si>
  <si>
    <t>40018,40019,40020</t>
  </si>
  <si>
    <t>40020,40017,40018,40019</t>
  </si>
  <si>
    <t>40017,40021,40020,40019</t>
  </si>
  <si>
    <t>40020,40019,40017,40021</t>
  </si>
  <si>
    <t>40017,40020,40021</t>
  </si>
  <si>
    <t>40020,40018,40021</t>
  </si>
  <si>
    <t>40017,40019,40021,40020</t>
  </si>
  <si>
    <t>40020,40021,40017</t>
  </si>
  <si>
    <t>40020,40021,40017,40019</t>
  </si>
  <si>
    <t>40018,40019</t>
  </si>
  <si>
    <t>40018,40020,40019,40021</t>
  </si>
  <si>
    <t>40017,40021,40019</t>
  </si>
  <si>
    <t>50004,40017,40019,40020,40021</t>
  </si>
  <si>
    <t>40026,40022</t>
  </si>
  <si>
    <t>40027,40024</t>
  </si>
  <si>
    <t>40022,40026</t>
  </si>
  <si>
    <t>40026,40025</t>
  </si>
  <si>
    <t>40026,40024</t>
  </si>
  <si>
    <t>40027,40025</t>
  </si>
  <si>
    <t>40024,40026</t>
  </si>
  <si>
    <t>40022,40026,40027</t>
  </si>
  <si>
    <t>40022,40025,40027,40024</t>
  </si>
  <si>
    <t>40022,40026,40024,40025</t>
  </si>
  <si>
    <t>40027,40022,40025</t>
  </si>
  <si>
    <t>40027,40024,40025</t>
  </si>
  <si>
    <t>40024,40022,40027,40025</t>
  </si>
  <si>
    <t>40024,40027,40026,40022</t>
  </si>
  <si>
    <t>40024,40026,40022</t>
  </si>
  <si>
    <t>40022,40026,40025,40024</t>
  </si>
  <si>
    <t>40024,40025</t>
  </si>
  <si>
    <t>40027,40024,40025,40026</t>
  </si>
  <si>
    <t>40027,40022,40026,40025</t>
  </si>
  <si>
    <t>40025,40026,40024,40027</t>
  </si>
  <si>
    <t>40026,40027,40025,40024,40022</t>
  </si>
  <si>
    <t>40026,40027,40022</t>
  </si>
  <si>
    <t>40026,40024,40027</t>
  </si>
  <si>
    <t>40025,40024,40026,40022</t>
  </si>
  <si>
    <t>40027,40022,40026</t>
  </si>
  <si>
    <t>40026,40027,40024</t>
  </si>
  <si>
    <t>50005,40022,40025,40024,40027</t>
  </si>
  <si>
    <t>40031</t>
  </si>
  <si>
    <t>40029,40028</t>
  </si>
  <si>
    <t>40028,40031</t>
  </si>
  <si>
    <t>40030,40031</t>
  </si>
  <si>
    <t>40028,40030,40033</t>
  </si>
  <si>
    <t>40029,40028,40033</t>
  </si>
  <si>
    <t>40031,40029</t>
  </si>
  <si>
    <t>40033,40028,40031</t>
  </si>
  <si>
    <t>40029,40031,40033</t>
  </si>
  <si>
    <t>40031,40030,40028,40033</t>
  </si>
  <si>
    <t>40031,40028,40029</t>
  </si>
  <si>
    <t>40033,40029,40028</t>
  </si>
  <si>
    <t>40029,40028,40030,40031</t>
  </si>
  <si>
    <t>40029,40031,40030,40028</t>
  </si>
  <si>
    <t>40033,40030,40028</t>
  </si>
  <si>
    <t>40033,40029,40030</t>
  </si>
  <si>
    <t>40031,40030,40029,40028</t>
  </si>
  <si>
    <t>40031,40033,40029</t>
  </si>
  <si>
    <t>40028,40029</t>
  </si>
  <si>
    <t>40030,40028</t>
  </si>
  <si>
    <t>40033,40029,40028,40031</t>
  </si>
  <si>
    <t>40031,40030,40028</t>
  </si>
  <si>
    <t>40028,40031,40029</t>
  </si>
  <si>
    <t>40029,40031</t>
  </si>
  <si>
    <t>40031,40033,40029,40030</t>
  </si>
  <si>
    <t>50006,40033,40030,40031,40029</t>
  </si>
  <si>
    <t>40037,40034</t>
  </si>
  <si>
    <t>40037,40036</t>
  </si>
  <si>
    <t>40034</t>
  </si>
  <si>
    <t>40038,40034</t>
  </si>
  <si>
    <t>40036,40039,40034</t>
  </si>
  <si>
    <t>40034,40039</t>
  </si>
  <si>
    <t>40034,40038</t>
  </si>
  <si>
    <t>40038,40036,40034</t>
  </si>
  <si>
    <t>40037,40038,40034</t>
  </si>
  <si>
    <t>40034,40036,40038</t>
  </si>
  <si>
    <t>40039,40037</t>
  </si>
  <si>
    <t>40037,40038</t>
  </si>
  <si>
    <t>40037,40036,40034,40038</t>
  </si>
  <si>
    <t>40038,40034,40036</t>
  </si>
  <si>
    <t>40034,40037</t>
  </si>
  <si>
    <t>40038,40039</t>
  </si>
  <si>
    <t>40039,40034,40038</t>
  </si>
  <si>
    <t>40038,40037,40036</t>
  </si>
  <si>
    <t>40038,40036,40037,40034</t>
  </si>
  <si>
    <t>40036,40038,40034</t>
  </si>
  <si>
    <t>40038,40037,40039,40034</t>
  </si>
  <si>
    <t>40034,40036,40038,40039</t>
  </si>
  <si>
    <t>40037,40039,40034</t>
  </si>
  <si>
    <t>40034,40039,40037,40038</t>
  </si>
  <si>
    <t>40039,40037,40036</t>
  </si>
  <si>
    <t>40034,40039,40036,40037</t>
  </si>
  <si>
    <t>40037,40036,40038,40039</t>
  </si>
  <si>
    <t>40037,40039,40038</t>
  </si>
  <si>
    <t>40039,40038,40036,40037</t>
  </si>
  <si>
    <t>40039,40034,40036,40037</t>
  </si>
  <si>
    <t>40038,40034,40037,40039</t>
  </si>
  <si>
    <t>40036,40038</t>
  </si>
  <si>
    <t>40038,40039,40037</t>
  </si>
  <si>
    <t>40039,40038,40037</t>
  </si>
  <si>
    <t>40036,40038,40037,40034</t>
  </si>
  <si>
    <t>40037,40038,40036,40034</t>
  </si>
  <si>
    <t>40038,40036,40039</t>
  </si>
  <si>
    <t>40036,40034,40039,40037,40038</t>
  </si>
  <si>
    <t>50007,40039,40034,40037,40036</t>
  </si>
  <si>
    <t>40040,40044</t>
  </si>
  <si>
    <t>40073,40044</t>
  </si>
  <si>
    <t>40073,40043</t>
  </si>
  <si>
    <t>40040</t>
  </si>
  <si>
    <t>40043,40041</t>
  </si>
  <si>
    <t>40041,40040,40073</t>
  </si>
  <si>
    <t>40041,40044,40073</t>
  </si>
  <si>
    <t>40073,40040,40044</t>
  </si>
  <si>
    <t>40044,40041,40040</t>
  </si>
  <si>
    <t>40041,40073,40040</t>
  </si>
  <si>
    <t>40041,40044</t>
  </si>
  <si>
    <t>40044,40043</t>
  </si>
  <si>
    <t>40041,40040,40073,40044</t>
  </si>
  <si>
    <t>40041,40044,40040,40073</t>
  </si>
  <si>
    <t>40073,40040</t>
  </si>
  <si>
    <t>40040,40041,40043,40044</t>
  </si>
  <si>
    <t>40073,40040,40044,40043</t>
  </si>
  <si>
    <t>40073,40040,40041,40043,40044</t>
  </si>
  <si>
    <t>40044,40073,40043</t>
  </si>
  <si>
    <t>40040,40073,40041,40044</t>
  </si>
  <si>
    <t>40040,40043,40041,40044</t>
  </si>
  <si>
    <t>40043,40040,40041,40073</t>
  </si>
  <si>
    <t>40073,40041,40043,40040</t>
  </si>
  <si>
    <t>40044,40073,40043,40041</t>
  </si>
  <si>
    <t>40041,40043,40073</t>
  </si>
  <si>
    <t>40044,40041,40043</t>
  </si>
  <si>
    <t>40040,40043,40044</t>
  </si>
  <si>
    <t>40040,40043,40073</t>
  </si>
  <si>
    <t>40073,40044,40040,40041</t>
  </si>
  <si>
    <t>40044,40073</t>
  </si>
  <si>
    <t>40073,40044,40043</t>
  </si>
  <si>
    <t>40040,40041,40044</t>
  </si>
  <si>
    <t>40040,40073,40043</t>
  </si>
  <si>
    <t>40040,40041</t>
  </si>
  <si>
    <t>40041,40044,40073,40040</t>
  </si>
  <si>
    <t>50008,40041,40044,40073,40043</t>
  </si>
  <si>
    <t>40074,40032</t>
  </si>
  <si>
    <t>40046,40042</t>
  </si>
  <si>
    <t>40042,40047</t>
  </si>
  <si>
    <t>40047,40042</t>
  </si>
  <si>
    <t>40046,40032</t>
  </si>
  <si>
    <t>40047,40046</t>
  </si>
  <si>
    <t>40046,40047,40032</t>
  </si>
  <si>
    <t>40032,40042,40047</t>
  </si>
  <si>
    <t>40074,40046,40042</t>
  </si>
  <si>
    <t>40074,40046,40042,40032</t>
  </si>
  <si>
    <t>40046,40074,40032</t>
  </si>
  <si>
    <t>40042,40074,40032</t>
  </si>
  <si>
    <t>40074,40046,40047</t>
  </si>
  <si>
    <t>40074,40046,40032,40042</t>
  </si>
  <si>
    <t>40074,40047,40042</t>
  </si>
  <si>
    <t>40042,40047,40032</t>
  </si>
  <si>
    <t>40074,40046,40032,40042,40047</t>
  </si>
  <si>
    <t>40074,40042,40046</t>
  </si>
  <si>
    <t>40032,40047,40042</t>
  </si>
  <si>
    <t>40047,40042,40046,40032</t>
  </si>
  <si>
    <t>40046,40047,40074</t>
  </si>
  <si>
    <t>40032,40046,40047,40042,40074</t>
  </si>
  <si>
    <t>40032,40042,40046</t>
  </si>
  <si>
    <t>40032,40046,40074</t>
  </si>
  <si>
    <t>40047,40074,40046,40032</t>
  </si>
  <si>
    <t>40046,40042,40074,40047</t>
  </si>
  <si>
    <t>40042,40032,40046</t>
  </si>
  <si>
    <t>40042,40074,40046</t>
  </si>
  <si>
    <t>40046,40047,40042</t>
  </si>
  <si>
    <t>40074,40046,40032</t>
  </si>
  <si>
    <t>40032,40046,40042,40047</t>
  </si>
  <si>
    <t>40047,40046,40032</t>
  </si>
  <si>
    <t>40046,40042,40047,40074</t>
  </si>
  <si>
    <t>40074,40042,40047,40046</t>
  </si>
  <si>
    <t>50009,40074,40032,40047,40046</t>
  </si>
  <si>
    <t>40075,40050</t>
  </si>
  <si>
    <t>40075,40045</t>
  </si>
  <si>
    <t>40052</t>
  </si>
  <si>
    <t>40076,40075</t>
  </si>
  <si>
    <t>40075,40052</t>
  </si>
  <si>
    <t>40075,40052,40045</t>
  </si>
  <si>
    <t>40076,40045</t>
  </si>
  <si>
    <t>40052,40050</t>
  </si>
  <si>
    <t>40076,40050</t>
  </si>
  <si>
    <t>40052,40045</t>
  </si>
  <si>
    <t>40045,40050,40075</t>
  </si>
  <si>
    <t>40045,40076,40050</t>
  </si>
  <si>
    <t>40045,40052,40075,40076</t>
  </si>
  <si>
    <t>40075,40076,40050,40052</t>
  </si>
  <si>
    <t>40075,40050,40076</t>
  </si>
  <si>
    <t>40052,40050,40076,40045</t>
  </si>
  <si>
    <t>40052,40075,40076,40045</t>
  </si>
  <si>
    <t>40045,40076,40075,40052</t>
  </si>
  <si>
    <t>40052,40076,40075</t>
  </si>
  <si>
    <t>40075,40076,40052,40045,40050</t>
  </si>
  <si>
    <t>40050,40052,40075</t>
  </si>
  <si>
    <t>40050,40075,40076,40045</t>
  </si>
  <si>
    <t>40052,40050,40076,40075</t>
  </si>
  <si>
    <t>40052,40050,40045</t>
  </si>
  <si>
    <t>40076,40045,40050</t>
  </si>
  <si>
    <t>40075,40045,40050,40052</t>
  </si>
  <si>
    <t>40052,40075,40045</t>
  </si>
  <si>
    <t>40076,40052,40045,40050</t>
  </si>
  <si>
    <t>40076,40075,40052,40045</t>
  </si>
  <si>
    <t>40050,40052,40075,40076,40045</t>
  </si>
  <si>
    <t>40076,40045,40050,40075</t>
  </si>
  <si>
    <t>40075,40045,40050,40076</t>
  </si>
  <si>
    <t>40050,40045,40075,40052</t>
  </si>
  <si>
    <t>40045,40076,40052</t>
  </si>
  <si>
    <t>50010,40076,40052,40050,40075</t>
  </si>
  <si>
    <t>40078,40077</t>
  </si>
  <si>
    <t>40048,40078</t>
  </si>
  <si>
    <t>40078</t>
  </si>
  <si>
    <t>40048,40077</t>
  </si>
  <si>
    <t>40078,40048,40049</t>
  </si>
  <si>
    <t>40077,40049</t>
  </si>
  <si>
    <t>40078,40077,40054</t>
  </si>
  <si>
    <t>40077,40048</t>
  </si>
  <si>
    <t>40054,40049,40078</t>
  </si>
  <si>
    <t>40077,40054</t>
  </si>
  <si>
    <t>40077,40078,40054</t>
  </si>
  <si>
    <t>40054,40048,40049</t>
  </si>
  <si>
    <t>40054,40048</t>
  </si>
  <si>
    <t>40054,40077,40078</t>
  </si>
  <si>
    <t>40054,40078,40049</t>
  </si>
  <si>
    <t>40049,40054,40077,40078</t>
  </si>
  <si>
    <t>40077,40054,40049,40078</t>
  </si>
  <si>
    <t>40077,40048,40078,40054</t>
  </si>
  <si>
    <t>40077,40078,40049,40054</t>
  </si>
  <si>
    <t>40077,40078</t>
  </si>
  <si>
    <t>40078,40049</t>
  </si>
  <si>
    <t>40049,40078,40054</t>
  </si>
  <si>
    <t>40049,40048,40054</t>
  </si>
  <si>
    <t>40049,40078,40048</t>
  </si>
  <si>
    <t>40048,40054,40049</t>
  </si>
  <si>
    <t>40048,40054,40078</t>
  </si>
  <si>
    <t>40078,40048</t>
  </si>
  <si>
    <t>40077,40078,40048</t>
  </si>
  <si>
    <t>40077,40049,40054</t>
  </si>
  <si>
    <t>40077,40054,40078,40049</t>
  </si>
  <si>
    <t>40077,40049,40078</t>
  </si>
  <si>
    <t>40077,40049,40048</t>
  </si>
  <si>
    <t>40077,40049,40048,40078</t>
  </si>
  <si>
    <t>40077,40049,40078,40048</t>
  </si>
  <si>
    <t>40078,40048,40077</t>
  </si>
  <si>
    <t>40048,40054,40077,40049</t>
  </si>
  <si>
    <t>40048,40077,40054</t>
  </si>
  <si>
    <t>50011,40048,40054,40077,40078</t>
  </si>
  <si>
    <t>40080</t>
  </si>
  <si>
    <t>40079,40065</t>
  </si>
  <si>
    <t>40081,40080</t>
  </si>
  <si>
    <t>40065,40080</t>
  </si>
  <si>
    <t>40079,40080</t>
  </si>
  <si>
    <t>40055,40065</t>
  </si>
  <si>
    <t>40065,40081</t>
  </si>
  <si>
    <t>40079,40055,40081</t>
  </si>
  <si>
    <t>40079,40055</t>
  </si>
  <si>
    <t>40081,40080,40065</t>
  </si>
  <si>
    <t>40081,40065</t>
  </si>
  <si>
    <t>40079,40081</t>
  </si>
  <si>
    <t>40055,40080</t>
  </si>
  <si>
    <t>40080,40079,40065</t>
  </si>
  <si>
    <t>40080,40055,40065</t>
  </si>
  <si>
    <t>40079,40065,40055</t>
  </si>
  <si>
    <t>40065,40080,40079</t>
  </si>
  <si>
    <t>40081,40079,40080</t>
  </si>
  <si>
    <t>40065,40079,40055,40080</t>
  </si>
  <si>
    <t>40079,40081,40055</t>
  </si>
  <si>
    <t>40055,40065,40081,40079</t>
  </si>
  <si>
    <t>40080,40079</t>
  </si>
  <si>
    <t>40080,40055,40079,40081</t>
  </si>
  <si>
    <t>40081,40065,40080</t>
  </si>
  <si>
    <t>40065,40055,40080</t>
  </si>
  <si>
    <t>40055,40065,40079</t>
  </si>
  <si>
    <t>40081,40065,40080,40055</t>
  </si>
  <si>
    <t>40065,40055,40081,40080</t>
  </si>
  <si>
    <t>40055,40065,40080</t>
  </si>
  <si>
    <t>40081,40079,40080,40055</t>
  </si>
  <si>
    <t>40079,40055,40080</t>
  </si>
  <si>
    <t>40079,40055,40065</t>
  </si>
  <si>
    <t>40079,40081,40080</t>
  </si>
  <si>
    <t>40081,40065,40055,40079</t>
  </si>
  <si>
    <t>40055,40081,40080,40079</t>
  </si>
  <si>
    <t>40065,40079,40080,40081</t>
  </si>
  <si>
    <t>40079,40080,40081,40065</t>
  </si>
  <si>
    <t>40079,40055,40080,40065</t>
  </si>
  <si>
    <t>40079,40081,40080,40055</t>
  </si>
  <si>
    <t>40081,40065,40079</t>
  </si>
  <si>
    <t>40081,40055,40080</t>
  </si>
  <si>
    <t>40065,40081,40055,40079</t>
  </si>
  <si>
    <t>40080,40055,40079</t>
  </si>
  <si>
    <t>40081,40055,40065</t>
  </si>
  <si>
    <t>40055,40081,40080,40065</t>
  </si>
  <si>
    <t>40079,40081,40065</t>
  </si>
  <si>
    <t>50012,40055,40081,40079,40080</t>
  </si>
  <si>
    <t>40059,40083</t>
  </si>
  <si>
    <t>40053</t>
  </si>
  <si>
    <t>40053,40083</t>
  </si>
  <si>
    <t>40083,40059,40082</t>
  </si>
  <si>
    <t>40082,40059</t>
  </si>
  <si>
    <t>40059,40058</t>
  </si>
  <si>
    <t>40059,40058,40083</t>
  </si>
  <si>
    <t>40058,40083</t>
  </si>
  <si>
    <t>40059,40082</t>
  </si>
  <si>
    <t>40053,40059</t>
  </si>
  <si>
    <t>40059,40083,40058</t>
  </si>
  <si>
    <t>40082,40053,40059</t>
  </si>
  <si>
    <t>40082,40058,40053</t>
  </si>
  <si>
    <t>40053,40058</t>
  </si>
  <si>
    <t>40053,40059,40083</t>
  </si>
  <si>
    <t>40059,40053,40083</t>
  </si>
  <si>
    <t>40058,40082,40059</t>
  </si>
  <si>
    <t>40053,40059,40082</t>
  </si>
  <si>
    <t>40082,40053,40083</t>
  </si>
  <si>
    <t>40083,40082</t>
  </si>
  <si>
    <t>40059,40058,40083,40053</t>
  </si>
  <si>
    <t>40082,40083,40059,40058</t>
  </si>
  <si>
    <t>40059,40053,40083,40058</t>
  </si>
  <si>
    <t>40053,40083,40082</t>
  </si>
  <si>
    <t>40053,40059,40058,40082</t>
  </si>
  <si>
    <t>40059,40083,40053</t>
  </si>
  <si>
    <t>40083,40082,40059,40053</t>
  </si>
  <si>
    <t>40083,40053,40059</t>
  </si>
  <si>
    <t>40082,40058,40083,40059</t>
  </si>
  <si>
    <t>40058,40059,40082</t>
  </si>
  <si>
    <t>40083,40082,40058,40059</t>
  </si>
  <si>
    <t>40082,40083,40053,40058</t>
  </si>
  <si>
    <t>40058,40083,40059</t>
  </si>
  <si>
    <t>40058,40053,40083,40059</t>
  </si>
  <si>
    <t>40083,40059</t>
  </si>
  <si>
    <t>40053,40083,40058</t>
  </si>
  <si>
    <t>40082,40059,40058,40053</t>
  </si>
  <si>
    <t>40058,40053,40059</t>
  </si>
  <si>
    <t>40082,40083,40053,40059</t>
  </si>
  <si>
    <t>40053,40082,40058</t>
  </si>
  <si>
    <t>50013,40083,40059,40082,40058</t>
  </si>
  <si>
    <t>40064,40062</t>
  </si>
  <si>
    <t>40084,40064</t>
  </si>
  <si>
    <t>40062,40061</t>
  </si>
  <si>
    <t>40084,40061</t>
  </si>
  <si>
    <t>40084</t>
  </si>
  <si>
    <t>40064,40051,40062</t>
  </si>
  <si>
    <t>40064,40084,40051</t>
  </si>
  <si>
    <t>40062,40051,40084</t>
  </si>
  <si>
    <t>40084,40061,40051</t>
  </si>
  <si>
    <t>40051,40084,40062</t>
  </si>
  <si>
    <t>40062,40061,40051</t>
  </si>
  <si>
    <t>40084,40051</t>
  </si>
  <si>
    <t>40062,40084</t>
  </si>
  <si>
    <t>40084,40061,40064</t>
  </si>
  <si>
    <t>40084,40062,40064</t>
  </si>
  <si>
    <t>40062,40064,40061,40084</t>
  </si>
  <si>
    <t>40061,40084</t>
  </si>
  <si>
    <t>40064,40061</t>
  </si>
  <si>
    <t>40064,40061,40084</t>
  </si>
  <si>
    <t>40061,40051,40084,40064</t>
  </si>
  <si>
    <t>40051,40064</t>
  </si>
  <si>
    <t>40051,40061,40064</t>
  </si>
  <si>
    <t>40051,40084,40061,40064</t>
  </si>
  <si>
    <t>40061,40051,40064</t>
  </si>
  <si>
    <t>40084,40051,40064</t>
  </si>
  <si>
    <t>40062,40084,40061</t>
  </si>
  <si>
    <t>40061,40084,40064,40051</t>
  </si>
  <si>
    <t>40061,40062</t>
  </si>
  <si>
    <t>40051,40084,40064</t>
  </si>
  <si>
    <t>40064,40062,40084</t>
  </si>
  <si>
    <t>40064,40084,40061</t>
  </si>
  <si>
    <t>40051,40064,40061,40084</t>
  </si>
  <si>
    <t>40064,40051,40061</t>
  </si>
  <si>
    <t>40062,40051,40064,40061</t>
  </si>
  <si>
    <t>40084,40062,40051,40064,40061</t>
  </si>
  <si>
    <t>40062,40084,40051,40064</t>
  </si>
  <si>
    <t>40062,40051,40061,40064</t>
  </si>
  <si>
    <t>40084,40064,40061</t>
  </si>
  <si>
    <t>40084,40064,40051</t>
  </si>
  <si>
    <t>40061,40064,40062,40084,40051</t>
  </si>
  <si>
    <t>40051,40084</t>
  </si>
  <si>
    <t>40061,40051,40062</t>
  </si>
  <si>
    <t>40051,40062,40061</t>
  </si>
  <si>
    <t>50014,40051,40084,40061,40064</t>
  </si>
  <si>
    <t>40060,40056</t>
  </si>
  <si>
    <t>40060,40085</t>
  </si>
  <si>
    <t>40066</t>
  </si>
  <si>
    <t>40067,40085</t>
  </si>
  <si>
    <t>40060,40066</t>
  </si>
  <si>
    <t>40056,40085</t>
  </si>
  <si>
    <t>40066,40060,40056</t>
  </si>
  <si>
    <t>40056,40060,40067</t>
  </si>
  <si>
    <t>40056,40066,40060</t>
  </si>
  <si>
    <t>40066,40085</t>
  </si>
  <si>
    <t>40066,40067,40056</t>
  </si>
  <si>
    <t>40060,40085,40066</t>
  </si>
  <si>
    <t>40066,40067</t>
  </si>
  <si>
    <t>40067,40066,40056</t>
  </si>
  <si>
    <t>40056,40085,40060</t>
  </si>
  <si>
    <t>40056,40060,40085</t>
  </si>
  <si>
    <t>40067,40056</t>
  </si>
  <si>
    <t>40085,40056,40060</t>
  </si>
  <si>
    <t>40085,40066,40067,40060</t>
  </si>
  <si>
    <t>40067,40066,40060</t>
  </si>
  <si>
    <t>40066,40056,40060</t>
  </si>
  <si>
    <t>40056,40060</t>
  </si>
  <si>
    <t>40060,40056,40067</t>
  </si>
  <si>
    <t>40085,40067,40056</t>
  </si>
  <si>
    <t>40066,40067,40085,40060</t>
  </si>
  <si>
    <t>40060,40085,40067,40066</t>
  </si>
  <si>
    <t>40056,40067,40085,40060</t>
  </si>
  <si>
    <t>40066,40060,40085</t>
  </si>
  <si>
    <t>40085,40060,40067</t>
  </si>
  <si>
    <t>40060,40067,40056,40085</t>
  </si>
  <si>
    <t>40060,40066,40056,40067</t>
  </si>
  <si>
    <t>40085,40060,40067,40056</t>
  </si>
  <si>
    <t>40060,40085,40056,40067</t>
  </si>
  <si>
    <t>40067,40066,40085,40060</t>
  </si>
  <si>
    <t>40060,40085,40056,40066,40067</t>
  </si>
  <si>
    <t>40067,40085,40056,40066</t>
  </si>
  <si>
    <t>40066,40056</t>
  </si>
  <si>
    <t>40067,40085,40056,40060</t>
  </si>
  <si>
    <t>50015,40060,40085,40056,40066</t>
  </si>
  <si>
    <t>40063,40086</t>
  </si>
  <si>
    <t>40072,40063</t>
  </si>
  <si>
    <t>40069,40086</t>
  </si>
  <si>
    <t>40072</t>
  </si>
  <si>
    <t>40087,40069,40063</t>
  </si>
  <si>
    <t>40087,40072</t>
  </si>
  <si>
    <t>40086,40069</t>
  </si>
  <si>
    <t>40063,40086,40069</t>
  </si>
  <si>
    <t>40063,40087,40086</t>
  </si>
  <si>
    <t>40063,40069,40072</t>
  </si>
  <si>
    <t>40072,40069</t>
  </si>
  <si>
    <t>40086</t>
  </si>
  <si>
    <t>40072,40086,40063</t>
  </si>
  <si>
    <t>40087,40069,40086</t>
  </si>
  <si>
    <t>40086,40087,40069,40063</t>
  </si>
  <si>
    <t>40069,40072,40086</t>
  </si>
  <si>
    <t>40087,40086,40063</t>
  </si>
  <si>
    <t>40063,40086,40087</t>
  </si>
  <si>
    <t>40087,40072,40063,40086</t>
  </si>
  <si>
    <t>40072,40063,40069</t>
  </si>
  <si>
    <t>40086,40063,40072</t>
  </si>
  <si>
    <t>40069,40087,40086</t>
  </si>
  <si>
    <t>40072,40087</t>
  </si>
  <si>
    <t>40069,40072,40063,40086</t>
  </si>
  <si>
    <t>40086,40069,40063</t>
  </si>
  <si>
    <t>40072,40086,40063,40087</t>
  </si>
  <si>
    <t>40063,40072,40086</t>
  </si>
  <si>
    <t>40087,40086,40072,40063</t>
  </si>
  <si>
    <t>40069,40072</t>
  </si>
  <si>
    <t>40087,40069,40072,40063</t>
  </si>
  <si>
    <t>40086,40072,40087,40069</t>
  </si>
  <si>
    <t>40069,40087,40063,40086</t>
  </si>
  <si>
    <t>40069,40086,40087,40072</t>
  </si>
  <si>
    <t>40086,40087,40069</t>
  </si>
  <si>
    <t>40072,40069,40063</t>
  </si>
  <si>
    <t>40087,40063,40072,40069</t>
  </si>
  <si>
    <t>40086,40069,40063,40087</t>
  </si>
  <si>
    <t>40069,40086,40072</t>
  </si>
  <si>
    <t>40086,40087,40072,40069</t>
  </si>
  <si>
    <t>40072,40087,40069</t>
  </si>
  <si>
    <t>40063,40087,40072,40086</t>
  </si>
  <si>
    <t>40086,40072</t>
  </si>
  <si>
    <t>40072,40069,40063,40086</t>
  </si>
  <si>
    <t>40069,40063,40087</t>
  </si>
  <si>
    <t>50000,40063,40072,40086,40069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</si>
  <si>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</si>
  <si>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</si>
  <si>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</si>
  <si>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</si>
  <si>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</si>
  <si>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</si>
  <si>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</si>
  <si>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</si>
  <si>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</si>
  <si>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</si>
  <si>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</si>
  <si>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</si>
  <si>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</si>
  <si>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</si>
  <si>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</si>
  <si>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</si>
  <si>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</si>
  <si>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</si>
  <si>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</si>
  <si>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</si>
  <si>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</si>
  <si>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</si>
  <si>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</si>
  <si>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</si>
  <si>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</si>
  <si>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</si>
  <si>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</si>
  <si>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</si>
  <si>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</si>
  <si>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</si>
  <si>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</si>
  <si>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</si>
  <si>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</si>
  <si>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</si>
  <si>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</si>
  <si>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</si>
  <si>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</si>
  <si>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</si>
  <si>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</si>
  <si>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</si>
  <si>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</si>
  <si>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</si>
  <si>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</si>
  <si>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</si>
  <si>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</si>
  <si>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</si>
  <si>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</si>
  <si>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</si>
  <si>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</si>
  <si>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</si>
  <si>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</si>
  <si>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</si>
  <si>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</si>
  <si>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</si>
  <si>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</si>
  <si>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</si>
  <si>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</si>
  <si>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</si>
  <si>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</si>
  <si>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</si>
  <si>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</si>
  <si>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</si>
  <si>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</si>
  <si>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</si>
  <si>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</si>
  <si>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</si>
  <si>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</si>
  <si>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</si>
  <si>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</si>
  <si>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</si>
  <si>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</si>
  <si>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</si>
  <si>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</si>
  <si>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</si>
  <si>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</si>
  <si>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</si>
  <si>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</si>
  <si>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</si>
  <si>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</si>
  <si>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</si>
  <si>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</si>
  <si>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</si>
  <si>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</si>
  <si>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</si>
  <si>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</si>
  <si>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</si>
  <si>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</si>
  <si>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</si>
  <si>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</si>
  <si>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</si>
  <si>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</si>
  <si>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</si>
  <si>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</si>
  <si>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</si>
  <si>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</si>
  <si>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</si>
  <si>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</si>
  <si>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</si>
  <si>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</si>
  <si>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</si>
  <si>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武器升星3</t>
  </si>
  <si>
    <t>武器升星4</t>
  </si>
  <si>
    <t>武器升星5</t>
  </si>
  <si>
    <t>武器升星6</t>
  </si>
  <si>
    <t>武器升星7</t>
  </si>
  <si>
    <t>重複獲取</t>
  </si>
  <si>
    <t>獲取片數</t>
  </si>
  <si>
    <t>武器升星8</t>
  </si>
  <si>
    <t>武器升星9</t>
  </si>
  <si>
    <t>武器升星10</t>
  </si>
  <si>
    <t>魔物升星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</si>
  <si>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</si>
  <si>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</si>
  <si>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</si>
  <si>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</si>
  <si>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</si>
  <si>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</si>
  <si>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</si>
  <si>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</si>
  <si>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</si>
  <si>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</si>
  <si>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</si>
  <si>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</si>
  <si>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有傷害分擔</t>
  </si>
  <si>
    <t>#捨身取義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</si>
  <si>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</si>
  <si>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</si>
  <si>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</si>
  <si>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</si>
  <si>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</si>
  <si>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</si>
  <si>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有燒傷技能</t>
  </si>
  <si>
    <t>有冰凍或凍傷技能</t>
  </si>
  <si>
    <t>有削弱技能</t>
  </si>
  <si>
    <t>聯想</t>
  </si>
  <si>
    <t>形象</t>
  </si>
  <si>
    <t>#野獸</t>
  </si>
  <si>
    <t>種族</t>
  </si>
  <si>
    <t>#史萊姆</t>
  </si>
  <si>
    <t>#精靈元素</t>
  </si>
  <si>
    <t>#不死亡靈</t>
  </si>
  <si>
    <t>#魔族深淵</t>
  </si>
  <si>
    <t>#構裝傀儡</t>
  </si>
  <si>
    <t>#盜賊術士</t>
  </si>
  <si>
    <t>#騎士聖光</t>
  </si>
  <si>
    <t>group</t>
  </si>
  <si>
    <t>unlock_job</t>
  </si>
  <si>
    <t>劍士天賦</t>
  </si>
  <si>
    <t>戰士天賦</t>
  </si>
  <si>
    <t>弓劍手天賦</t>
  </si>
  <si>
    <t>盜賊天賦</t>
  </si>
  <si>
    <t>魔法師天賦</t>
  </si>
  <si>
    <t>實習祭司天賦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</si>
  <si>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</si>
  <si>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</si>
  <si>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</si>
  <si>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</si>
  <si>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</si>
  <si>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</si>
  <si>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{0},{0},{115},{0},{0}
{0},{116},{0},{117},{0}
{0},{118},{0},{119},{0}
{120},{0},{121},{0},{122}
{0},{123},{0},{124},{0}
{125},{0},{0},{0},{126}
{0},{127},{0},{128},{0}
{0},{0},{129},{0},{0}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</si>
  <si>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</si>
  <si>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</si>
  <si>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</si>
  <si>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</si>
  <si>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</si>
  <si>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next</t>
  </si>
  <si>
    <t>累计获得经验</t>
  </si>
  <si>
    <t>point</t>
  </si>
  <si>
    <t>#總點數</t>
  </si>
  <si>
    <t>70001,70002,70003,70004,70005,70006,70007,70011,70012,70013,70014,70015,70016,70017,70021,70022,70023,70024,70025,70026,70027,70031,70032,70033,70034,70035,70036,70037,70041,70042,70043,70044,70045,70046,70047,70051,70052,70053,70054,70055,70056,70057,70061,70062,70063,70064,70065,70066,70067,70071,70072,70073,70074,70075,70076,70077,80001,81001,82001,83001,84001,85001,88000,88001,88002,88003,88004,88005,88006,88007,88008,88009,88010,88011,88012,88013,88014,88015,88016,88017,88018,88019,88020,88021,88022,88023,88024,88025,88026,88027,88028,88029,88030,88031,88040</t>
    <phoneticPr fontId="29" type="noConversion"/>
  </si>
  <si>
    <t>根源之力</t>
    <phoneticPr fontId="29" type="noConversion"/>
  </si>
  <si>
    <t>攻擊精進</t>
    <phoneticPr fontId="29" type="noConversion"/>
  </si>
  <si>
    <t>守禦意志</t>
    <phoneticPr fontId="29" type="noConversion"/>
  </si>
  <si>
    <t>攻擊精進1</t>
    <phoneticPr fontId="29" type="noConversion"/>
  </si>
  <si>
    <t>守禦意志1</t>
    <phoneticPr fontId="29" type="noConversion"/>
  </si>
  <si>
    <t>攻擊精進2</t>
    <phoneticPr fontId="29" type="noConversion"/>
  </si>
  <si>
    <t>守禦意志2</t>
    <phoneticPr fontId="29" type="noConversion"/>
  </si>
  <si>
    <t>{0},{0},{100},{0},{0}
{0},{101},{0},{102},{0}
{0},{103},{0},{104},{0}
{0},{105},{0},{106},{0},
{0},{0},{107},{0},{0},
{0},{108},{0},{109},{0},</t>
    <phoneticPr fontId="29" type="noConversion"/>
  </si>
  <si>
    <r>
      <rPr>
        <sz val="11"/>
        <color theme="1"/>
        <rFont val="微軟正黑體"/>
        <family val="2"/>
        <charset val="136"/>
      </rPr>
      <t>持續修練</t>
    </r>
    <r>
      <rPr>
        <sz val="11"/>
        <color theme="1"/>
        <rFont val="Noto Sans CJK SC"/>
        <family val="2"/>
      </rPr>
      <t>1</t>
    </r>
    <phoneticPr fontId="29" type="noConversion"/>
  </si>
  <si>
    <t>持續修練2</t>
    <phoneticPr fontId="29" type="noConversion"/>
  </si>
  <si>
    <t>{role:-1},
{id:-1},{id:-1},{id:-1},{id:-1},{id:-1}
{id:50002,atk:70},{id:40012},{id:40016},{id:40014},{id:40013}</t>
    <phoneticPr fontId="29" type="noConversion"/>
  </si>
  <si>
    <t>初階職業</t>
    <phoneticPr fontId="29" type="noConversion"/>
  </si>
  <si>
    <t>中階職業</t>
    <phoneticPr fontId="29" type="noConversion"/>
  </si>
  <si>
    <t>高階職業</t>
    <phoneticPr fontId="29" type="noConversion"/>
  </si>
  <si>
    <r>
      <rPr>
        <sz val="10"/>
        <color rgb="FF000000"/>
        <rFont val="微軟正黑體"/>
        <family val="2"/>
        <charset val="136"/>
      </rPr>
      <t>「無限地城」開放了！挑戰</t>
    </r>
    <r>
      <rPr>
        <sz val="10"/>
        <color rgb="FF000000"/>
        <rFont val="Arial"/>
        <family val="2"/>
      </rPr>
      <t>LV.10~50</t>
    </r>
    <r>
      <rPr>
        <sz val="10"/>
        <color rgb="FF000000"/>
        <rFont val="微軟正黑體"/>
        <family val="2"/>
        <charset val="136"/>
      </rPr>
      <t>的地城，逐層突破取得裝備與洗鍊石獎勵，通關整座地城才會一次發放獎勵。</t>
    </r>
    <phoneticPr fontId="2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</si>
</sst>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\-d"/>
    <numFmt numFmtId="177" formatCode="0.000%"/>
    <numFmt numFmtId="178" formatCode="0.0%"/>
    <numFmt numFmtId="179" formatCode="yyyy/m/d\ h:mm"/>
  </numFmts>
  <fonts count="35">
    <font>
      <sz val="10"/>
      <color rgb="FF000000"/>
      <name val="Arial"/>
      <charset val="1"/>
    </font>
    <font>
      <sz val="11"/>
      <color theme="1"/>
      <name val="Arial"/>
      <charset val="1"/>
    </font>
    <font>
      <sz val="11"/>
      <color theme="1"/>
      <name val="Noto Sans CJK SC"/>
      <family val="2"/>
    </font>
    <font>
      <strike/>
      <sz val="11"/>
      <color theme="1"/>
      <name val="Arial"/>
      <family val="2"/>
    </font>
    <font>
      <strike/>
      <sz val="11"/>
      <color theme="1"/>
      <name val="Noto Sans CJK SC"/>
      <family val="2"/>
    </font>
    <font>
      <b/>
      <sz val="11"/>
      <color theme="1"/>
      <name val="Noto Sans CJK SC"/>
      <family val="2"/>
    </font>
    <font>
      <sz val="12"/>
      <color rgb="FF000000"/>
      <name val="新細明體"/>
      <family val="1"/>
      <charset val="136"/>
    </font>
    <font>
      <sz val="12"/>
      <color rgb="FF000000"/>
      <name val="Noto Sans CJK SC"/>
      <family val="2"/>
    </font>
    <font>
      <sz val="11"/>
      <color rgb="FF000000"/>
      <name val="Noto Sans CJK SC"/>
      <family val="2"/>
    </font>
    <font>
      <sz val="11"/>
      <color rgb="FF000000"/>
      <name val="Arial"/>
      <family val="2"/>
    </font>
    <font>
      <b/>
      <sz val="12"/>
      <color rgb="FF1F1F1F"/>
      <name val="Arial"/>
      <family val="2"/>
    </font>
    <font>
      <sz val="12"/>
      <color rgb="FF1F1F1F"/>
      <name val="Noto Sans CJK SC"/>
      <family val="2"/>
    </font>
    <font>
      <sz val="12"/>
      <color rgb="FF1F1F1F"/>
      <name val="Arial"/>
      <family val="2"/>
    </font>
    <font>
      <sz val="11"/>
      <color rgb="FF1F1F1F"/>
      <name val="Google Sans Text"/>
      <charset val="1"/>
    </font>
    <font>
      <sz val="11"/>
      <color rgb="FF1F1F1F"/>
      <name val="Noto Sans CJK SC"/>
      <family val="2"/>
    </font>
    <font>
      <sz val="11"/>
      <color rgb="FF1F1F1F"/>
      <name val="&quot;Google Sans Text&quot;"/>
      <charset val="1"/>
    </font>
    <font>
      <sz val="10"/>
      <color theme="1"/>
      <name val="Arial"/>
      <family val="2"/>
    </font>
    <font>
      <sz val="10"/>
      <color theme="1"/>
      <name val="Noto Sans CJK SC"/>
      <family val="2"/>
    </font>
    <font>
      <sz val="11"/>
      <color rgb="FFEFEFEF"/>
      <name val="Arial"/>
      <family val="2"/>
    </font>
    <font>
      <sz val="10"/>
      <color rgb="FF000000"/>
      <name val="新細明體"/>
      <family val="1"/>
      <charset val="136"/>
    </font>
    <font>
      <sz val="11"/>
      <color rgb="FFFF0000"/>
      <name val="Noto Sans CJK SC"/>
      <family val="2"/>
    </font>
    <font>
      <sz val="10"/>
      <color rgb="FF000000"/>
      <name val="Noto Sans CJK SC"/>
      <family val="2"/>
    </font>
    <font>
      <b/>
      <sz val="11"/>
      <color rgb="FF1F1F1F"/>
      <name val="&quot;Google Sans Text&quot;"/>
      <family val="1"/>
      <charset val="136"/>
    </font>
    <font>
      <sz val="11"/>
      <color rgb="FF444746"/>
      <name val="&quot;Google Sans Text&quot;"/>
      <family val="1"/>
      <charset val="136"/>
    </font>
    <font>
      <sz val="11"/>
      <color rgb="FF0000FF"/>
      <name val="Arial"/>
      <family val="2"/>
    </font>
    <font>
      <b/>
      <sz val="11"/>
      <color theme="1"/>
      <name val="Arial"/>
      <family val="2"/>
    </font>
    <font>
      <sz val="11"/>
      <color theme="1"/>
      <name val="Ui-sans-serif"/>
      <charset val="1"/>
    </font>
    <font>
      <sz val="11"/>
      <color theme="1"/>
      <name val="Arial"/>
      <family val="2"/>
    </font>
    <font>
      <sz val="10"/>
      <color rgb="FF000000"/>
      <name val="Arial"/>
      <family val="2"/>
    </font>
    <font>
      <sz val="9"/>
      <name val="細明體"/>
      <family val="3"/>
      <charset val="136"/>
    </font>
    <font>
      <sz val="11"/>
      <color theme="1"/>
      <name val="微軟正黑體"/>
      <family val="2"/>
      <charset val="136"/>
    </font>
    <font>
      <sz val="11"/>
      <color theme="1"/>
      <name val="Noto Sans CJK SC"/>
      <family val="2"/>
      <charset val="136"/>
    </font>
    <font>
      <sz val="10"/>
      <color rgb="FF000000"/>
      <name val="Microsoft JhengHei"/>
      <family val="2"/>
      <charset val="136"/>
    </font>
    <font>
      <sz val="10"/>
      <color rgb="FF000000"/>
      <name val="微軟正黑體"/>
      <family val="2"/>
      <charset val="136"/>
    </font>
    <font>
      <sz val="10"/>
      <color rgb="FF000000"/>
      <name val="Arial"/>
      <family val="2"/>
      <charset val="136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666666"/>
        <bgColor rgb="FF808080"/>
      </patternFill>
    </fill>
    <fill>
      <patternFill patternType="solid">
        <fgColor rgb="FFFCE5CD"/>
        <bgColor rgb="FFEFEFEF"/>
      </patternFill>
    </fill>
    <fill>
      <patternFill patternType="solid">
        <fgColor rgb="FFD9EAD3"/>
        <bgColor rgb="FFD0E0E3"/>
      </patternFill>
    </fill>
    <fill>
      <patternFill patternType="solid">
        <fgColor rgb="FF93C47D"/>
        <bgColor rgb="FF969696"/>
      </patternFill>
    </fill>
    <fill>
      <patternFill patternType="solid">
        <fgColor rgb="FFD0E0E3"/>
        <bgColor rgb="FFD9D9D9"/>
      </patternFill>
    </fill>
    <fill>
      <patternFill patternType="solid">
        <fgColor rgb="FFD9D9D9"/>
        <bgColor rgb="FFD0E0E3"/>
      </patternFill>
    </fill>
    <fill>
      <patternFill patternType="solid">
        <fgColor rgb="FFFFFFFF"/>
        <bgColor rgb="FFF3F3F3"/>
      </patternFill>
    </fill>
    <fill>
      <patternFill patternType="solid">
        <fgColor rgb="FFEFEFEF"/>
        <bgColor rgb="FFF3F3F3"/>
      </patternFill>
    </fill>
    <fill>
      <patternFill patternType="solid">
        <fgColor rgb="FFF3F3F3"/>
        <bgColor rgb="FFEFEFEF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2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0" xfId="0" applyFont="1"/>
    <xf numFmtId="0" fontId="2" fillId="0" borderId="1" xfId="0" applyFont="1" applyBorder="1"/>
    <xf numFmtId="0" fontId="2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0" xfId="0" applyFont="1"/>
    <xf numFmtId="0" fontId="2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9" fontId="1" fillId="0" borderId="0" xfId="0" applyNumberFormat="1" applyFont="1"/>
    <xf numFmtId="0" fontId="3" fillId="0" borderId="1" xfId="0" applyFont="1" applyBorder="1"/>
    <xf numFmtId="0" fontId="4" fillId="0" borderId="1" xfId="0" applyFont="1" applyBorder="1"/>
    <xf numFmtId="9" fontId="1" fillId="0" borderId="1" xfId="0" applyNumberFormat="1" applyFont="1" applyBorder="1"/>
    <xf numFmtId="0" fontId="1" fillId="0" borderId="1" xfId="0" applyFont="1" applyBorder="1" applyAlignment="1">
      <alignment horizontal="right"/>
    </xf>
    <xf numFmtId="0" fontId="5" fillId="0" borderId="0" xfId="0" applyFont="1" applyAlignment="1">
      <alignment horizontal="center"/>
    </xf>
    <xf numFmtId="0" fontId="1" fillId="2" borderId="1" xfId="0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6" fillId="0" borderId="1" xfId="0" applyFont="1" applyBorder="1"/>
    <xf numFmtId="0" fontId="8" fillId="0" borderId="1" xfId="0" applyFont="1" applyBorder="1"/>
    <xf numFmtId="0" fontId="9" fillId="0" borderId="0" xfId="0" applyFont="1"/>
    <xf numFmtId="9" fontId="9" fillId="0" borderId="0" xfId="0" applyNumberFormat="1" applyFont="1"/>
    <xf numFmtId="0" fontId="8" fillId="0" borderId="0" xfId="0" applyFont="1"/>
    <xf numFmtId="0" fontId="9" fillId="0" borderId="1" xfId="0" applyFont="1" applyBorder="1"/>
    <xf numFmtId="0" fontId="6" fillId="0" borderId="1" xfId="0" applyFont="1" applyBorder="1" applyAlignment="1">
      <alignment horizontal="center"/>
    </xf>
    <xf numFmtId="0" fontId="10" fillId="0" borderId="0" xfId="0" applyFont="1"/>
    <xf numFmtId="0" fontId="6" fillId="0" borderId="0" xfId="0" applyFont="1"/>
    <xf numFmtId="0" fontId="11" fillId="0" borderId="1" xfId="0" applyFont="1" applyBorder="1"/>
    <xf numFmtId="0" fontId="12" fillId="0" borderId="0" xfId="0" applyFont="1"/>
    <xf numFmtId="0" fontId="11" fillId="0" borderId="0" xfId="0" applyFont="1"/>
    <xf numFmtId="9" fontId="12" fillId="0" borderId="1" xfId="0" applyNumberFormat="1" applyFont="1" applyBorder="1"/>
    <xf numFmtId="0" fontId="1" fillId="3" borderId="0" xfId="0" applyFont="1" applyFill="1"/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/>
    <xf numFmtId="10" fontId="1" fillId="0" borderId="1" xfId="0" applyNumberFormat="1" applyFont="1" applyBorder="1"/>
    <xf numFmtId="177" fontId="1" fillId="0" borderId="1" xfId="0" applyNumberFormat="1" applyFont="1" applyBorder="1"/>
    <xf numFmtId="178" fontId="1" fillId="0" borderId="1" xfId="0" applyNumberFormat="1" applyFont="1" applyBorder="1"/>
    <xf numFmtId="0" fontId="1" fillId="0" borderId="0" xfId="0" applyFont="1" applyAlignment="1">
      <alignment horizontal="center"/>
    </xf>
    <xf numFmtId="1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1" xfId="0" applyFont="1" applyFill="1" applyBorder="1" applyAlignment="1">
      <alignment horizontal="center"/>
    </xf>
    <xf numFmtId="1" fontId="1" fillId="2" borderId="1" xfId="0" applyNumberFormat="1" applyFont="1" applyFill="1" applyBorder="1"/>
    <xf numFmtId="0" fontId="1" fillId="2" borderId="1" xfId="0" applyFont="1" applyFill="1" applyBorder="1" applyAlignment="1">
      <alignment horizontal="left"/>
    </xf>
    <xf numFmtId="1" fontId="1" fillId="0" borderId="1" xfId="0" applyNumberFormat="1" applyFont="1" applyBorder="1"/>
    <xf numFmtId="0" fontId="1" fillId="0" borderId="1" xfId="0" applyFont="1" applyBorder="1" applyAlignment="1">
      <alignment horizontal="left"/>
    </xf>
    <xf numFmtId="0" fontId="13" fillId="0" borderId="1" xfId="0" applyFont="1" applyBorder="1"/>
    <xf numFmtId="0" fontId="14" fillId="0" borderId="1" xfId="0" applyFont="1" applyBorder="1"/>
    <xf numFmtId="0" fontId="15" fillId="0" borderId="1" xfId="0" applyFont="1" applyBorder="1" applyAlignment="1">
      <alignment horizontal="center"/>
    </xf>
    <xf numFmtId="0" fontId="15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" fontId="1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left"/>
    </xf>
    <xf numFmtId="9" fontId="1" fillId="0" borderId="1" xfId="0" applyNumberFormat="1" applyFont="1" applyBorder="1" applyAlignment="1">
      <alignment horizontal="center"/>
    </xf>
    <xf numFmtId="9" fontId="1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7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right"/>
    </xf>
    <xf numFmtId="0" fontId="6" fillId="0" borderId="1" xfId="0" applyFont="1" applyBorder="1" applyAlignment="1">
      <alignment horizontal="left"/>
    </xf>
    <xf numFmtId="0" fontId="16" fillId="0" borderId="1" xfId="0" applyFont="1" applyBorder="1" applyAlignment="1">
      <alignment horizontal="center"/>
    </xf>
    <xf numFmtId="1" fontId="1" fillId="0" borderId="1" xfId="0" applyNumberFormat="1" applyFont="1" applyBorder="1" applyAlignment="1">
      <alignment horizontal="left"/>
    </xf>
    <xf numFmtId="0" fontId="6" fillId="0" borderId="0" xfId="0" applyFont="1" applyAlignment="1">
      <alignment horizontal="left"/>
    </xf>
    <xf numFmtId="0" fontId="18" fillId="0" borderId="1" xfId="0" applyFont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18" fillId="5" borderId="1" xfId="0" applyFont="1" applyFill="1" applyBorder="1" applyAlignment="1">
      <alignment horizontal="left"/>
    </xf>
    <xf numFmtId="0" fontId="16" fillId="5" borderId="1" xfId="0" applyFont="1" applyFill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20" fillId="0" borderId="0" xfId="0" applyFont="1"/>
    <xf numFmtId="0" fontId="20" fillId="0" borderId="1" xfId="0" applyFont="1" applyBorder="1"/>
    <xf numFmtId="0" fontId="21" fillId="0" borderId="0" xfId="0" applyFont="1"/>
    <xf numFmtId="17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wrapText="1"/>
    </xf>
    <xf numFmtId="0" fontId="2" fillId="0" borderId="0" xfId="0" applyFont="1" applyAlignment="1">
      <alignment horizontal="left"/>
    </xf>
    <xf numFmtId="0" fontId="22" fillId="0" borderId="0" xfId="0" applyFont="1"/>
    <xf numFmtId="0" fontId="15" fillId="0" borderId="0" xfId="0" applyFont="1"/>
    <xf numFmtId="0" fontId="15" fillId="0" borderId="0" xfId="0" applyFont="1" applyAlignment="1">
      <alignment wrapText="1"/>
    </xf>
    <xf numFmtId="0" fontId="23" fillId="0" borderId="0" xfId="0" applyFont="1"/>
    <xf numFmtId="0" fontId="23" fillId="0" borderId="0" xfId="0" applyFont="1" applyAlignment="1">
      <alignment wrapText="1"/>
    </xf>
    <xf numFmtId="3" fontId="1" fillId="0" borderId="0" xfId="0" applyNumberFormat="1" applyFont="1" applyAlignment="1">
      <alignment horizontal="left"/>
    </xf>
    <xf numFmtId="0" fontId="0" fillId="0" borderId="0" xfId="0" applyAlignment="1">
      <alignment wrapText="1"/>
    </xf>
    <xf numFmtId="0" fontId="1" fillId="2" borderId="0" xfId="0" applyFont="1" applyFill="1"/>
    <xf numFmtId="0" fontId="2" fillId="2" borderId="0" xfId="0" applyFont="1" applyFill="1"/>
    <xf numFmtId="0" fontId="1" fillId="2" borderId="0" xfId="0" applyFont="1" applyFill="1" applyAlignment="1">
      <alignment wrapText="1"/>
    </xf>
    <xf numFmtId="176" fontId="2" fillId="0" borderId="0" xfId="0" applyNumberFormat="1" applyFont="1"/>
    <xf numFmtId="0" fontId="1" fillId="5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0" fontId="1" fillId="5" borderId="0" xfId="0" applyFont="1" applyFill="1" applyAlignment="1">
      <alignment horizontal="left"/>
    </xf>
    <xf numFmtId="0" fontId="2" fillId="5" borderId="0" xfId="0" applyFont="1" applyFill="1" applyAlignment="1">
      <alignment horizontal="left"/>
    </xf>
    <xf numFmtId="0" fontId="1" fillId="6" borderId="0" xfId="0" applyFont="1" applyFill="1"/>
    <xf numFmtId="0" fontId="23" fillId="6" borderId="0" xfId="0" applyFont="1" applyFill="1"/>
    <xf numFmtId="0" fontId="23" fillId="6" borderId="0" xfId="0" applyFont="1" applyFill="1" applyAlignment="1">
      <alignment wrapText="1"/>
    </xf>
    <xf numFmtId="0" fontId="1" fillId="6" borderId="0" xfId="0" applyFont="1" applyFill="1" applyAlignment="1">
      <alignment horizontal="left"/>
    </xf>
    <xf numFmtId="0" fontId="2" fillId="6" borderId="0" xfId="0" applyFont="1" applyFill="1" applyAlignment="1">
      <alignment horizontal="left"/>
    </xf>
    <xf numFmtId="0" fontId="1" fillId="7" borderId="0" xfId="0" applyFont="1" applyFill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4" fillId="0" borderId="0" xfId="0" applyFont="1" applyAlignment="1">
      <alignment vertical="center"/>
    </xf>
    <xf numFmtId="0" fontId="24" fillId="0" borderId="0" xfId="0" applyFont="1"/>
    <xf numFmtId="0" fontId="21" fillId="0" borderId="0" xfId="0" applyFont="1" applyAlignment="1">
      <alignment wrapText="1"/>
    </xf>
    <xf numFmtId="10" fontId="1" fillId="0" borderId="0" xfId="0" applyNumberFormat="1" applyFont="1"/>
    <xf numFmtId="0" fontId="2" fillId="0" borderId="0" xfId="0" applyFont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8" borderId="0" xfId="0" applyFont="1" applyFill="1"/>
    <xf numFmtId="0" fontId="1" fillId="9" borderId="1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1" borderId="1" xfId="0" applyFont="1" applyFill="1" applyBorder="1" applyAlignment="1">
      <alignment horizontal="center"/>
    </xf>
    <xf numFmtId="0" fontId="1" fillId="10" borderId="0" xfId="0" applyFont="1" applyFill="1"/>
    <xf numFmtId="0" fontId="1" fillId="9" borderId="0" xfId="0" applyFont="1" applyFill="1"/>
    <xf numFmtId="0" fontId="1" fillId="9" borderId="1" xfId="0" applyFont="1" applyFill="1" applyBorder="1"/>
    <xf numFmtId="0" fontId="1" fillId="11" borderId="1" xfId="0" applyFont="1" applyFill="1" applyBorder="1"/>
    <xf numFmtId="0" fontId="7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wrapText="1"/>
    </xf>
    <xf numFmtId="0" fontId="25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26" fillId="0" borderId="8" xfId="0" applyFont="1" applyBorder="1" applyAlignment="1">
      <alignment horizontal="center"/>
    </xf>
    <xf numFmtId="3" fontId="26" fillId="0" borderId="8" xfId="0" applyNumberFormat="1" applyFont="1" applyBorder="1" applyAlignment="1">
      <alignment horizontal="center"/>
    </xf>
    <xf numFmtId="0" fontId="31" fillId="0" borderId="0" xfId="0" applyFont="1" applyAlignment="1">
      <alignment wrapText="1"/>
    </xf>
    <xf numFmtId="0" fontId="19" fillId="0" borderId="0" xfId="0" applyFont="1" applyAlignment="1">
      <alignment horizontal="center"/>
    </xf>
    <xf numFmtId="1" fontId="1" fillId="0" borderId="0" xfId="0" applyNumberFormat="1" applyFont="1" applyAlignment="1">
      <alignment horizontal="left"/>
    </xf>
    <xf numFmtId="0" fontId="30" fillId="0" borderId="1" xfId="0" applyFont="1" applyBorder="1"/>
    <xf numFmtId="0" fontId="27" fillId="0" borderId="1" xfId="0" applyFont="1" applyBorder="1"/>
    <xf numFmtId="49" fontId="0" fillId="0" borderId="0" xfId="0" applyNumberFormat="1"/>
    <xf numFmtId="49" fontId="1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left"/>
    </xf>
    <xf numFmtId="49" fontId="1" fillId="5" borderId="1" xfId="0" applyNumberFormat="1" applyFont="1" applyFill="1" applyBorder="1" applyAlignment="1">
      <alignment horizontal="left"/>
    </xf>
    <xf numFmtId="49" fontId="1" fillId="0" borderId="0" xfId="0" applyNumberFormat="1" applyFont="1" applyAlignment="1">
      <alignment horizontal="left"/>
    </xf>
    <xf numFmtId="49" fontId="1" fillId="0" borderId="1" xfId="0" applyNumberFormat="1" applyFont="1" applyBorder="1" applyAlignment="1">
      <alignment horizontal="center"/>
    </xf>
    <xf numFmtId="49" fontId="1" fillId="0" borderId="1" xfId="0" applyNumberFormat="1" applyFont="1" applyBorder="1"/>
    <xf numFmtId="0" fontId="27" fillId="0" borderId="1" xfId="0" applyFont="1" applyBorder="1" applyAlignment="1">
      <alignment horizontal="left" wrapText="1"/>
    </xf>
    <xf numFmtId="0" fontId="30" fillId="0" borderId="1" xfId="0" applyFont="1" applyBorder="1" applyAlignment="1">
      <alignment horizontal="left"/>
    </xf>
    <xf numFmtId="0" fontId="31" fillId="0" borderId="1" xfId="0" applyFont="1" applyBorder="1" applyAlignment="1">
      <alignment horizontal="left"/>
    </xf>
    <xf numFmtId="0" fontId="28" fillId="0" borderId="0" xfId="0" applyFont="1" applyAlignment="1">
      <alignment wrapText="1"/>
    </xf>
    <xf numFmtId="0" fontId="32" fillId="0" borderId="0" xfId="0" applyFont="1"/>
    <xf numFmtId="0" fontId="1" fillId="0" borderId="1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2" borderId="1" xfId="0" applyFont="1" applyFill="1" applyBorder="1"/>
    <xf numFmtId="0" fontId="0" fillId="0" borderId="10" xfId="0" applyBorder="1"/>
    <xf numFmtId="0" fontId="2" fillId="0" borderId="1" xfId="0" applyFont="1" applyBorder="1"/>
    <xf numFmtId="0" fontId="2" fillId="0" borderId="0" xfId="0" applyFont="1"/>
    <xf numFmtId="0" fontId="0" fillId="0" borderId="0" xfId="0"/>
    <xf numFmtId="0" fontId="0" fillId="0" borderId="11" xfId="0" applyBorder="1"/>
    <xf numFmtId="0" fontId="7" fillId="0" borderId="0" xfId="0" applyFont="1"/>
    <xf numFmtId="0" fontId="1" fillId="0" borderId="1" xfId="0" applyFont="1" applyBorder="1"/>
    <xf numFmtId="0" fontId="2" fillId="0" borderId="1" xfId="0" applyFont="1" applyBorder="1" applyAlignment="1">
      <alignment horizontal="left"/>
    </xf>
    <xf numFmtId="0" fontId="2" fillId="0" borderId="9" xfId="0" applyFont="1" applyBorder="1"/>
    <xf numFmtId="0" fontId="34" fillId="0" borderId="0" xfId="0" applyFont="1"/>
  </cellXfs>
  <cellStyles count="1">
    <cellStyle name="一般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93C47D"/>
      <rgbColor rgb="FF808080"/>
      <rgbColor rgb="FF9999FF"/>
      <rgbColor rgb="FF993366"/>
      <rgbColor rgb="FFF3F3F3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0E3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F1F1F"/>
      <rgbColor rgb="FF993300"/>
      <rgbColor rgb="FF993366"/>
      <rgbColor rgb="FF333399"/>
      <rgbColor rgb="FF44474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4"/>
  <sheetViews>
    <sheetView zoomScaleNormal="100" workbookViewId="0"/>
  </sheetViews>
  <sheetFormatPr defaultColWidth="12.5703125" defaultRowHeight="12.75"/>
  <sheetData>
    <row r="1" spans="1:6" ht="14.25" customHeight="1">
      <c r="A1" s="7" t="s">
        <v>11</v>
      </c>
    </row>
    <row r="6" spans="1:6">
      <c r="B6" s="147" t="s">
        <v>12</v>
      </c>
      <c r="C6" s="148"/>
      <c r="D6" s="148"/>
      <c r="E6" s="148"/>
      <c r="F6" s="149"/>
    </row>
    <row r="7" spans="1:6">
      <c r="B7" s="150"/>
      <c r="C7" s="151"/>
      <c r="D7" s="151"/>
      <c r="E7" s="151"/>
      <c r="F7" s="152"/>
    </row>
    <row r="8" spans="1:6" ht="14.25" customHeight="1">
      <c r="B8" s="8" t="s">
        <v>13</v>
      </c>
      <c r="C8" s="8" t="s">
        <v>14</v>
      </c>
      <c r="D8" s="8" t="s">
        <v>15</v>
      </c>
      <c r="E8" s="8" t="s">
        <v>16</v>
      </c>
      <c r="F8" s="8" t="s">
        <v>17</v>
      </c>
    </row>
    <row r="9" spans="1:6" ht="14.25" customHeight="1">
      <c r="B9" s="9"/>
      <c r="C9" s="10"/>
      <c r="D9" s="10"/>
      <c r="E9" s="10"/>
      <c r="F9" s="11"/>
    </row>
    <row r="10" spans="1:6" ht="14.25" customHeight="1">
      <c r="B10" s="12"/>
      <c r="C10" s="7"/>
      <c r="D10" s="7"/>
      <c r="E10" s="7"/>
      <c r="F10" s="13"/>
    </row>
    <row r="11" spans="1:6" ht="14.25" customHeight="1">
      <c r="B11" s="12"/>
      <c r="C11" s="7"/>
      <c r="D11" s="7"/>
      <c r="E11" s="7"/>
      <c r="F11" s="13"/>
    </row>
    <row r="12" spans="1:6" ht="14.25" customHeight="1">
      <c r="B12" s="14"/>
      <c r="C12" s="15"/>
      <c r="D12" s="15"/>
      <c r="E12" s="15"/>
      <c r="F12" s="16"/>
    </row>
    <row r="13" spans="1:6" ht="14.25" customHeight="1">
      <c r="B13" s="8" t="s">
        <v>18</v>
      </c>
      <c r="C13" s="8" t="s">
        <v>19</v>
      </c>
      <c r="D13" s="8" t="s">
        <v>20</v>
      </c>
      <c r="E13" s="8" t="s">
        <v>21</v>
      </c>
      <c r="F13" s="8" t="s">
        <v>22</v>
      </c>
    </row>
    <row r="14" spans="1:6">
      <c r="B14" s="147" t="s">
        <v>12</v>
      </c>
      <c r="C14" s="148"/>
      <c r="D14" s="148"/>
      <c r="E14" s="148"/>
      <c r="F14" s="149"/>
    </row>
    <row r="15" spans="1:6">
      <c r="B15" s="150"/>
      <c r="C15" s="151"/>
      <c r="D15" s="151"/>
      <c r="E15" s="151"/>
      <c r="F15" s="152"/>
    </row>
    <row r="18" spans="1:1" ht="14.25" customHeight="1">
      <c r="A18" s="7" t="s">
        <v>23</v>
      </c>
    </row>
    <row r="62" spans="4:8" ht="14.25" customHeight="1">
      <c r="D62" s="17">
        <v>0.03</v>
      </c>
      <c r="E62" s="7">
        <v>12</v>
      </c>
      <c r="F62" s="7">
        <f>D62/E62</f>
        <v>2.5000000000000001E-3</v>
      </c>
      <c r="G62" s="7">
        <v>30</v>
      </c>
      <c r="H62" s="7">
        <f>G62*F62</f>
        <v>7.4999999999999997E-2</v>
      </c>
    </row>
    <row r="63" spans="4:8" ht="14.25" customHeight="1">
      <c r="D63" s="17">
        <v>0.22</v>
      </c>
      <c r="E63" s="7">
        <v>9</v>
      </c>
      <c r="F63" s="7">
        <f>D63/E63</f>
        <v>2.4444444444444446E-2</v>
      </c>
      <c r="G63" s="7">
        <f>H62/F63</f>
        <v>3.0681818181818179</v>
      </c>
      <c r="H63" s="7">
        <v>10</v>
      </c>
    </row>
    <row r="64" spans="4:8" ht="14.25" customHeight="1">
      <c r="D64" s="17">
        <f>1-D63-D62</f>
        <v>0.75</v>
      </c>
      <c r="E64" s="7">
        <v>10</v>
      </c>
      <c r="F64" s="7">
        <f>D64/E64</f>
        <v>7.4999999999999997E-2</v>
      </c>
      <c r="G64" s="7">
        <f>H62/F64</f>
        <v>1</v>
      </c>
      <c r="H64" s="7">
        <v>5</v>
      </c>
    </row>
  </sheetData>
  <mergeCells count="2">
    <mergeCell ref="B14:F15"/>
    <mergeCell ref="B6:F7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5"/>
  <sheetViews>
    <sheetView zoomScaleNormal="100" workbookViewId="0"/>
  </sheetViews>
  <sheetFormatPr defaultColWidth="12.5703125" defaultRowHeight="12.75"/>
  <cols>
    <col min="1" max="1" width="32.140625" customWidth="1"/>
    <col min="2" max="2" width="218" customWidth="1"/>
  </cols>
  <sheetData>
    <row r="1" spans="1:2" ht="14.25" customHeight="1">
      <c r="A1" s="3" t="s">
        <v>24</v>
      </c>
    </row>
    <row r="2" spans="1:2" ht="14.25" customHeight="1">
      <c r="A2" s="4" t="s">
        <v>25</v>
      </c>
      <c r="B2" s="4" t="s">
        <v>26</v>
      </c>
    </row>
    <row r="3" spans="1:2" ht="14.25" customHeight="1">
      <c r="A3" s="7"/>
    </row>
    <row r="4" spans="1:2" ht="14.25" customHeight="1">
      <c r="A4" s="153" t="s">
        <v>27</v>
      </c>
      <c r="B4" s="154"/>
    </row>
    <row r="5" spans="1:2" ht="14.25" customHeight="1">
      <c r="A5" s="18" t="s">
        <v>28</v>
      </c>
      <c r="B5" s="19" t="s">
        <v>29</v>
      </c>
    </row>
    <row r="6" spans="1:2" ht="14.25" customHeight="1">
      <c r="A6" s="4" t="s">
        <v>30</v>
      </c>
      <c r="B6" s="4" t="s">
        <v>31</v>
      </c>
    </row>
    <row r="7" spans="1:2" ht="14.25" customHeight="1">
      <c r="A7" s="19" t="s">
        <v>32</v>
      </c>
      <c r="B7" s="19" t="s">
        <v>33</v>
      </c>
    </row>
    <row r="8" spans="1:2" ht="14.25" customHeight="1">
      <c r="A8" s="19" t="s">
        <v>34</v>
      </c>
      <c r="B8" s="19" t="s">
        <v>35</v>
      </c>
    </row>
    <row r="9" spans="1:2" ht="14.25" customHeight="1">
      <c r="A9" s="7"/>
      <c r="B9" s="7"/>
    </row>
    <row r="10" spans="1:2" ht="14.25" customHeight="1">
      <c r="A10" s="7"/>
      <c r="B10" s="7"/>
    </row>
    <row r="11" spans="1:2" ht="14.25" customHeight="1">
      <c r="A11" s="155" t="s">
        <v>36</v>
      </c>
      <c r="B11" s="154"/>
    </row>
    <row r="12" spans="1:2" ht="14.25" customHeight="1">
      <c r="A12" s="2" t="s">
        <v>37</v>
      </c>
      <c r="B12" s="4" t="s">
        <v>38</v>
      </c>
    </row>
    <row r="13" spans="1:2" ht="14.25" customHeight="1">
      <c r="A13" s="2" t="s">
        <v>39</v>
      </c>
      <c r="B13" s="4" t="s">
        <v>40</v>
      </c>
    </row>
    <row r="14" spans="1:2" ht="14.25" customHeight="1">
      <c r="A14" s="4" t="s">
        <v>41</v>
      </c>
      <c r="B14" s="4" t="s">
        <v>42</v>
      </c>
    </row>
    <row r="15" spans="1:2" ht="14.25" customHeight="1">
      <c r="A15" s="2" t="s">
        <v>43</v>
      </c>
      <c r="B15" s="4" t="s">
        <v>44</v>
      </c>
    </row>
    <row r="16" spans="1:2" ht="14.25" customHeight="1">
      <c r="A16" s="2" t="s">
        <v>45</v>
      </c>
      <c r="B16" s="4" t="s">
        <v>44</v>
      </c>
    </row>
    <row r="17" spans="1:2" ht="14.25" customHeight="1">
      <c r="A17" s="4" t="s">
        <v>46</v>
      </c>
      <c r="B17" s="4" t="s">
        <v>47</v>
      </c>
    </row>
    <row r="18" spans="1:2" ht="14.25" customHeight="1">
      <c r="A18" s="4" t="s">
        <v>48</v>
      </c>
      <c r="B18" s="4" t="s">
        <v>49</v>
      </c>
    </row>
    <row r="19" spans="1:2" ht="14.25" customHeight="1">
      <c r="A19" s="4" t="s">
        <v>50</v>
      </c>
      <c r="B19" s="4" t="s">
        <v>51</v>
      </c>
    </row>
    <row r="20" spans="1:2" ht="14.25" customHeight="1">
      <c r="A20" s="7"/>
      <c r="B20" s="7"/>
    </row>
    <row r="21" spans="1:2" ht="14.25" customHeight="1">
      <c r="B21" s="7"/>
    </row>
    <row r="22" spans="1:2" ht="14.25" customHeight="1">
      <c r="A22" s="155" t="s">
        <v>52</v>
      </c>
      <c r="B22" s="154"/>
    </row>
    <row r="23" spans="1:2" ht="14.25" customHeight="1">
      <c r="A23" s="4" t="s">
        <v>53</v>
      </c>
      <c r="B23" s="4"/>
    </row>
    <row r="24" spans="1:2" ht="14.25" customHeight="1">
      <c r="A24" s="4" t="s">
        <v>54</v>
      </c>
      <c r="B24" s="4"/>
    </row>
    <row r="25" spans="1:2" ht="14.25" customHeight="1">
      <c r="A25" s="7" t="s">
        <v>55</v>
      </c>
    </row>
    <row r="26" spans="1:2" ht="14.25" customHeight="1">
      <c r="A26" s="3" t="s">
        <v>56</v>
      </c>
    </row>
    <row r="27" spans="1:2" ht="14.25" customHeight="1">
      <c r="A27" s="3" t="s">
        <v>57</v>
      </c>
    </row>
    <row r="28" spans="1:2" ht="14.25" customHeight="1">
      <c r="A28" s="3" t="s">
        <v>58</v>
      </c>
    </row>
    <row r="29" spans="1:2" ht="14.25" customHeight="1">
      <c r="A29" s="3" t="s">
        <v>59</v>
      </c>
    </row>
    <row r="30" spans="1:2" ht="14.25" customHeight="1">
      <c r="A30" s="3" t="s">
        <v>60</v>
      </c>
    </row>
    <row r="31" spans="1:2" ht="14.25" customHeight="1">
      <c r="A31" s="3" t="s">
        <v>61</v>
      </c>
    </row>
    <row r="32" spans="1:2" ht="14.25" customHeight="1">
      <c r="A32" s="7" t="s">
        <v>62</v>
      </c>
    </row>
    <row r="36" spans="1:6" ht="14.25" customHeight="1">
      <c r="A36" s="7" t="s">
        <v>63</v>
      </c>
    </row>
    <row r="37" spans="1:6" ht="14.25" customHeight="1">
      <c r="A37" s="7" t="s">
        <v>64</v>
      </c>
    </row>
    <row r="38" spans="1:6" ht="14.25" customHeight="1">
      <c r="A38" s="7" t="s">
        <v>65</v>
      </c>
    </row>
    <row r="41" spans="1:6" ht="14.25" customHeight="1">
      <c r="B41" s="3" t="s">
        <v>66</v>
      </c>
    </row>
    <row r="44" spans="1:6" ht="14.25" customHeight="1">
      <c r="A44" s="7" t="str">
        <f>"(1)"</f>
        <v>(1)</v>
      </c>
      <c r="B44" s="7"/>
      <c r="C44" s="7"/>
      <c r="D44" s="7"/>
      <c r="E44" s="7"/>
      <c r="F44" s="7"/>
    </row>
    <row r="45" spans="1:6" ht="14.25" customHeight="1">
      <c r="A45" s="156" t="s">
        <v>67</v>
      </c>
      <c r="B45" s="157"/>
      <c r="C45" s="157"/>
      <c r="D45" s="157"/>
      <c r="E45" s="157"/>
      <c r="F45" s="157"/>
    </row>
    <row r="46" spans="1:6" ht="14.25" customHeight="1">
      <c r="A46" s="7" t="str">
        <f>"(2)"</f>
        <v>(2)</v>
      </c>
      <c r="B46" s="7"/>
      <c r="C46" s="7"/>
      <c r="D46" s="7"/>
      <c r="E46" s="7"/>
      <c r="F46" s="7"/>
    </row>
    <row r="47" spans="1:6" ht="14.25" customHeight="1">
      <c r="A47" s="7" t="s">
        <v>68</v>
      </c>
      <c r="B47" s="7"/>
      <c r="C47" s="7"/>
      <c r="D47" s="7"/>
      <c r="E47" s="7"/>
      <c r="F47" s="7"/>
    </row>
    <row r="48" spans="1:6" ht="14.25" customHeight="1">
      <c r="A48" s="7" t="s">
        <v>69</v>
      </c>
      <c r="B48" s="7"/>
      <c r="C48" s="7"/>
      <c r="D48" s="7"/>
      <c r="E48" s="7"/>
      <c r="F48" s="7"/>
    </row>
    <row r="49" spans="1:6" ht="14.25" customHeight="1">
      <c r="A49" s="7" t="s">
        <v>70</v>
      </c>
      <c r="B49" s="7"/>
      <c r="C49" s="7"/>
      <c r="D49" s="7"/>
      <c r="E49" s="7"/>
      <c r="F49" s="7"/>
    </row>
    <row r="50" spans="1:6" ht="14.25" customHeight="1">
      <c r="A50" s="7" t="str">
        <f>"(3)"</f>
        <v>(3)</v>
      </c>
      <c r="B50" s="7"/>
      <c r="C50" s="7"/>
      <c r="D50" s="7"/>
      <c r="E50" s="7"/>
      <c r="F50" s="7"/>
    </row>
    <row r="51" spans="1:6" ht="14.25" customHeight="1">
      <c r="A51" s="3" t="s">
        <v>71</v>
      </c>
      <c r="C51" s="7"/>
      <c r="D51" s="7"/>
      <c r="E51" s="7"/>
      <c r="F51" s="7"/>
    </row>
    <row r="52" spans="1:6" ht="14.25" customHeight="1">
      <c r="A52" s="3" t="s">
        <v>72</v>
      </c>
      <c r="C52" s="7"/>
      <c r="D52" s="7"/>
      <c r="E52" s="7"/>
      <c r="F52" s="7"/>
    </row>
    <row r="53" spans="1:6" ht="14.25" customHeight="1">
      <c r="B53" s="7"/>
      <c r="C53" s="7"/>
      <c r="D53" s="7"/>
      <c r="E53" s="7"/>
      <c r="F53" s="7"/>
    </row>
    <row r="54" spans="1:6" ht="14.25" customHeight="1">
      <c r="B54" s="7"/>
      <c r="C54" s="7"/>
      <c r="D54" s="7"/>
      <c r="E54" s="7"/>
      <c r="F54" s="7"/>
    </row>
    <row r="55" spans="1:6" ht="14.25" customHeight="1">
      <c r="B55" s="7"/>
      <c r="C55" s="7"/>
      <c r="D55" s="7"/>
      <c r="E55" s="7"/>
      <c r="F55" s="7"/>
    </row>
  </sheetData>
  <mergeCells count="4">
    <mergeCell ref="A4:B4"/>
    <mergeCell ref="A11:B11"/>
    <mergeCell ref="A22:B22"/>
    <mergeCell ref="A45:F45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T38"/>
  <sheetViews>
    <sheetView zoomScaleNormal="100" workbookViewId="0"/>
  </sheetViews>
  <sheetFormatPr defaultColWidth="12.5703125" defaultRowHeight="12.75"/>
  <cols>
    <col min="4" max="4" width="15.140625" customWidth="1"/>
  </cols>
  <sheetData>
    <row r="2" spans="2:20" ht="14.25" customHeight="1">
      <c r="O2" s="3" t="s">
        <v>73</v>
      </c>
      <c r="P2" s="4" t="s">
        <v>74</v>
      </c>
      <c r="Q2" s="4">
        <v>1</v>
      </c>
      <c r="R2" s="4">
        <v>2</v>
      </c>
      <c r="S2" s="4">
        <v>3</v>
      </c>
      <c r="T2" s="4">
        <v>4</v>
      </c>
    </row>
    <row r="3" spans="2:20" ht="14.25" customHeight="1">
      <c r="P3" s="2" t="s">
        <v>75</v>
      </c>
      <c r="Q3" s="20">
        <v>4.8</v>
      </c>
      <c r="R3" s="20">
        <v>2.4</v>
      </c>
      <c r="S3" s="20">
        <v>1.6</v>
      </c>
      <c r="T3" s="20">
        <v>1.2</v>
      </c>
    </row>
    <row r="4" spans="2:20" ht="14.25" customHeight="1">
      <c r="G4" s="4" t="s">
        <v>76</v>
      </c>
      <c r="P4" s="2" t="s">
        <v>77</v>
      </c>
      <c r="Q4" s="20">
        <v>3.8</v>
      </c>
      <c r="R4" s="20">
        <v>1.9</v>
      </c>
      <c r="S4" s="20">
        <v>1.25</v>
      </c>
      <c r="T4" s="20">
        <v>0.95</v>
      </c>
    </row>
    <row r="5" spans="2:20" ht="14.25" customHeight="1">
      <c r="G5" s="4" t="s">
        <v>78</v>
      </c>
      <c r="P5" s="2" t="s">
        <v>79</v>
      </c>
      <c r="Q5" s="20">
        <v>3</v>
      </c>
      <c r="R5" s="20">
        <v>1.55</v>
      </c>
      <c r="S5" s="20">
        <v>1.05</v>
      </c>
      <c r="T5" s="20">
        <v>0.75</v>
      </c>
    </row>
    <row r="6" spans="2:20" ht="14.25" customHeight="1">
      <c r="B6" s="7" t="s">
        <v>79</v>
      </c>
      <c r="C6" s="3" t="s">
        <v>80</v>
      </c>
      <c r="D6" s="3" t="s">
        <v>81</v>
      </c>
      <c r="E6" s="21">
        <v>110001</v>
      </c>
      <c r="J6" s="3" t="s">
        <v>82</v>
      </c>
    </row>
    <row r="7" spans="2:20" ht="14.25" customHeight="1">
      <c r="D7" s="3" t="s">
        <v>83</v>
      </c>
      <c r="E7" s="7" t="s">
        <v>84</v>
      </c>
      <c r="F7" s="3" t="s">
        <v>85</v>
      </c>
      <c r="J7" s="3" t="s">
        <v>86</v>
      </c>
    </row>
    <row r="8" spans="2:20" ht="14.25" customHeight="1">
      <c r="D8" s="3" t="s">
        <v>87</v>
      </c>
      <c r="E8" s="7" t="s">
        <v>88</v>
      </c>
      <c r="F8" s="3" t="s">
        <v>89</v>
      </c>
      <c r="J8" s="3" t="s">
        <v>90</v>
      </c>
      <c r="O8" s="3" t="s">
        <v>91</v>
      </c>
      <c r="P8" s="4" t="s">
        <v>74</v>
      </c>
      <c r="Q8" s="2">
        <v>1</v>
      </c>
      <c r="R8" s="2">
        <v>2</v>
      </c>
      <c r="S8" s="2">
        <v>3</v>
      </c>
      <c r="T8" s="2">
        <v>4</v>
      </c>
    </row>
    <row r="9" spans="2:20" ht="14.25" customHeight="1">
      <c r="J9" s="3" t="s">
        <v>92</v>
      </c>
      <c r="P9" s="2" t="s">
        <v>75</v>
      </c>
      <c r="Q9" s="20">
        <v>5</v>
      </c>
      <c r="R9" s="20">
        <v>2.5</v>
      </c>
      <c r="S9" s="20">
        <v>1.7</v>
      </c>
      <c r="T9" s="20">
        <v>1.25</v>
      </c>
    </row>
    <row r="10" spans="2:20" ht="14.25" customHeight="1">
      <c r="C10" s="3" t="s">
        <v>93</v>
      </c>
      <c r="D10" s="3" t="s">
        <v>81</v>
      </c>
      <c r="E10" s="21">
        <v>110001</v>
      </c>
      <c r="J10" s="3" t="s">
        <v>94</v>
      </c>
      <c r="P10" s="2" t="s">
        <v>77</v>
      </c>
      <c r="Q10" s="20">
        <v>4</v>
      </c>
      <c r="R10" s="20">
        <v>2</v>
      </c>
      <c r="S10" s="20">
        <v>1.3</v>
      </c>
      <c r="T10" s="20">
        <v>1</v>
      </c>
    </row>
    <row r="11" spans="2:20" ht="14.25" customHeight="1">
      <c r="D11" s="3" t="s">
        <v>95</v>
      </c>
      <c r="E11" s="7" t="s">
        <v>84</v>
      </c>
      <c r="F11" s="3" t="s">
        <v>96</v>
      </c>
      <c r="J11" s="3" t="s">
        <v>97</v>
      </c>
      <c r="P11" s="2" t="s">
        <v>79</v>
      </c>
      <c r="Q11" s="20">
        <v>3.15</v>
      </c>
      <c r="R11" s="20">
        <v>1.65</v>
      </c>
      <c r="S11" s="20">
        <v>1.1000000000000001</v>
      </c>
      <c r="T11" s="20">
        <v>0.8</v>
      </c>
    </row>
    <row r="12" spans="2:20" ht="14.25" customHeight="1">
      <c r="D12" s="3" t="s">
        <v>98</v>
      </c>
      <c r="E12" s="7" t="s">
        <v>88</v>
      </c>
      <c r="F12" s="3" t="s">
        <v>99</v>
      </c>
    </row>
    <row r="13" spans="2:20" ht="15" customHeight="1">
      <c r="O13" s="22" t="s">
        <v>100</v>
      </c>
      <c r="P13" s="22" t="s">
        <v>101</v>
      </c>
      <c r="Q13" s="22" t="s">
        <v>102</v>
      </c>
      <c r="R13" s="22" t="s">
        <v>103</v>
      </c>
      <c r="S13" s="22" t="s">
        <v>104</v>
      </c>
    </row>
    <row r="14" spans="2:20" ht="14.25" customHeight="1">
      <c r="C14" s="3" t="s">
        <v>105</v>
      </c>
      <c r="D14" s="3" t="s">
        <v>81</v>
      </c>
      <c r="E14" s="21">
        <v>110001</v>
      </c>
      <c r="O14" s="3" t="s">
        <v>106</v>
      </c>
      <c r="Q14" s="3" t="s">
        <v>107</v>
      </c>
      <c r="R14" s="3" t="s">
        <v>108</v>
      </c>
      <c r="S14" s="3" t="s">
        <v>109</v>
      </c>
    </row>
    <row r="15" spans="2:20" ht="14.25" customHeight="1">
      <c r="D15" s="3" t="s">
        <v>110</v>
      </c>
      <c r="E15" s="7" t="s">
        <v>84</v>
      </c>
      <c r="F15" s="3" t="s">
        <v>111</v>
      </c>
      <c r="Q15" s="3" t="s">
        <v>112</v>
      </c>
      <c r="R15" s="3" t="s">
        <v>113</v>
      </c>
      <c r="S15" s="3" t="s">
        <v>114</v>
      </c>
    </row>
    <row r="16" spans="2:20" ht="14.25" customHeight="1">
      <c r="D16" s="3" t="s">
        <v>115</v>
      </c>
      <c r="E16" s="7" t="s">
        <v>88</v>
      </c>
      <c r="F16" s="3" t="s">
        <v>116</v>
      </c>
    </row>
    <row r="17" spans="3:19" ht="14.25" customHeight="1">
      <c r="O17" s="3" t="s">
        <v>117</v>
      </c>
      <c r="Q17" s="3" t="s">
        <v>118</v>
      </c>
      <c r="R17" s="3" t="s">
        <v>119</v>
      </c>
      <c r="S17" s="3" t="s">
        <v>120</v>
      </c>
    </row>
    <row r="18" spans="3:19" ht="14.25" customHeight="1">
      <c r="Q18" s="3" t="s">
        <v>121</v>
      </c>
      <c r="R18" s="3" t="s">
        <v>122</v>
      </c>
      <c r="S18" s="3" t="s">
        <v>123</v>
      </c>
    </row>
    <row r="19" spans="3:19" ht="14.25" customHeight="1">
      <c r="C19" s="3" t="s">
        <v>124</v>
      </c>
      <c r="D19" s="3" t="s">
        <v>81</v>
      </c>
      <c r="E19" s="21">
        <v>110001</v>
      </c>
    </row>
    <row r="20" spans="3:19" ht="14.25" customHeight="1">
      <c r="D20" s="3" t="s">
        <v>125</v>
      </c>
      <c r="E20" s="7" t="s">
        <v>84</v>
      </c>
      <c r="F20" s="3" t="s">
        <v>126</v>
      </c>
      <c r="O20" s="3" t="s">
        <v>127</v>
      </c>
      <c r="Q20" s="3" t="s">
        <v>128</v>
      </c>
      <c r="R20" s="3" t="s">
        <v>129</v>
      </c>
      <c r="S20" s="3" t="s">
        <v>130</v>
      </c>
    </row>
    <row r="21" spans="3:19" ht="14.25" customHeight="1">
      <c r="D21" s="3" t="s">
        <v>131</v>
      </c>
      <c r="E21" s="7" t="s">
        <v>88</v>
      </c>
      <c r="F21" s="3" t="s">
        <v>132</v>
      </c>
      <c r="Q21" s="3" t="s">
        <v>133</v>
      </c>
      <c r="R21" s="3" t="s">
        <v>134</v>
      </c>
      <c r="S21" s="3" t="s">
        <v>135</v>
      </c>
    </row>
    <row r="23" spans="3:19" ht="14.25" customHeight="1">
      <c r="C23" s="3" t="s">
        <v>136</v>
      </c>
      <c r="D23" s="3" t="s">
        <v>81</v>
      </c>
      <c r="E23" s="21">
        <v>110011</v>
      </c>
      <c r="O23" s="3" t="s">
        <v>124</v>
      </c>
      <c r="Q23" s="3" t="s">
        <v>137</v>
      </c>
      <c r="R23" s="3" t="s">
        <v>138</v>
      </c>
      <c r="S23" s="3" t="s">
        <v>139</v>
      </c>
    </row>
    <row r="24" spans="3:19" ht="14.25" customHeight="1">
      <c r="D24" s="3" t="s">
        <v>140</v>
      </c>
      <c r="E24" s="7" t="s">
        <v>84</v>
      </c>
      <c r="F24" s="3" t="s">
        <v>141</v>
      </c>
      <c r="Q24" s="3" t="s">
        <v>142</v>
      </c>
      <c r="R24" s="3" t="s">
        <v>143</v>
      </c>
      <c r="S24" s="3" t="s">
        <v>144</v>
      </c>
    </row>
    <row r="25" spans="3:19" ht="14.25" customHeight="1">
      <c r="D25" s="3" t="s">
        <v>145</v>
      </c>
      <c r="E25" s="7" t="s">
        <v>88</v>
      </c>
      <c r="F25" s="3" t="s">
        <v>145</v>
      </c>
    </row>
    <row r="26" spans="3:19" ht="14.25" customHeight="1">
      <c r="O26" s="3" t="s">
        <v>146</v>
      </c>
      <c r="Q26" s="3" t="s">
        <v>147</v>
      </c>
      <c r="R26" s="3" t="s">
        <v>148</v>
      </c>
      <c r="S26" s="3" t="s">
        <v>149</v>
      </c>
    </row>
    <row r="27" spans="3:19" ht="14.25" customHeight="1">
      <c r="Q27" s="3" t="s">
        <v>150</v>
      </c>
      <c r="R27" s="3" t="s">
        <v>151</v>
      </c>
      <c r="S27" s="3" t="s">
        <v>152</v>
      </c>
    </row>
    <row r="28" spans="3:19" ht="14.25" customHeight="1">
      <c r="C28" s="3" t="s">
        <v>153</v>
      </c>
      <c r="D28" s="3" t="s">
        <v>81</v>
      </c>
      <c r="E28" s="21">
        <v>110011</v>
      </c>
    </row>
    <row r="29" spans="3:19" ht="14.25" customHeight="1">
      <c r="D29" s="3" t="s">
        <v>154</v>
      </c>
      <c r="E29" s="7" t="s">
        <v>84</v>
      </c>
      <c r="F29" s="3" t="s">
        <v>155</v>
      </c>
      <c r="O29" s="3" t="s">
        <v>156</v>
      </c>
      <c r="Q29" s="3" t="s">
        <v>157</v>
      </c>
      <c r="R29" s="3" t="s">
        <v>158</v>
      </c>
      <c r="S29" s="3" t="s">
        <v>159</v>
      </c>
    </row>
    <row r="30" spans="3:19" ht="14.25" customHeight="1">
      <c r="D30" s="3" t="s">
        <v>160</v>
      </c>
      <c r="E30" s="7" t="s">
        <v>88</v>
      </c>
      <c r="F30" s="3" t="s">
        <v>161</v>
      </c>
      <c r="Q30" s="3" t="s">
        <v>162</v>
      </c>
      <c r="R30" s="3" t="s">
        <v>163</v>
      </c>
      <c r="S30" s="3" t="s">
        <v>164</v>
      </c>
    </row>
    <row r="33" spans="3:15" ht="14.25" customHeight="1">
      <c r="C33" s="3" t="s">
        <v>109</v>
      </c>
      <c r="D33" s="3" t="s">
        <v>165</v>
      </c>
      <c r="E33" s="3" t="s">
        <v>166</v>
      </c>
      <c r="O33" s="3" t="s">
        <v>80</v>
      </c>
    </row>
    <row r="34" spans="3:15" ht="14.25" customHeight="1">
      <c r="D34" s="3" t="s">
        <v>167</v>
      </c>
      <c r="E34" s="3" t="s">
        <v>168</v>
      </c>
      <c r="O34" s="3" t="s">
        <v>93</v>
      </c>
    </row>
    <row r="35" spans="3:15" ht="14.25" customHeight="1">
      <c r="D35" s="3" t="s">
        <v>169</v>
      </c>
      <c r="E35" s="3" t="s">
        <v>170</v>
      </c>
      <c r="O35" s="3" t="s">
        <v>105</v>
      </c>
    </row>
    <row r="36" spans="3:15" ht="14.25" customHeight="1">
      <c r="O36" s="3" t="s">
        <v>124</v>
      </c>
    </row>
    <row r="37" spans="3:15" ht="14.25" customHeight="1">
      <c r="O37" s="3" t="s">
        <v>136</v>
      </c>
    </row>
    <row r="38" spans="3:15" ht="14.25" customHeight="1">
      <c r="O38" s="3" t="s">
        <v>153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3:N43"/>
  <sheetViews>
    <sheetView zoomScaleNormal="100" workbookViewId="0"/>
  </sheetViews>
  <sheetFormatPr defaultColWidth="12.5703125" defaultRowHeight="12.75"/>
  <cols>
    <col min="1" max="1" width="17.28515625" customWidth="1"/>
    <col min="2" max="2" width="30.140625" customWidth="1"/>
    <col min="3" max="3" width="24.5703125" customWidth="1"/>
    <col min="6" max="6" width="13" customWidth="1"/>
    <col min="7" max="7" width="14.140625" customWidth="1"/>
  </cols>
  <sheetData>
    <row r="3" spans="1:14" ht="14.25" customHeight="1">
      <c r="A3" s="23"/>
      <c r="B3" s="5" t="s">
        <v>171</v>
      </c>
      <c r="C3" s="5" t="s">
        <v>172</v>
      </c>
      <c r="D3" s="153" t="s">
        <v>173</v>
      </c>
      <c r="E3" s="158"/>
      <c r="F3" s="158"/>
      <c r="G3" s="154"/>
      <c r="L3" s="3" t="s">
        <v>174</v>
      </c>
    </row>
    <row r="4" spans="1:14" ht="14.25" customHeight="1">
      <c r="A4" s="4" t="s">
        <v>175</v>
      </c>
      <c r="B4" s="4" t="s">
        <v>176</v>
      </c>
      <c r="C4" s="4" t="s">
        <v>177</v>
      </c>
      <c r="D4" s="4" t="s">
        <v>178</v>
      </c>
      <c r="E4" s="4" t="s">
        <v>179</v>
      </c>
      <c r="F4" s="4" t="s">
        <v>180</v>
      </c>
      <c r="G4" s="2"/>
      <c r="L4" s="3" t="s">
        <v>181</v>
      </c>
      <c r="M4" s="3" t="s">
        <v>182</v>
      </c>
    </row>
    <row r="5" spans="1:14" ht="14.25" customHeight="1">
      <c r="A5" s="4" t="s">
        <v>183</v>
      </c>
      <c r="B5" s="4" t="s">
        <v>184</v>
      </c>
      <c r="C5" s="4" t="s">
        <v>177</v>
      </c>
      <c r="D5" s="4" t="s">
        <v>185</v>
      </c>
      <c r="E5" s="2"/>
      <c r="F5" s="2"/>
      <c r="G5" s="2"/>
      <c r="L5" s="3" t="s">
        <v>186</v>
      </c>
      <c r="M5" s="3" t="s">
        <v>187</v>
      </c>
      <c r="N5" s="3" t="s">
        <v>188</v>
      </c>
    </row>
    <row r="6" spans="1:14" ht="14.25" customHeight="1">
      <c r="A6" s="4" t="s">
        <v>189</v>
      </c>
      <c r="B6" s="4" t="s">
        <v>190</v>
      </c>
      <c r="C6" s="4" t="s">
        <v>191</v>
      </c>
      <c r="D6" s="4" t="s">
        <v>192</v>
      </c>
      <c r="E6" s="4" t="s">
        <v>193</v>
      </c>
      <c r="F6" s="4" t="s">
        <v>194</v>
      </c>
      <c r="G6" s="4" t="s">
        <v>195</v>
      </c>
      <c r="L6" s="3" t="s">
        <v>196</v>
      </c>
      <c r="M6" s="3" t="s">
        <v>197</v>
      </c>
    </row>
    <row r="7" spans="1:14" ht="14.25" customHeight="1">
      <c r="A7" s="4" t="s">
        <v>198</v>
      </c>
      <c r="B7" s="4" t="s">
        <v>199</v>
      </c>
      <c r="C7" s="4" t="s">
        <v>191</v>
      </c>
      <c r="D7" s="4" t="s">
        <v>192</v>
      </c>
      <c r="E7" s="4" t="s">
        <v>193</v>
      </c>
      <c r="F7" s="4" t="s">
        <v>200</v>
      </c>
      <c r="G7" s="4" t="s">
        <v>201</v>
      </c>
    </row>
    <row r="11" spans="1:14" ht="14.25" customHeight="1">
      <c r="A11" s="3" t="s">
        <v>202</v>
      </c>
      <c r="B11" s="3" t="s">
        <v>203</v>
      </c>
    </row>
    <row r="13" spans="1:14" ht="14.25" customHeight="1">
      <c r="B13" s="7" t="s">
        <v>204</v>
      </c>
      <c r="C13" s="3" t="s">
        <v>205</v>
      </c>
      <c r="D13" s="3" t="s">
        <v>206</v>
      </c>
      <c r="E13" s="3" t="s">
        <v>174</v>
      </c>
    </row>
    <row r="14" spans="1:14" ht="14.25" customHeight="1">
      <c r="B14" s="7" t="s">
        <v>207</v>
      </c>
      <c r="C14" s="7" t="s">
        <v>37</v>
      </c>
      <c r="D14" s="3" t="s">
        <v>208</v>
      </c>
      <c r="E14" s="3" t="s">
        <v>196</v>
      </c>
    </row>
    <row r="15" spans="1:14" ht="14.25" customHeight="1">
      <c r="B15" s="7" t="s">
        <v>209</v>
      </c>
      <c r="C15" s="3" t="s">
        <v>206</v>
      </c>
      <c r="D15" s="3" t="s">
        <v>210</v>
      </c>
      <c r="E15" s="3" t="s">
        <v>211</v>
      </c>
    </row>
    <row r="16" spans="1:14" ht="14.25" customHeight="1">
      <c r="B16" s="7" t="s">
        <v>212</v>
      </c>
      <c r="C16" s="3" t="s">
        <v>213</v>
      </c>
      <c r="D16" s="3" t="s">
        <v>214</v>
      </c>
      <c r="E16" s="3" t="s">
        <v>181</v>
      </c>
      <c r="F16" s="3" t="s">
        <v>215</v>
      </c>
    </row>
    <row r="17" spans="1:6" ht="14.25" customHeight="1">
      <c r="B17" s="7" t="s">
        <v>216</v>
      </c>
      <c r="C17" s="3" t="s">
        <v>210</v>
      </c>
      <c r="D17" s="3" t="s">
        <v>214</v>
      </c>
      <c r="E17" s="3" t="s">
        <v>217</v>
      </c>
      <c r="F17" s="7" t="s">
        <v>218</v>
      </c>
    </row>
    <row r="18" spans="1:6" ht="14.25" customHeight="1">
      <c r="B18" s="7" t="s">
        <v>219</v>
      </c>
      <c r="C18" s="3" t="s">
        <v>220</v>
      </c>
      <c r="D18" s="3" t="s">
        <v>205</v>
      </c>
      <c r="E18" s="3" t="s">
        <v>186</v>
      </c>
      <c r="F18" s="3" t="s">
        <v>221</v>
      </c>
    </row>
    <row r="24" spans="1:6" ht="14.25" customHeight="1">
      <c r="A24" s="156" t="s">
        <v>222</v>
      </c>
      <c r="B24" s="3" t="s">
        <v>8</v>
      </c>
    </row>
    <row r="25" spans="1:6" ht="14.25" customHeight="1">
      <c r="A25" s="157"/>
      <c r="B25" s="3" t="s">
        <v>223</v>
      </c>
    </row>
    <row r="26" spans="1:6" ht="14.25" customHeight="1">
      <c r="A26" s="157"/>
      <c r="B26" s="3" t="s">
        <v>224</v>
      </c>
    </row>
    <row r="28" spans="1:6" ht="14.25" customHeight="1">
      <c r="A28" s="3" t="s">
        <v>225</v>
      </c>
      <c r="B28" s="24" t="str">
        <f>"1-10"&amp;",15"</f>
        <v>1-10,15</v>
      </c>
      <c r="C28" s="3" t="s">
        <v>226</v>
      </c>
    </row>
    <row r="29" spans="1:6" ht="14.25" customHeight="1">
      <c r="A29" s="3" t="s">
        <v>225</v>
      </c>
      <c r="B29" s="25" t="str">
        <f>"第一章結束"&amp;",20"</f>
        <v>第一章結束,20</v>
      </c>
      <c r="C29" s="3" t="s">
        <v>227</v>
      </c>
      <c r="D29" s="3" t="s">
        <v>228</v>
      </c>
    </row>
    <row r="30" spans="1:6" ht="14.25" customHeight="1">
      <c r="A30" s="3" t="s">
        <v>225</v>
      </c>
      <c r="B30" s="25" t="str">
        <f>"2-10"&amp;",25"</f>
        <v>2-10,25</v>
      </c>
      <c r="C30" s="3" t="s">
        <v>229</v>
      </c>
    </row>
    <row r="31" spans="1:6" ht="14.25" customHeight="1">
      <c r="A31" s="3" t="s">
        <v>225</v>
      </c>
      <c r="B31" s="25" t="str">
        <f>"第二章結束"&amp;",30"</f>
        <v>第二章結束,30</v>
      </c>
      <c r="C31" s="3" t="s">
        <v>230</v>
      </c>
      <c r="D31" s="3" t="s">
        <v>231</v>
      </c>
    </row>
    <row r="32" spans="1:6" ht="14.25" customHeight="1">
      <c r="A32" s="3" t="s">
        <v>225</v>
      </c>
      <c r="B32" s="25">
        <v>46091</v>
      </c>
      <c r="C32" s="3" t="s">
        <v>175</v>
      </c>
      <c r="D32" s="3" t="s">
        <v>232</v>
      </c>
      <c r="E32" s="3" t="s">
        <v>233</v>
      </c>
    </row>
    <row r="33" spans="1:4" ht="14.25" customHeight="1">
      <c r="A33" s="3" t="s">
        <v>225</v>
      </c>
      <c r="B33" s="25" t="str">
        <f>"第三章結束"&amp;",40"</f>
        <v>第三章結束,40</v>
      </c>
      <c r="C33" s="3" t="s">
        <v>234</v>
      </c>
      <c r="D33" s="3" t="s">
        <v>235</v>
      </c>
    </row>
    <row r="34" spans="1:4" ht="14.25" customHeight="1">
      <c r="A34" s="3" t="s">
        <v>225</v>
      </c>
      <c r="B34" s="25" t="str">
        <f>"第四章結束"&amp;",50"</f>
        <v>第四章結束,50</v>
      </c>
      <c r="C34" s="3" t="s">
        <v>236</v>
      </c>
    </row>
    <row r="35" spans="1:4" ht="14.25" customHeight="1">
      <c r="A35" s="3" t="s">
        <v>225</v>
      </c>
      <c r="B35" s="25" t="str">
        <f>"5-10"&amp;",2轉30"</f>
        <v>5-10,2轉30</v>
      </c>
      <c r="C35" s="3" t="s">
        <v>237</v>
      </c>
    </row>
    <row r="36" spans="1:4" ht="14.25" customHeight="1">
      <c r="A36" s="3" t="s">
        <v>225</v>
      </c>
      <c r="B36" s="25" t="str">
        <f>"第5章結束"&amp;",40"</f>
        <v>第5章結束,40</v>
      </c>
      <c r="C36" s="3" t="s">
        <v>238</v>
      </c>
    </row>
    <row r="37" spans="1:4" ht="14.25" customHeight="1">
      <c r="A37" s="3" t="s">
        <v>225</v>
      </c>
      <c r="B37" s="25" t="str">
        <f>"第7章結束"&amp;",50"</f>
        <v>第7章結束,50</v>
      </c>
      <c r="C37" s="3" t="s">
        <v>239</v>
      </c>
      <c r="D37" s="3" t="s">
        <v>240</v>
      </c>
    </row>
    <row r="41" spans="1:4" ht="14.25" customHeight="1">
      <c r="A41" s="7"/>
      <c r="B41" s="3" t="s">
        <v>241</v>
      </c>
      <c r="C41" s="7" t="s">
        <v>242</v>
      </c>
    </row>
    <row r="42" spans="1:4" ht="14.25" customHeight="1">
      <c r="B42" s="3" t="s">
        <v>243</v>
      </c>
      <c r="C42" s="7" t="s">
        <v>244</v>
      </c>
    </row>
    <row r="43" spans="1:4" ht="14.25" customHeight="1">
      <c r="B43" s="3" t="s">
        <v>230</v>
      </c>
      <c r="C43" s="7"/>
    </row>
  </sheetData>
  <mergeCells count="2">
    <mergeCell ref="D3:G3"/>
    <mergeCell ref="A24:A26"/>
  </mergeCells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128"/>
  <sheetViews>
    <sheetView zoomScaleNormal="100" workbookViewId="0">
      <pane xSplit="18" topLeftCell="S1" activePane="topRight" state="frozen"/>
      <selection pane="topRight" activeCell="T2" sqref="T2"/>
    </sheetView>
  </sheetViews>
  <sheetFormatPr defaultColWidth="12.5703125" defaultRowHeight="12.75"/>
  <cols>
    <col min="1" max="1" width="4.140625" customWidth="1"/>
    <col min="4" max="4" width="11" customWidth="1"/>
    <col min="5" max="5" width="12.140625" customWidth="1"/>
    <col min="6" max="7" width="10.140625" customWidth="1"/>
    <col min="8" max="8" width="19.5703125" customWidth="1"/>
    <col min="9" max="9" width="11" hidden="1" customWidth="1"/>
    <col min="10" max="11" width="4.42578125" customWidth="1"/>
    <col min="12" max="13" width="11" customWidth="1"/>
    <col min="14" max="14" width="6.28515625" customWidth="1"/>
    <col min="15" max="15" width="12.5703125" hidden="1" customWidth="1"/>
    <col min="16" max="16" width="8.42578125" customWidth="1"/>
    <col min="17" max="18" width="0.42578125" customWidth="1"/>
    <col min="19" max="19" width="49.85546875" customWidth="1"/>
    <col min="20" max="20" width="28.85546875" customWidth="1"/>
    <col min="21" max="21" width="32.42578125" customWidth="1"/>
    <col min="22" max="22" width="33.7109375" customWidth="1"/>
    <col min="23" max="23" width="22.42578125" customWidth="1"/>
    <col min="24" max="24" width="42.28515625" customWidth="1"/>
    <col min="25" max="25" width="16" hidden="1" customWidth="1"/>
    <col min="26" max="27" width="19.42578125" hidden="1" customWidth="1"/>
    <col min="28" max="28" width="34.7109375" hidden="1" customWidth="1"/>
    <col min="29" max="29" width="8.140625" hidden="1" customWidth="1"/>
  </cols>
  <sheetData>
    <row r="1" spans="1:29" ht="14.25" customHeight="1">
      <c r="S1" s="3" t="s">
        <v>245</v>
      </c>
      <c r="T1" s="3" t="s">
        <v>246</v>
      </c>
      <c r="U1" s="3" t="s">
        <v>247</v>
      </c>
      <c r="V1" s="3" t="s">
        <v>248</v>
      </c>
      <c r="W1" s="3" t="s">
        <v>249</v>
      </c>
      <c r="X1" s="3" t="s">
        <v>250</v>
      </c>
      <c r="Y1" s="3" t="s">
        <v>251</v>
      </c>
      <c r="Z1" s="3" t="s">
        <v>252</v>
      </c>
      <c r="AA1" s="3" t="s">
        <v>253</v>
      </c>
      <c r="AB1" s="3" t="s">
        <v>254</v>
      </c>
      <c r="AC1" s="3" t="s">
        <v>255</v>
      </c>
    </row>
    <row r="2" spans="1:29" ht="14.25" customHeight="1">
      <c r="H2" s="7">
        <v>3</v>
      </c>
      <c r="J2" s="3" t="s">
        <v>256</v>
      </c>
      <c r="K2" s="3" t="s">
        <v>91</v>
      </c>
      <c r="L2" s="3" t="s">
        <v>257</v>
      </c>
      <c r="S2" s="7" t="s">
        <v>258</v>
      </c>
      <c r="T2" s="7" t="s">
        <v>259</v>
      </c>
      <c r="U2" s="7" t="s">
        <v>260</v>
      </c>
      <c r="V2" s="7" t="s">
        <v>261</v>
      </c>
      <c r="W2" s="7" t="s">
        <v>262</v>
      </c>
      <c r="X2" s="7" t="s">
        <v>263</v>
      </c>
      <c r="Y2" s="7" t="s">
        <v>264</v>
      </c>
      <c r="Z2" s="7" t="s">
        <v>265</v>
      </c>
      <c r="AA2" s="7" t="s">
        <v>266</v>
      </c>
      <c r="AB2" s="7" t="s">
        <v>267</v>
      </c>
      <c r="AC2" s="7" t="s">
        <v>268</v>
      </c>
    </row>
    <row r="3" spans="1:29" ht="16.5" customHeight="1">
      <c r="A3" s="7" t="str">
        <f>"58,17,13,3,6,18"</f>
        <v>58,17,13,3,6,18</v>
      </c>
      <c r="B3" s="26" t="s">
        <v>269</v>
      </c>
      <c r="C3" s="26" t="s">
        <v>270</v>
      </c>
      <c r="D3" s="26" t="s">
        <v>271</v>
      </c>
      <c r="E3" s="26" t="s">
        <v>272</v>
      </c>
      <c r="F3" s="26" t="s">
        <v>273</v>
      </c>
      <c r="G3" s="26" t="s">
        <v>274</v>
      </c>
      <c r="H3" s="27" t="s">
        <v>275</v>
      </c>
      <c r="I3" s="28" t="s">
        <v>75</v>
      </c>
      <c r="J3" s="28">
        <v>2</v>
      </c>
      <c r="K3" s="28"/>
      <c r="L3" s="29">
        <v>2.4</v>
      </c>
      <c r="M3" s="30" t="s">
        <v>276</v>
      </c>
      <c r="N3" s="30"/>
      <c r="O3" s="3" t="s">
        <v>277</v>
      </c>
      <c r="P3" s="7" t="s">
        <v>278</v>
      </c>
      <c r="S3" s="3" t="s">
        <v>279</v>
      </c>
      <c r="T3" s="3" t="s">
        <v>280</v>
      </c>
      <c r="U3" s="3" t="s">
        <v>281</v>
      </c>
      <c r="V3" s="3" t="s">
        <v>282</v>
      </c>
      <c r="W3" s="3" t="s">
        <v>283</v>
      </c>
      <c r="X3" s="3" t="s">
        <v>284</v>
      </c>
      <c r="Y3" s="3" t="s">
        <v>285</v>
      </c>
      <c r="Z3" s="3" t="s">
        <v>286</v>
      </c>
      <c r="AA3" s="3" t="s">
        <v>287</v>
      </c>
      <c r="AB3" s="3" t="s">
        <v>288</v>
      </c>
      <c r="AC3" s="7" t="s">
        <v>289</v>
      </c>
    </row>
    <row r="4" spans="1:29" ht="16.5" customHeight="1">
      <c r="A4" s="7"/>
      <c r="B4" s="26"/>
      <c r="C4" s="26"/>
      <c r="D4" s="26"/>
      <c r="E4" s="26"/>
      <c r="F4" s="26"/>
      <c r="G4" s="31" t="s">
        <v>290</v>
      </c>
      <c r="H4" s="27"/>
      <c r="I4" s="28" t="s">
        <v>75</v>
      </c>
      <c r="J4" s="30">
        <v>5</v>
      </c>
      <c r="K4" s="30"/>
      <c r="L4" s="29">
        <v>1</v>
      </c>
      <c r="M4" s="30" t="s">
        <v>291</v>
      </c>
      <c r="N4" s="28" t="s">
        <v>292</v>
      </c>
      <c r="O4" s="7"/>
      <c r="S4" s="3" t="s">
        <v>293</v>
      </c>
      <c r="T4" s="7" t="s">
        <v>294</v>
      </c>
      <c r="U4" s="3" t="s">
        <v>295</v>
      </c>
      <c r="V4" s="7" t="s">
        <v>294</v>
      </c>
      <c r="W4" s="7" t="s">
        <v>294</v>
      </c>
      <c r="X4" s="3" t="s">
        <v>296</v>
      </c>
      <c r="Y4" s="7"/>
      <c r="Z4" s="7"/>
      <c r="AA4" s="7"/>
      <c r="AB4" s="7"/>
      <c r="AC4" s="7"/>
    </row>
    <row r="5" spans="1:29" ht="16.5" customHeight="1">
      <c r="A5" s="7" t="str">
        <f>"58,17,13,2,23,24"</f>
        <v>58,17,13,2,23,24</v>
      </c>
      <c r="B5" s="26" t="s">
        <v>297</v>
      </c>
      <c r="C5" s="26" t="s">
        <v>270</v>
      </c>
      <c r="D5" s="26" t="s">
        <v>271</v>
      </c>
      <c r="E5" s="26" t="s">
        <v>298</v>
      </c>
      <c r="F5" s="26" t="s">
        <v>299</v>
      </c>
      <c r="G5" s="26" t="s">
        <v>300</v>
      </c>
      <c r="H5" s="27" t="s">
        <v>301</v>
      </c>
      <c r="I5" s="28" t="s">
        <v>75</v>
      </c>
      <c r="J5" s="30">
        <v>2</v>
      </c>
      <c r="K5" s="30">
        <v>1</v>
      </c>
      <c r="L5" s="29">
        <v>2.5</v>
      </c>
      <c r="M5" s="30" t="s">
        <v>302</v>
      </c>
      <c r="N5" s="30"/>
      <c r="O5" s="3" t="s">
        <v>303</v>
      </c>
      <c r="S5" s="3" t="s">
        <v>304</v>
      </c>
      <c r="T5" s="3" t="s">
        <v>305</v>
      </c>
      <c r="U5" s="3" t="s">
        <v>306</v>
      </c>
      <c r="V5" s="3" t="s">
        <v>307</v>
      </c>
      <c r="W5" s="3" t="s">
        <v>308</v>
      </c>
      <c r="X5" s="3" t="s">
        <v>309</v>
      </c>
      <c r="Y5" s="3" t="s">
        <v>285</v>
      </c>
      <c r="Z5" s="3" t="s">
        <v>310</v>
      </c>
      <c r="AA5" s="3" t="s">
        <v>287</v>
      </c>
      <c r="AB5" s="3" t="s">
        <v>288</v>
      </c>
      <c r="AC5" s="7" t="s">
        <v>289</v>
      </c>
    </row>
    <row r="6" spans="1:29" ht="16.5" customHeight="1">
      <c r="A6" s="7"/>
      <c r="B6" s="26"/>
      <c r="C6" s="26"/>
      <c r="D6" s="26"/>
      <c r="E6" s="26"/>
      <c r="F6" s="26"/>
      <c r="G6" s="26"/>
      <c r="H6" s="27"/>
      <c r="I6" s="28" t="s">
        <v>75</v>
      </c>
      <c r="J6" s="30">
        <v>3</v>
      </c>
      <c r="K6" s="30"/>
      <c r="L6" s="29">
        <v>1.6</v>
      </c>
      <c r="M6" s="30" t="s">
        <v>311</v>
      </c>
      <c r="N6" s="28" t="s">
        <v>312</v>
      </c>
      <c r="O6" s="7"/>
      <c r="P6" s="7"/>
      <c r="S6" s="3" t="s">
        <v>313</v>
      </c>
      <c r="T6" s="7" t="s">
        <v>294</v>
      </c>
      <c r="U6" s="3" t="s">
        <v>314</v>
      </c>
      <c r="V6" s="7" t="s">
        <v>294</v>
      </c>
      <c r="W6" s="7" t="s">
        <v>294</v>
      </c>
      <c r="X6" s="3" t="s">
        <v>315</v>
      </c>
      <c r="Y6" s="7"/>
      <c r="Z6" s="7"/>
      <c r="AA6" s="7"/>
      <c r="AB6" s="7"/>
      <c r="AC6" s="7"/>
    </row>
    <row r="7" spans="1:29" ht="16.5" customHeight="1">
      <c r="A7" s="7" t="str">
        <f>"58,14,8,25,26"</f>
        <v>58,14,8,25,26</v>
      </c>
      <c r="B7" s="26" t="s">
        <v>297</v>
      </c>
      <c r="C7" s="26" t="s">
        <v>316</v>
      </c>
      <c r="D7" s="26" t="s">
        <v>317</v>
      </c>
      <c r="E7" s="26" t="s">
        <v>318</v>
      </c>
      <c r="F7" s="26" t="s">
        <v>290</v>
      </c>
      <c r="G7" s="26"/>
      <c r="H7" s="27" t="s">
        <v>319</v>
      </c>
      <c r="I7" s="28" t="s">
        <v>75</v>
      </c>
      <c r="J7" s="30">
        <v>-2</v>
      </c>
      <c r="K7" s="30"/>
      <c r="L7" s="29">
        <v>2.4</v>
      </c>
      <c r="M7" s="30" t="s">
        <v>320</v>
      </c>
      <c r="N7" s="30"/>
      <c r="O7" s="3" t="s">
        <v>321</v>
      </c>
      <c r="P7" s="7" t="s">
        <v>322</v>
      </c>
      <c r="S7" s="3" t="s">
        <v>323</v>
      </c>
      <c r="T7" s="3" t="s">
        <v>324</v>
      </c>
      <c r="U7" s="3" t="s">
        <v>325</v>
      </c>
      <c r="V7" s="3" t="s">
        <v>326</v>
      </c>
      <c r="W7" s="3" t="s">
        <v>282</v>
      </c>
      <c r="X7" s="3" t="s">
        <v>327</v>
      </c>
      <c r="Y7" s="3" t="s">
        <v>285</v>
      </c>
      <c r="Z7" s="3" t="s">
        <v>310</v>
      </c>
      <c r="AA7" s="3" t="s">
        <v>328</v>
      </c>
      <c r="AB7" s="3" t="s">
        <v>329</v>
      </c>
      <c r="AC7" s="7" t="s">
        <v>289</v>
      </c>
    </row>
    <row r="8" spans="1:29" ht="16.5" customHeight="1">
      <c r="A8" s="7"/>
      <c r="B8" s="26"/>
      <c r="C8" s="26"/>
      <c r="D8" s="26"/>
      <c r="E8" s="26"/>
      <c r="F8" s="26"/>
      <c r="G8" s="26"/>
      <c r="H8" s="27"/>
      <c r="I8" s="28" t="s">
        <v>75</v>
      </c>
      <c r="J8" s="7">
        <v>-5</v>
      </c>
      <c r="K8" s="7"/>
      <c r="L8" s="17">
        <v>1</v>
      </c>
      <c r="M8" s="3" t="s">
        <v>330</v>
      </c>
      <c r="N8" s="28" t="s">
        <v>331</v>
      </c>
      <c r="O8" s="7"/>
      <c r="S8" s="3" t="s">
        <v>332</v>
      </c>
      <c r="T8" s="7" t="s">
        <v>294</v>
      </c>
      <c r="U8" s="3" t="s">
        <v>333</v>
      </c>
      <c r="V8" s="7" t="s">
        <v>294</v>
      </c>
      <c r="W8" s="7" t="s">
        <v>294</v>
      </c>
      <c r="X8" s="3" t="s">
        <v>334</v>
      </c>
      <c r="Y8" s="7"/>
      <c r="Z8" s="7"/>
      <c r="AA8" s="7"/>
      <c r="AB8" s="7"/>
      <c r="AC8" s="7"/>
    </row>
    <row r="9" spans="1:29" ht="16.5" customHeight="1">
      <c r="A9" s="7" t="str">
        <f>"57,12,13,1,2,3"</f>
        <v>57,12,13,1,2,3</v>
      </c>
      <c r="B9" s="26" t="s">
        <v>335</v>
      </c>
      <c r="C9" s="26" t="s">
        <v>336</v>
      </c>
      <c r="D9" s="26" t="s">
        <v>271</v>
      </c>
      <c r="E9" s="26" t="s">
        <v>298</v>
      </c>
      <c r="F9" s="26" t="s">
        <v>337</v>
      </c>
      <c r="G9" s="26" t="s">
        <v>338</v>
      </c>
      <c r="H9" s="27" t="s">
        <v>339</v>
      </c>
      <c r="I9" s="28" t="s">
        <v>75</v>
      </c>
      <c r="J9" s="30">
        <v>4</v>
      </c>
      <c r="K9" s="30">
        <v>1</v>
      </c>
      <c r="L9" s="29">
        <v>1.25</v>
      </c>
      <c r="M9" s="30" t="s">
        <v>340</v>
      </c>
      <c r="N9" s="30"/>
      <c r="O9" s="3" t="s">
        <v>341</v>
      </c>
      <c r="S9" s="3" t="s">
        <v>342</v>
      </c>
      <c r="T9" s="3" t="s">
        <v>343</v>
      </c>
      <c r="U9" s="3" t="s">
        <v>344</v>
      </c>
      <c r="V9" s="3" t="s">
        <v>345</v>
      </c>
      <c r="W9" s="3" t="s">
        <v>346</v>
      </c>
      <c r="X9" s="3" t="s">
        <v>347</v>
      </c>
      <c r="Y9" s="3" t="s">
        <v>285</v>
      </c>
      <c r="Z9" s="3" t="s">
        <v>310</v>
      </c>
      <c r="AA9" s="3" t="s">
        <v>287</v>
      </c>
      <c r="AB9" s="3" t="s">
        <v>288</v>
      </c>
      <c r="AC9" s="7" t="s">
        <v>289</v>
      </c>
    </row>
    <row r="10" spans="1:29" ht="16.5" customHeight="1">
      <c r="A10" s="7"/>
      <c r="B10" s="26"/>
      <c r="C10" s="26"/>
      <c r="D10" s="26"/>
      <c r="E10" s="26"/>
      <c r="F10" s="26"/>
      <c r="G10" s="26"/>
      <c r="H10" s="27"/>
      <c r="I10" s="28" t="s">
        <v>75</v>
      </c>
      <c r="J10" s="7">
        <v>3</v>
      </c>
      <c r="K10" s="7"/>
      <c r="L10" s="17">
        <v>1.6</v>
      </c>
      <c r="M10" s="3" t="s">
        <v>348</v>
      </c>
      <c r="N10" s="28" t="s">
        <v>292</v>
      </c>
      <c r="O10" s="7"/>
      <c r="S10" s="3" t="s">
        <v>349</v>
      </c>
      <c r="T10" s="7" t="s">
        <v>294</v>
      </c>
      <c r="U10" s="7" t="s">
        <v>350</v>
      </c>
      <c r="V10" s="7" t="s">
        <v>294</v>
      </c>
      <c r="W10" s="7" t="s">
        <v>294</v>
      </c>
      <c r="X10" s="3" t="s">
        <v>351</v>
      </c>
      <c r="Y10" s="7"/>
      <c r="Z10" s="7"/>
      <c r="AA10" s="7"/>
      <c r="AB10" s="7"/>
      <c r="AC10" s="7"/>
    </row>
    <row r="11" spans="1:29" ht="16.5" customHeight="1">
      <c r="A11" s="7" t="str">
        <f>"58,12,13,3,1,2"</f>
        <v>58,12,13,3,1,2</v>
      </c>
      <c r="B11" s="26" t="s">
        <v>297</v>
      </c>
      <c r="C11" s="26" t="s">
        <v>336</v>
      </c>
      <c r="D11" s="26" t="s">
        <v>271</v>
      </c>
      <c r="E11" s="26" t="s">
        <v>338</v>
      </c>
      <c r="F11" s="26" t="s">
        <v>337</v>
      </c>
      <c r="G11" s="26" t="s">
        <v>298</v>
      </c>
      <c r="H11" s="27" t="s">
        <v>352</v>
      </c>
      <c r="I11" s="28" t="s">
        <v>75</v>
      </c>
      <c r="J11" s="30">
        <v>1</v>
      </c>
      <c r="K11" s="30">
        <v>1</v>
      </c>
      <c r="L11" s="29">
        <v>5</v>
      </c>
      <c r="M11" s="30" t="s">
        <v>353</v>
      </c>
      <c r="N11" s="30"/>
      <c r="O11" s="3" t="s">
        <v>354</v>
      </c>
      <c r="S11" s="3" t="s">
        <v>355</v>
      </c>
      <c r="T11" s="3" t="s">
        <v>356</v>
      </c>
      <c r="U11" s="3" t="s">
        <v>357</v>
      </c>
      <c r="V11" s="3" t="s">
        <v>358</v>
      </c>
      <c r="W11" s="3" t="s">
        <v>359</v>
      </c>
      <c r="X11" s="3" t="s">
        <v>360</v>
      </c>
      <c r="Y11" s="3" t="s">
        <v>361</v>
      </c>
      <c r="Z11" s="3" t="s">
        <v>362</v>
      </c>
      <c r="AA11" s="3" t="s">
        <v>287</v>
      </c>
      <c r="AB11" s="3" t="s">
        <v>288</v>
      </c>
      <c r="AC11" s="7" t="s">
        <v>289</v>
      </c>
    </row>
    <row r="12" spans="1:29" ht="16.5" customHeight="1">
      <c r="A12" s="7"/>
      <c r="B12" s="26"/>
      <c r="C12" s="26"/>
      <c r="D12" s="26"/>
      <c r="E12" s="26"/>
      <c r="F12" s="26"/>
      <c r="G12" s="26"/>
      <c r="H12" s="27"/>
      <c r="I12" s="28" t="s">
        <v>75</v>
      </c>
      <c r="J12" s="7">
        <v>1</v>
      </c>
      <c r="K12" s="7"/>
      <c r="L12" s="17">
        <v>4.8</v>
      </c>
      <c r="M12" s="3" t="s">
        <v>363</v>
      </c>
      <c r="N12" s="28" t="s">
        <v>331</v>
      </c>
      <c r="O12" s="7"/>
      <c r="S12" s="3" t="s">
        <v>364</v>
      </c>
      <c r="T12" s="7" t="s">
        <v>294</v>
      </c>
      <c r="U12" s="3" t="s">
        <v>365</v>
      </c>
      <c r="V12" s="7" t="s">
        <v>294</v>
      </c>
      <c r="W12" s="7" t="s">
        <v>294</v>
      </c>
      <c r="X12" s="3" t="s">
        <v>359</v>
      </c>
      <c r="Y12" s="7"/>
      <c r="Z12" s="7"/>
      <c r="AA12" s="7"/>
      <c r="AB12" s="7"/>
      <c r="AC12" s="7"/>
    </row>
    <row r="13" spans="1:29" ht="16.5" customHeight="1">
      <c r="A13" s="7" t="str">
        <f>"58,18,5,8,15"</f>
        <v>58,18,5,8,15</v>
      </c>
      <c r="B13" s="26" t="s">
        <v>297</v>
      </c>
      <c r="C13" s="26" t="s">
        <v>270</v>
      </c>
      <c r="D13" s="26" t="s">
        <v>366</v>
      </c>
      <c r="E13" s="26" t="s">
        <v>272</v>
      </c>
      <c r="F13" s="26" t="s">
        <v>290</v>
      </c>
      <c r="G13" s="26" t="s">
        <v>367</v>
      </c>
      <c r="H13" s="27" t="s">
        <v>368</v>
      </c>
      <c r="I13" s="28" t="s">
        <v>75</v>
      </c>
      <c r="J13" s="7">
        <v>-2</v>
      </c>
      <c r="K13" s="7">
        <v>1</v>
      </c>
      <c r="L13" s="17"/>
      <c r="M13" s="3" t="s">
        <v>369</v>
      </c>
      <c r="N13" s="30"/>
      <c r="O13" s="3" t="s">
        <v>370</v>
      </c>
      <c r="S13" s="3" t="s">
        <v>371</v>
      </c>
      <c r="T13" s="3" t="s">
        <v>372</v>
      </c>
      <c r="U13" s="3" t="s">
        <v>373</v>
      </c>
      <c r="V13" s="3" t="s">
        <v>374</v>
      </c>
      <c r="W13" s="3" t="s">
        <v>375</v>
      </c>
      <c r="X13" s="3" t="s">
        <v>376</v>
      </c>
      <c r="Y13" s="3" t="s">
        <v>377</v>
      </c>
      <c r="Z13" s="3" t="s">
        <v>378</v>
      </c>
      <c r="AA13" s="3" t="s">
        <v>328</v>
      </c>
      <c r="AB13" s="3" t="s">
        <v>329</v>
      </c>
      <c r="AC13" s="7" t="s">
        <v>289</v>
      </c>
    </row>
    <row r="14" spans="1:29" ht="16.5" customHeight="1">
      <c r="A14" s="7"/>
      <c r="B14" s="26"/>
      <c r="C14" s="26"/>
      <c r="D14" s="26"/>
      <c r="E14" s="26"/>
      <c r="F14" s="26"/>
      <c r="G14" s="26"/>
      <c r="H14" s="27"/>
      <c r="I14" s="28" t="s">
        <v>75</v>
      </c>
      <c r="J14" s="30">
        <v>-5</v>
      </c>
      <c r="K14" s="30"/>
      <c r="L14" s="29">
        <v>1</v>
      </c>
      <c r="M14" s="30" t="s">
        <v>379</v>
      </c>
      <c r="N14" s="28" t="s">
        <v>331</v>
      </c>
      <c r="O14" s="7"/>
      <c r="S14" s="3" t="s">
        <v>380</v>
      </c>
      <c r="T14" s="7" t="s">
        <v>294</v>
      </c>
      <c r="U14" s="3" t="s">
        <v>381</v>
      </c>
      <c r="V14" s="7" t="s">
        <v>294</v>
      </c>
      <c r="W14" s="7" t="s">
        <v>294</v>
      </c>
      <c r="X14" s="3" t="s">
        <v>382</v>
      </c>
      <c r="Y14" s="7"/>
      <c r="Z14" s="7"/>
      <c r="AA14" s="7"/>
      <c r="AB14" s="7"/>
      <c r="AC14" s="7"/>
    </row>
    <row r="15" spans="1:29" ht="16.5" customHeight="1">
      <c r="A15" s="7" t="str">
        <f>"58,12,11,20,1"</f>
        <v>58,12,11,20,1</v>
      </c>
      <c r="B15" s="26" t="s">
        <v>297</v>
      </c>
      <c r="C15" s="26" t="s">
        <v>336</v>
      </c>
      <c r="D15" s="26" t="s">
        <v>383</v>
      </c>
      <c r="E15" s="26" t="s">
        <v>384</v>
      </c>
      <c r="F15" s="26" t="s">
        <v>337</v>
      </c>
      <c r="G15" s="26"/>
      <c r="H15" s="27" t="s">
        <v>385</v>
      </c>
      <c r="I15" s="28" t="s">
        <v>75</v>
      </c>
      <c r="J15" s="30">
        <v>2</v>
      </c>
      <c r="K15" s="30"/>
      <c r="L15" s="29">
        <v>2.5</v>
      </c>
      <c r="M15" s="30" t="s">
        <v>386</v>
      </c>
      <c r="N15" s="30"/>
      <c r="O15" s="3" t="s">
        <v>387</v>
      </c>
      <c r="S15" s="3" t="s">
        <v>388</v>
      </c>
      <c r="T15" s="3" t="s">
        <v>389</v>
      </c>
      <c r="U15" s="3" t="s">
        <v>390</v>
      </c>
      <c r="V15" s="3" t="s">
        <v>391</v>
      </c>
      <c r="W15" s="3" t="s">
        <v>392</v>
      </c>
      <c r="X15" s="3" t="s">
        <v>393</v>
      </c>
      <c r="Y15" s="3" t="s">
        <v>394</v>
      </c>
      <c r="Z15" s="3" t="s">
        <v>395</v>
      </c>
      <c r="AA15" s="3" t="s">
        <v>328</v>
      </c>
      <c r="AB15" s="3" t="s">
        <v>329</v>
      </c>
      <c r="AC15" s="7" t="s">
        <v>289</v>
      </c>
    </row>
    <row r="16" spans="1:29" ht="16.5" customHeight="1">
      <c r="A16" s="7"/>
      <c r="B16" s="26"/>
      <c r="C16" s="26"/>
      <c r="D16" s="26"/>
      <c r="E16" s="26"/>
      <c r="F16" s="26"/>
      <c r="G16" s="26"/>
      <c r="H16" s="27"/>
      <c r="I16" s="28" t="s">
        <v>75</v>
      </c>
      <c r="J16" s="30">
        <v>2</v>
      </c>
      <c r="K16" s="30">
        <v>1</v>
      </c>
      <c r="L16" s="29">
        <v>2.5</v>
      </c>
      <c r="M16" s="30" t="s">
        <v>396</v>
      </c>
      <c r="N16" s="28" t="s">
        <v>312</v>
      </c>
      <c r="O16" s="7"/>
      <c r="S16" s="3" t="s">
        <v>397</v>
      </c>
      <c r="T16" s="7" t="s">
        <v>294</v>
      </c>
      <c r="U16" s="3" t="s">
        <v>398</v>
      </c>
      <c r="V16" s="7" t="s">
        <v>294</v>
      </c>
      <c r="W16" s="7" t="s">
        <v>294</v>
      </c>
      <c r="X16" s="3" t="s">
        <v>399</v>
      </c>
      <c r="Y16" s="7"/>
      <c r="Z16" s="7"/>
      <c r="AA16" s="7"/>
      <c r="AB16" s="7"/>
      <c r="AC16" s="7"/>
    </row>
    <row r="17" spans="1:29" ht="16.5" customHeight="1">
      <c r="A17" s="7" t="str">
        <f>"59,18,13,5,9,17"</f>
        <v>59,18,13,5,9,17</v>
      </c>
      <c r="B17" s="26" t="s">
        <v>400</v>
      </c>
      <c r="C17" s="26" t="s">
        <v>270</v>
      </c>
      <c r="D17" s="26" t="s">
        <v>271</v>
      </c>
      <c r="E17" s="26" t="s">
        <v>272</v>
      </c>
      <c r="F17" s="26" t="s">
        <v>273</v>
      </c>
      <c r="G17" s="26" t="s">
        <v>274</v>
      </c>
      <c r="H17" s="27" t="s">
        <v>401</v>
      </c>
      <c r="I17" s="28" t="s">
        <v>75</v>
      </c>
      <c r="J17" s="7">
        <v>1</v>
      </c>
      <c r="K17" s="7"/>
      <c r="L17" s="17">
        <v>4.8</v>
      </c>
      <c r="M17" s="3" t="s">
        <v>402</v>
      </c>
      <c r="N17" s="30"/>
      <c r="O17" s="3" t="s">
        <v>403</v>
      </c>
      <c r="S17" s="3" t="s">
        <v>404</v>
      </c>
      <c r="T17" s="3" t="s">
        <v>405</v>
      </c>
      <c r="U17" s="3" t="s">
        <v>406</v>
      </c>
      <c r="V17" s="3" t="s">
        <v>407</v>
      </c>
      <c r="W17" s="3" t="s">
        <v>408</v>
      </c>
      <c r="X17" s="3" t="s">
        <v>374</v>
      </c>
      <c r="Y17" s="3" t="s">
        <v>285</v>
      </c>
      <c r="Z17" s="3" t="s">
        <v>310</v>
      </c>
      <c r="AA17" s="3" t="s">
        <v>287</v>
      </c>
      <c r="AB17" s="3" t="s">
        <v>288</v>
      </c>
      <c r="AC17" s="7" t="s">
        <v>289</v>
      </c>
    </row>
    <row r="18" spans="1:29" ht="16.5" customHeight="1">
      <c r="A18" s="7"/>
      <c r="B18" s="26"/>
      <c r="C18" s="26"/>
      <c r="D18" s="26"/>
      <c r="E18" s="26"/>
      <c r="F18" s="26"/>
      <c r="G18" s="2"/>
      <c r="H18" s="27"/>
      <c r="I18" s="28" t="s">
        <v>75</v>
      </c>
      <c r="J18" s="30">
        <v>-5</v>
      </c>
      <c r="K18" s="30"/>
      <c r="L18" s="29">
        <v>1</v>
      </c>
      <c r="M18" s="30" t="s">
        <v>409</v>
      </c>
      <c r="N18" s="28" t="s">
        <v>410</v>
      </c>
      <c r="O18" s="7"/>
      <c r="P18" s="7"/>
      <c r="S18" s="3" t="s">
        <v>411</v>
      </c>
      <c r="T18" s="7" t="s">
        <v>294</v>
      </c>
      <c r="U18" s="3" t="s">
        <v>412</v>
      </c>
      <c r="V18" s="7" t="s">
        <v>294</v>
      </c>
      <c r="W18" s="7" t="s">
        <v>294</v>
      </c>
      <c r="X18" s="3" t="s">
        <v>413</v>
      </c>
      <c r="Y18" s="7"/>
      <c r="Z18" s="7"/>
      <c r="AA18" s="7"/>
      <c r="AB18" s="7"/>
      <c r="AC18" s="7"/>
    </row>
    <row r="19" spans="1:29" ht="16.5" customHeight="1">
      <c r="A19" s="7" t="str">
        <f>"60,18,15,25,26"</f>
        <v>60,18,15,25,26</v>
      </c>
      <c r="B19" s="26" t="s">
        <v>335</v>
      </c>
      <c r="C19" s="26" t="s">
        <v>270</v>
      </c>
      <c r="D19" s="26" t="s">
        <v>414</v>
      </c>
      <c r="E19" s="26" t="s">
        <v>318</v>
      </c>
      <c r="F19" s="26" t="s">
        <v>337</v>
      </c>
      <c r="G19" s="26" t="s">
        <v>290</v>
      </c>
      <c r="H19" s="27" t="s">
        <v>415</v>
      </c>
      <c r="I19" s="28" t="s">
        <v>75</v>
      </c>
      <c r="J19" s="30">
        <v>1</v>
      </c>
      <c r="K19" s="30"/>
      <c r="L19" s="29">
        <v>4.8</v>
      </c>
      <c r="M19" s="30" t="s">
        <v>416</v>
      </c>
      <c r="N19" s="30"/>
      <c r="O19" s="3" t="s">
        <v>417</v>
      </c>
      <c r="P19" s="7" t="s">
        <v>418</v>
      </c>
      <c r="S19" s="3" t="s">
        <v>419</v>
      </c>
      <c r="T19" s="3" t="s">
        <v>357</v>
      </c>
      <c r="U19" s="3" t="s">
        <v>420</v>
      </c>
      <c r="V19" s="3" t="s">
        <v>421</v>
      </c>
      <c r="W19" s="3" t="s">
        <v>422</v>
      </c>
      <c r="X19" s="3" t="s">
        <v>423</v>
      </c>
      <c r="Y19" s="3" t="s">
        <v>361</v>
      </c>
      <c r="Z19" s="3" t="s">
        <v>362</v>
      </c>
      <c r="AA19" s="3" t="s">
        <v>287</v>
      </c>
      <c r="AB19" s="3" t="s">
        <v>288</v>
      </c>
      <c r="AC19" s="7" t="s">
        <v>289</v>
      </c>
    </row>
    <row r="20" spans="1:29" ht="16.5" customHeight="1">
      <c r="A20" s="7"/>
      <c r="B20" s="26"/>
      <c r="C20" s="26"/>
      <c r="D20" s="26"/>
      <c r="E20" s="26"/>
      <c r="F20" s="26"/>
      <c r="H20" s="27"/>
      <c r="I20" s="28" t="s">
        <v>75</v>
      </c>
      <c r="J20" s="7">
        <v>1</v>
      </c>
      <c r="K20" s="7">
        <v>1</v>
      </c>
      <c r="L20" s="17">
        <v>5</v>
      </c>
      <c r="M20" s="3" t="s">
        <v>424</v>
      </c>
      <c r="N20" s="28" t="s">
        <v>425</v>
      </c>
      <c r="O20" s="7"/>
      <c r="P20" s="7"/>
      <c r="S20" s="3" t="s">
        <v>426</v>
      </c>
      <c r="T20" s="7" t="s">
        <v>294</v>
      </c>
      <c r="U20" s="3" t="s">
        <v>427</v>
      </c>
      <c r="V20" s="7" t="s">
        <v>294</v>
      </c>
      <c r="W20" s="7" t="s">
        <v>294</v>
      </c>
      <c r="X20" s="3" t="s">
        <v>428</v>
      </c>
      <c r="Y20" s="7"/>
      <c r="Z20" s="7"/>
      <c r="AA20" s="7"/>
      <c r="AB20" s="7"/>
      <c r="AC20" s="7"/>
    </row>
    <row r="21" spans="1:29" ht="16.5" customHeight="1">
      <c r="A21" s="7" t="str">
        <f>"61,18,5,9,20"</f>
        <v>61,18,5,9,20</v>
      </c>
      <c r="B21" s="26" t="s">
        <v>269</v>
      </c>
      <c r="C21" s="26" t="s">
        <v>336</v>
      </c>
      <c r="D21" s="26" t="s">
        <v>272</v>
      </c>
      <c r="E21" s="26" t="s">
        <v>273</v>
      </c>
      <c r="F21" s="26" t="s">
        <v>366</v>
      </c>
      <c r="G21" s="32" t="s">
        <v>384</v>
      </c>
      <c r="H21" s="27" t="s">
        <v>429</v>
      </c>
      <c r="I21" s="28" t="s">
        <v>75</v>
      </c>
      <c r="J21" s="30">
        <v>1</v>
      </c>
      <c r="K21" s="30"/>
      <c r="L21" s="29">
        <v>4.8</v>
      </c>
      <c r="M21" s="30" t="s">
        <v>430</v>
      </c>
      <c r="N21" s="30"/>
      <c r="O21" s="3" t="s">
        <v>431</v>
      </c>
      <c r="S21" s="3" t="s">
        <v>432</v>
      </c>
      <c r="T21" s="3" t="s">
        <v>433</v>
      </c>
      <c r="U21" s="3" t="s">
        <v>434</v>
      </c>
      <c r="V21" s="3" t="s">
        <v>435</v>
      </c>
      <c r="W21" s="3" t="s">
        <v>436</v>
      </c>
      <c r="X21" s="3" t="s">
        <v>437</v>
      </c>
      <c r="Y21" s="3" t="s">
        <v>361</v>
      </c>
      <c r="Z21" s="3" t="s">
        <v>362</v>
      </c>
      <c r="AA21" s="3" t="s">
        <v>287</v>
      </c>
      <c r="AB21" s="3" t="s">
        <v>288</v>
      </c>
      <c r="AC21" s="7" t="s">
        <v>289</v>
      </c>
    </row>
    <row r="22" spans="1:29" ht="16.5" customHeight="1">
      <c r="A22" s="7"/>
      <c r="B22" s="26"/>
      <c r="C22" s="26"/>
      <c r="D22" s="26"/>
      <c r="E22" s="26"/>
      <c r="F22" s="26"/>
      <c r="G22" s="32"/>
      <c r="H22" s="27"/>
      <c r="I22" s="28" t="s">
        <v>75</v>
      </c>
      <c r="J22" s="7">
        <v>1</v>
      </c>
      <c r="K22" s="7">
        <v>1</v>
      </c>
      <c r="L22" s="17">
        <v>5</v>
      </c>
      <c r="M22" s="3" t="s">
        <v>438</v>
      </c>
      <c r="N22" s="28" t="s">
        <v>410</v>
      </c>
      <c r="O22" s="7"/>
      <c r="S22" s="3" t="s">
        <v>439</v>
      </c>
      <c r="T22" s="7" t="s">
        <v>294</v>
      </c>
      <c r="U22" s="3" t="s">
        <v>440</v>
      </c>
      <c r="V22" s="7" t="s">
        <v>294</v>
      </c>
      <c r="W22" s="7" t="s">
        <v>294</v>
      </c>
      <c r="X22" s="3" t="s">
        <v>441</v>
      </c>
      <c r="Y22" s="7"/>
      <c r="Z22" s="7"/>
      <c r="AA22" s="7"/>
      <c r="AB22" s="7"/>
      <c r="AC22" s="7"/>
    </row>
    <row r="23" spans="1:29" ht="16.5" customHeight="1">
      <c r="A23" s="7" t="str">
        <f>"59,12,15,10,22"</f>
        <v>59,12,15,10,22</v>
      </c>
      <c r="B23" s="26" t="s">
        <v>400</v>
      </c>
      <c r="C23" s="26" t="s">
        <v>336</v>
      </c>
      <c r="D23" s="26" t="s">
        <v>367</v>
      </c>
      <c r="E23" s="26" t="s">
        <v>442</v>
      </c>
      <c r="F23" s="26" t="s">
        <v>414</v>
      </c>
      <c r="G23" s="26" t="s">
        <v>443</v>
      </c>
      <c r="H23" s="27" t="s">
        <v>444</v>
      </c>
      <c r="I23" s="28" t="s">
        <v>75</v>
      </c>
      <c r="J23" s="30">
        <v>-2</v>
      </c>
      <c r="K23" s="30"/>
      <c r="L23" s="29">
        <v>2.4</v>
      </c>
      <c r="M23" s="30" t="s">
        <v>445</v>
      </c>
      <c r="N23" s="30"/>
      <c r="O23" s="3" t="s">
        <v>446</v>
      </c>
      <c r="P23" s="7" t="s">
        <v>447</v>
      </c>
      <c r="S23" s="3" t="s">
        <v>448</v>
      </c>
      <c r="T23" s="3" t="s">
        <v>449</v>
      </c>
      <c r="U23" s="3" t="s">
        <v>450</v>
      </c>
      <c r="V23" s="3" t="s">
        <v>451</v>
      </c>
      <c r="W23" s="3" t="s">
        <v>374</v>
      </c>
      <c r="X23" s="3" t="s">
        <v>452</v>
      </c>
      <c r="Y23" s="3" t="s">
        <v>377</v>
      </c>
      <c r="Z23" s="3" t="s">
        <v>453</v>
      </c>
      <c r="AA23" s="3" t="s">
        <v>328</v>
      </c>
      <c r="AB23" s="3" t="s">
        <v>329</v>
      </c>
      <c r="AC23" s="7" t="s">
        <v>289</v>
      </c>
    </row>
    <row r="24" spans="1:29" ht="16.5" customHeight="1">
      <c r="A24" s="7"/>
      <c r="B24" s="26"/>
      <c r="C24" s="26"/>
      <c r="D24" s="26"/>
      <c r="E24" s="26"/>
      <c r="F24" s="26"/>
      <c r="G24" s="27"/>
      <c r="H24" s="27"/>
      <c r="I24" s="28" t="s">
        <v>75</v>
      </c>
      <c r="J24" s="30">
        <v>1</v>
      </c>
      <c r="K24" s="30"/>
      <c r="L24" s="29">
        <v>4.8</v>
      </c>
      <c r="M24" s="30" t="s">
        <v>454</v>
      </c>
      <c r="N24" s="28" t="s">
        <v>331</v>
      </c>
      <c r="O24" s="7"/>
      <c r="S24" s="3" t="s">
        <v>455</v>
      </c>
      <c r="T24" s="7" t="s">
        <v>294</v>
      </c>
      <c r="U24" s="3" t="s">
        <v>456</v>
      </c>
      <c r="V24" s="7" t="s">
        <v>294</v>
      </c>
      <c r="W24" s="7" t="s">
        <v>294</v>
      </c>
      <c r="X24" s="3" t="s">
        <v>457</v>
      </c>
      <c r="Y24" s="7"/>
      <c r="Z24" s="7"/>
      <c r="AA24" s="7"/>
      <c r="AB24" s="7"/>
      <c r="AC24" s="7"/>
    </row>
    <row r="25" spans="1:29" ht="16.5" customHeight="1">
      <c r="A25" s="7" t="str">
        <f>"60,14,15,22,8"</f>
        <v>60,14,15,22,8</v>
      </c>
      <c r="B25" s="26" t="s">
        <v>335</v>
      </c>
      <c r="C25" s="26" t="s">
        <v>316</v>
      </c>
      <c r="D25" s="26" t="s">
        <v>414</v>
      </c>
      <c r="E25" s="26" t="s">
        <v>443</v>
      </c>
      <c r="F25" s="26" t="s">
        <v>317</v>
      </c>
      <c r="G25" s="26" t="s">
        <v>458</v>
      </c>
      <c r="H25" s="27" t="s">
        <v>459</v>
      </c>
      <c r="I25" s="28" t="s">
        <v>75</v>
      </c>
      <c r="J25" s="30">
        <v>-2</v>
      </c>
      <c r="K25" s="30">
        <v>1</v>
      </c>
      <c r="L25" s="29">
        <v>2.5</v>
      </c>
      <c r="M25" s="30" t="s">
        <v>460</v>
      </c>
      <c r="N25" s="30"/>
      <c r="O25" s="3" t="s">
        <v>461</v>
      </c>
      <c r="S25" s="3" t="s">
        <v>462</v>
      </c>
      <c r="T25" s="3" t="s">
        <v>463</v>
      </c>
      <c r="U25" s="3" t="s">
        <v>374</v>
      </c>
      <c r="V25" s="3" t="s">
        <v>464</v>
      </c>
      <c r="W25" s="3" t="s">
        <v>465</v>
      </c>
      <c r="X25" s="3" t="s">
        <v>466</v>
      </c>
      <c r="Y25" s="3" t="s">
        <v>285</v>
      </c>
      <c r="Z25" s="3" t="s">
        <v>310</v>
      </c>
      <c r="AA25" s="3" t="s">
        <v>287</v>
      </c>
      <c r="AB25" s="3" t="s">
        <v>288</v>
      </c>
      <c r="AC25" s="7" t="s">
        <v>289</v>
      </c>
    </row>
    <row r="26" spans="1:29" ht="16.5" customHeight="1">
      <c r="A26" s="7"/>
      <c r="B26" s="26"/>
      <c r="C26" s="26"/>
      <c r="D26" s="26"/>
      <c r="E26" s="26"/>
      <c r="F26" s="26"/>
      <c r="G26" s="27"/>
      <c r="H26" s="27"/>
      <c r="I26" s="28" t="s">
        <v>75</v>
      </c>
      <c r="J26" s="7">
        <v>-1</v>
      </c>
      <c r="K26" s="7"/>
      <c r="L26" s="17">
        <v>4.8</v>
      </c>
      <c r="M26" s="3" t="s">
        <v>467</v>
      </c>
      <c r="N26" s="28" t="s">
        <v>292</v>
      </c>
      <c r="S26" s="3" t="s">
        <v>468</v>
      </c>
      <c r="T26" s="7" t="s">
        <v>294</v>
      </c>
      <c r="U26" s="3" t="s">
        <v>469</v>
      </c>
      <c r="V26" s="7" t="s">
        <v>294</v>
      </c>
      <c r="W26" s="7" t="s">
        <v>294</v>
      </c>
      <c r="X26" s="3" t="s">
        <v>470</v>
      </c>
    </row>
    <row r="27" spans="1:29" ht="14.25" hidden="1" customHeight="1">
      <c r="A27" s="7"/>
    </row>
    <row r="28" spans="1:29" ht="14.25" hidden="1" customHeight="1">
      <c r="A28" s="7"/>
    </row>
    <row r="29" spans="1:29" ht="16.5" hidden="1" customHeight="1">
      <c r="A29" s="7" t="str">
        <f>"61,18,19,5,9,7"</f>
        <v>61,18,19,5,9,7</v>
      </c>
      <c r="B29" s="26" t="s">
        <v>269</v>
      </c>
      <c r="C29" s="26" t="s">
        <v>270</v>
      </c>
      <c r="D29" s="26" t="s">
        <v>366</v>
      </c>
      <c r="E29" s="26" t="s">
        <v>272</v>
      </c>
      <c r="F29" s="26" t="s">
        <v>273</v>
      </c>
      <c r="G29" s="26"/>
      <c r="H29" s="27" t="s">
        <v>471</v>
      </c>
      <c r="I29" s="30"/>
      <c r="J29" s="30"/>
      <c r="K29" s="30"/>
      <c r="L29" s="30"/>
      <c r="M29" s="30"/>
      <c r="N29" s="30"/>
      <c r="O29" s="3" t="s">
        <v>472</v>
      </c>
    </row>
    <row r="30" spans="1:29" ht="16.5" hidden="1" customHeight="1">
      <c r="A30" s="7" t="str">
        <f>"59,12,15,10,23,11"</f>
        <v>59,12,15,10,23,11</v>
      </c>
      <c r="B30" s="26" t="s">
        <v>400</v>
      </c>
      <c r="C30" s="26" t="s">
        <v>336</v>
      </c>
      <c r="D30" s="26" t="s">
        <v>367</v>
      </c>
      <c r="E30" s="26" t="s">
        <v>442</v>
      </c>
      <c r="F30" s="26" t="s">
        <v>458</v>
      </c>
      <c r="G30" s="26" t="s">
        <v>383</v>
      </c>
      <c r="H30" s="27" t="s">
        <v>473</v>
      </c>
      <c r="I30" s="30"/>
      <c r="J30" s="30"/>
      <c r="K30" s="30"/>
      <c r="L30" s="30"/>
      <c r="M30" s="30"/>
      <c r="N30" s="30"/>
      <c r="O30" s="3" t="s">
        <v>474</v>
      </c>
    </row>
    <row r="31" spans="1:29" ht="16.5" hidden="1" customHeight="1">
      <c r="A31" s="7" t="str">
        <f>"60,18,15,22,25,26"</f>
        <v>60,18,15,22,25,26</v>
      </c>
      <c r="B31" s="26" t="s">
        <v>335</v>
      </c>
      <c r="C31" s="26" t="s">
        <v>270</v>
      </c>
      <c r="D31" s="26" t="s">
        <v>367</v>
      </c>
      <c r="E31" s="26" t="s">
        <v>414</v>
      </c>
      <c r="F31" s="26" t="s">
        <v>318</v>
      </c>
      <c r="G31" s="26" t="s">
        <v>290</v>
      </c>
      <c r="H31" s="27" t="s">
        <v>475</v>
      </c>
      <c r="I31" s="30"/>
      <c r="J31" s="30"/>
      <c r="K31" s="30"/>
      <c r="L31" s="30"/>
      <c r="M31" s="30"/>
      <c r="N31" s="30"/>
      <c r="O31" s="3" t="s">
        <v>476</v>
      </c>
      <c r="S31" s="7"/>
    </row>
    <row r="32" spans="1:29" ht="16.5" hidden="1" customHeight="1">
      <c r="A32" s="7" t="str">
        <f>"62,18,24,9,25,26"</f>
        <v>62,18,24,9,25,26</v>
      </c>
      <c r="B32" s="26" t="s">
        <v>477</v>
      </c>
      <c r="C32" s="26" t="s">
        <v>270</v>
      </c>
      <c r="D32" s="26" t="s">
        <v>300</v>
      </c>
      <c r="E32" s="26" t="s">
        <v>273</v>
      </c>
      <c r="F32" s="26" t="s">
        <v>318</v>
      </c>
      <c r="G32" s="26" t="s">
        <v>290</v>
      </c>
      <c r="H32" s="27" t="s">
        <v>478</v>
      </c>
      <c r="I32" s="30"/>
      <c r="J32" s="30"/>
      <c r="K32" s="30"/>
      <c r="L32" s="30"/>
      <c r="M32" s="30"/>
      <c r="N32" s="30"/>
      <c r="O32" s="3" t="s">
        <v>479</v>
      </c>
    </row>
    <row r="33" spans="1:24" ht="16.5" hidden="1" customHeight="1">
      <c r="A33" s="7" t="str">
        <f>"61,18,9,7,25"</f>
        <v>61,18,9,7,25</v>
      </c>
      <c r="B33" s="26" t="s">
        <v>269</v>
      </c>
      <c r="C33" s="26" t="s">
        <v>270</v>
      </c>
      <c r="D33" s="26" t="s">
        <v>273</v>
      </c>
      <c r="E33" s="26" t="s">
        <v>318</v>
      </c>
      <c r="F33" s="26"/>
      <c r="G33" s="26"/>
      <c r="H33" s="27" t="s">
        <v>480</v>
      </c>
      <c r="I33" s="30"/>
      <c r="J33" s="30"/>
      <c r="K33" s="30"/>
      <c r="L33" s="30"/>
      <c r="M33" s="30"/>
      <c r="N33" s="30"/>
      <c r="O33" s="3" t="s">
        <v>481</v>
      </c>
      <c r="U33" s="3" t="s">
        <v>482</v>
      </c>
    </row>
    <row r="34" spans="1:24" ht="16.5" hidden="1" customHeight="1">
      <c r="A34" s="7" t="str">
        <f>"59,12,15,22,10,25"</f>
        <v>59,12,15,22,10,25</v>
      </c>
      <c r="B34" s="26" t="s">
        <v>400</v>
      </c>
      <c r="C34" s="26" t="s">
        <v>336</v>
      </c>
      <c r="D34" s="26" t="s">
        <v>367</v>
      </c>
      <c r="E34" s="26" t="s">
        <v>414</v>
      </c>
      <c r="F34" s="26" t="s">
        <v>442</v>
      </c>
      <c r="G34" s="26" t="s">
        <v>318</v>
      </c>
      <c r="H34" s="27" t="s">
        <v>483</v>
      </c>
      <c r="I34" s="30"/>
      <c r="J34" s="30"/>
      <c r="K34" s="30"/>
      <c r="L34" s="30"/>
      <c r="M34" s="30"/>
      <c r="N34" s="30"/>
      <c r="O34" s="3" t="s">
        <v>484</v>
      </c>
    </row>
    <row r="35" spans="1:24" ht="16.5" hidden="1" customHeight="1">
      <c r="A35" s="7" t="str">
        <f>"58,12,15,10,20"</f>
        <v>58,12,15,10,20</v>
      </c>
      <c r="B35" s="26" t="s">
        <v>297</v>
      </c>
      <c r="C35" s="26" t="s">
        <v>336</v>
      </c>
      <c r="D35" s="26" t="s">
        <v>384</v>
      </c>
      <c r="G35" s="26"/>
      <c r="H35" s="27" t="s">
        <v>485</v>
      </c>
      <c r="I35" s="30"/>
      <c r="J35" s="30"/>
      <c r="K35" s="30"/>
      <c r="L35" s="30"/>
      <c r="M35" s="30"/>
      <c r="N35" s="30"/>
      <c r="O35" s="3" t="s">
        <v>486</v>
      </c>
    </row>
    <row r="36" spans="1:24" ht="16.5" hidden="1" customHeight="1">
      <c r="A36" s="7" t="str">
        <f>"60,18,13,5,21,9"</f>
        <v>60,18,13,5,21,9</v>
      </c>
      <c r="B36" s="26" t="s">
        <v>335</v>
      </c>
      <c r="C36" s="26" t="s">
        <v>270</v>
      </c>
      <c r="D36" s="26" t="s">
        <v>271</v>
      </c>
      <c r="E36" s="26" t="s">
        <v>272</v>
      </c>
      <c r="F36" s="26" t="s">
        <v>273</v>
      </c>
      <c r="G36" s="26"/>
      <c r="H36" s="27" t="s">
        <v>487</v>
      </c>
      <c r="I36" s="30"/>
      <c r="J36" s="30"/>
      <c r="K36" s="30"/>
      <c r="L36" s="30"/>
      <c r="M36" s="30"/>
      <c r="N36" s="30"/>
      <c r="O36" s="3" t="s">
        <v>488</v>
      </c>
    </row>
    <row r="37" spans="1:24" hidden="1"/>
    <row r="38" spans="1:24" ht="14.25" customHeight="1">
      <c r="H38" s="7">
        <v>27</v>
      </c>
    </row>
    <row r="39" spans="1:24" ht="16.5" customHeight="1">
      <c r="B39" s="33" t="s">
        <v>77</v>
      </c>
      <c r="C39" s="159" t="s">
        <v>489</v>
      </c>
      <c r="D39" s="157"/>
      <c r="E39" s="34"/>
      <c r="F39" s="34"/>
      <c r="G39" s="34"/>
    </row>
    <row r="40" spans="1:24" ht="16.5" customHeight="1">
      <c r="A40" s="7" t="str">
        <f>"56,16,13,2,1"</f>
        <v>56,16,13,2,1</v>
      </c>
      <c r="C40" s="26" t="s">
        <v>297</v>
      </c>
      <c r="D40" s="26" t="s">
        <v>336</v>
      </c>
      <c r="E40" s="26" t="s">
        <v>271</v>
      </c>
      <c r="F40" s="26" t="s">
        <v>298</v>
      </c>
      <c r="G40" s="26" t="s">
        <v>337</v>
      </c>
      <c r="H40" s="35" t="s">
        <v>490</v>
      </c>
      <c r="I40" s="7" t="s">
        <v>77</v>
      </c>
      <c r="J40" s="7">
        <v>2</v>
      </c>
      <c r="K40" s="7"/>
      <c r="L40" s="17">
        <v>1.9</v>
      </c>
      <c r="M40" s="3" t="s">
        <v>491</v>
      </c>
      <c r="N40" s="36"/>
      <c r="S40" s="3" t="s">
        <v>492</v>
      </c>
      <c r="T40" s="7" t="s">
        <v>493</v>
      </c>
      <c r="U40" s="7" t="s">
        <v>493</v>
      </c>
      <c r="V40" s="3" t="s">
        <v>494</v>
      </c>
      <c r="W40" s="7" t="s">
        <v>493</v>
      </c>
      <c r="X40" s="3" t="s">
        <v>495</v>
      </c>
    </row>
    <row r="41" spans="1:24" ht="16.5" customHeight="1">
      <c r="C41" s="26"/>
      <c r="D41" s="26"/>
      <c r="E41" s="26"/>
      <c r="F41" s="26"/>
      <c r="G41" s="26"/>
      <c r="H41" s="35"/>
      <c r="I41" s="7" t="s">
        <v>77</v>
      </c>
      <c r="J41" s="7">
        <v>1</v>
      </c>
      <c r="K41" s="7"/>
      <c r="L41" s="17">
        <v>3.8</v>
      </c>
      <c r="M41" s="3" t="s">
        <v>496</v>
      </c>
      <c r="N41" s="28" t="s">
        <v>497</v>
      </c>
      <c r="S41" s="3" t="s">
        <v>498</v>
      </c>
      <c r="T41" s="7" t="s">
        <v>294</v>
      </c>
      <c r="U41" s="7" t="s">
        <v>294</v>
      </c>
      <c r="V41" s="7" t="s">
        <v>294</v>
      </c>
      <c r="W41" s="7" t="s">
        <v>294</v>
      </c>
      <c r="X41" s="3" t="s">
        <v>499</v>
      </c>
    </row>
    <row r="42" spans="1:24" ht="16.5" customHeight="1">
      <c r="A42" s="7" t="str">
        <f>"56,16,13,4,52"</f>
        <v>56,16,13,4,52</v>
      </c>
      <c r="C42" s="26" t="s">
        <v>297</v>
      </c>
      <c r="D42" s="26" t="s">
        <v>336</v>
      </c>
      <c r="E42" s="26" t="s">
        <v>271</v>
      </c>
      <c r="F42" s="26" t="s">
        <v>338</v>
      </c>
      <c r="G42" s="26" t="s">
        <v>414</v>
      </c>
      <c r="H42" s="35" t="s">
        <v>500</v>
      </c>
      <c r="I42" s="7" t="s">
        <v>77</v>
      </c>
      <c r="J42" s="7">
        <v>3</v>
      </c>
      <c r="K42" s="7"/>
      <c r="L42" s="17">
        <v>1.25</v>
      </c>
      <c r="M42" s="3" t="s">
        <v>501</v>
      </c>
      <c r="N42" s="36"/>
      <c r="S42" s="3" t="s">
        <v>502</v>
      </c>
      <c r="T42" s="7" t="s">
        <v>493</v>
      </c>
      <c r="U42" s="7" t="s">
        <v>493</v>
      </c>
      <c r="V42" s="3" t="s">
        <v>503</v>
      </c>
      <c r="W42" s="7" t="s">
        <v>493</v>
      </c>
      <c r="X42" s="3" t="s">
        <v>504</v>
      </c>
    </row>
    <row r="43" spans="1:24" ht="16.5" customHeight="1">
      <c r="C43" s="26"/>
      <c r="D43" s="26"/>
      <c r="E43" s="26"/>
      <c r="F43" s="26"/>
      <c r="G43" s="26"/>
      <c r="H43" s="35"/>
      <c r="I43" s="7" t="s">
        <v>77</v>
      </c>
      <c r="J43" s="7">
        <v>3</v>
      </c>
      <c r="K43" s="7">
        <v>1</v>
      </c>
      <c r="L43" s="17">
        <v>1.3</v>
      </c>
      <c r="M43" s="3" t="s">
        <v>505</v>
      </c>
      <c r="N43" s="28" t="s">
        <v>312</v>
      </c>
      <c r="S43" s="3" t="s">
        <v>506</v>
      </c>
      <c r="T43" s="7" t="s">
        <v>294</v>
      </c>
      <c r="U43" s="7" t="s">
        <v>294</v>
      </c>
      <c r="V43" s="7" t="s">
        <v>294</v>
      </c>
      <c r="W43" s="7" t="s">
        <v>294</v>
      </c>
      <c r="X43" s="3" t="s">
        <v>507</v>
      </c>
    </row>
    <row r="44" spans="1:24" ht="16.5" customHeight="1">
      <c r="A44" s="7" t="str">
        <f>"58,17,15,51,10"</f>
        <v>58,17,15,51,10</v>
      </c>
      <c r="C44" s="26" t="s">
        <v>269</v>
      </c>
      <c r="D44" s="26" t="s">
        <v>270</v>
      </c>
      <c r="E44" s="26" t="s">
        <v>367</v>
      </c>
      <c r="F44" s="26" t="s">
        <v>366</v>
      </c>
      <c r="G44" s="26" t="s">
        <v>458</v>
      </c>
      <c r="H44" s="35" t="s">
        <v>508</v>
      </c>
      <c r="I44" s="7" t="s">
        <v>77</v>
      </c>
      <c r="J44" s="7">
        <v>-2</v>
      </c>
      <c r="K44" s="7"/>
      <c r="L44" s="17">
        <v>1.9</v>
      </c>
      <c r="M44" s="3" t="s">
        <v>509</v>
      </c>
      <c r="S44" s="3" t="s">
        <v>510</v>
      </c>
      <c r="T44" s="7" t="s">
        <v>493</v>
      </c>
      <c r="U44" s="7" t="s">
        <v>493</v>
      </c>
      <c r="V44" s="3" t="s">
        <v>511</v>
      </c>
      <c r="W44" s="7" t="s">
        <v>493</v>
      </c>
      <c r="X44" s="3" t="s">
        <v>512</v>
      </c>
    </row>
    <row r="45" spans="1:24" ht="16.5" customHeight="1">
      <c r="C45" s="26"/>
      <c r="D45" s="26"/>
      <c r="E45" s="26"/>
      <c r="F45" s="26"/>
      <c r="G45" s="26"/>
      <c r="H45" s="35"/>
      <c r="I45" s="7" t="s">
        <v>77</v>
      </c>
      <c r="J45" s="7">
        <v>2</v>
      </c>
      <c r="K45" s="7"/>
      <c r="L45" s="17">
        <v>1.9</v>
      </c>
      <c r="M45" s="3" t="s">
        <v>513</v>
      </c>
      <c r="N45" s="28" t="s">
        <v>497</v>
      </c>
      <c r="S45" s="3" t="s">
        <v>514</v>
      </c>
      <c r="T45" s="7" t="s">
        <v>294</v>
      </c>
      <c r="U45" s="7" t="s">
        <v>294</v>
      </c>
      <c r="V45" s="7" t="s">
        <v>294</v>
      </c>
      <c r="W45" s="7" t="s">
        <v>294</v>
      </c>
      <c r="X45" s="3" t="s">
        <v>503</v>
      </c>
    </row>
    <row r="46" spans="1:24" ht="16.5" customHeight="1">
      <c r="A46" s="7" t="str">
        <f>"58,17,51,20"</f>
        <v>58,17,51,20</v>
      </c>
      <c r="C46" s="26" t="s">
        <v>269</v>
      </c>
      <c r="D46" s="26" t="s">
        <v>270</v>
      </c>
      <c r="E46" s="26" t="s">
        <v>366</v>
      </c>
      <c r="F46" s="26" t="s">
        <v>384</v>
      </c>
      <c r="G46" s="26"/>
      <c r="H46" s="35" t="s">
        <v>515</v>
      </c>
      <c r="I46" s="7" t="s">
        <v>77</v>
      </c>
      <c r="J46" s="7">
        <v>3</v>
      </c>
      <c r="K46" s="7">
        <v>1</v>
      </c>
      <c r="L46" s="17">
        <v>1.3</v>
      </c>
      <c r="M46" s="3" t="s">
        <v>516</v>
      </c>
      <c r="N46" s="36"/>
      <c r="S46" s="3" t="s">
        <v>517</v>
      </c>
      <c r="T46" s="7" t="s">
        <v>493</v>
      </c>
      <c r="U46" s="7" t="s">
        <v>493</v>
      </c>
      <c r="V46" s="3" t="s">
        <v>518</v>
      </c>
      <c r="W46" s="7" t="s">
        <v>493</v>
      </c>
      <c r="X46" s="3" t="s">
        <v>519</v>
      </c>
    </row>
    <row r="47" spans="1:24" ht="16.5" customHeight="1">
      <c r="C47" s="26"/>
      <c r="D47" s="26"/>
      <c r="E47" s="26"/>
      <c r="F47" s="26"/>
      <c r="G47" s="26"/>
      <c r="H47" s="35"/>
      <c r="I47" s="7" t="s">
        <v>77</v>
      </c>
      <c r="J47" s="7">
        <v>2</v>
      </c>
      <c r="K47" s="7">
        <v>1</v>
      </c>
      <c r="L47" s="17">
        <v>2</v>
      </c>
      <c r="M47" s="3" t="s">
        <v>520</v>
      </c>
      <c r="N47" s="28" t="s">
        <v>292</v>
      </c>
      <c r="S47" s="3" t="s">
        <v>521</v>
      </c>
      <c r="T47" s="7" t="s">
        <v>294</v>
      </c>
      <c r="U47" s="7" t="s">
        <v>294</v>
      </c>
      <c r="V47" s="7" t="s">
        <v>294</v>
      </c>
      <c r="W47" s="7" t="s">
        <v>294</v>
      </c>
      <c r="X47" s="3" t="s">
        <v>522</v>
      </c>
    </row>
    <row r="48" spans="1:24" ht="16.5" customHeight="1">
      <c r="A48" s="7" t="str">
        <f>"57,17,15,52,10"</f>
        <v>57,17,15,52,10</v>
      </c>
      <c r="C48" s="26" t="s">
        <v>335</v>
      </c>
      <c r="D48" s="26" t="s">
        <v>270</v>
      </c>
      <c r="E48" s="26" t="s">
        <v>367</v>
      </c>
      <c r="F48" s="26" t="s">
        <v>414</v>
      </c>
      <c r="G48" s="26" t="s">
        <v>458</v>
      </c>
      <c r="H48" s="35" t="s">
        <v>523</v>
      </c>
      <c r="I48" s="7" t="s">
        <v>77</v>
      </c>
      <c r="J48" s="7">
        <v>-1</v>
      </c>
      <c r="K48" s="7">
        <v>1</v>
      </c>
      <c r="L48" s="17">
        <v>3.8</v>
      </c>
      <c r="M48" s="3" t="s">
        <v>524</v>
      </c>
      <c r="N48" s="36"/>
      <c r="S48" s="3" t="s">
        <v>525</v>
      </c>
      <c r="T48" s="7" t="s">
        <v>493</v>
      </c>
      <c r="U48" s="7" t="s">
        <v>493</v>
      </c>
      <c r="V48" s="3" t="s">
        <v>526</v>
      </c>
      <c r="W48" s="7" t="s">
        <v>493</v>
      </c>
      <c r="X48" s="3" t="s">
        <v>527</v>
      </c>
    </row>
    <row r="49" spans="1:24" ht="16.5" customHeight="1">
      <c r="C49" s="26"/>
      <c r="D49" s="26"/>
      <c r="E49" s="26"/>
      <c r="F49" s="26"/>
      <c r="G49" s="26"/>
      <c r="H49" s="35"/>
      <c r="I49" s="7" t="s">
        <v>77</v>
      </c>
      <c r="J49" s="7">
        <v>-2</v>
      </c>
      <c r="K49" s="7"/>
      <c r="L49" s="17">
        <v>1.9</v>
      </c>
      <c r="M49" s="3" t="s">
        <v>528</v>
      </c>
      <c r="N49" s="28" t="s">
        <v>312</v>
      </c>
      <c r="S49" s="3" t="s">
        <v>529</v>
      </c>
      <c r="T49" s="7" t="s">
        <v>294</v>
      </c>
      <c r="U49" s="7" t="s">
        <v>294</v>
      </c>
      <c r="V49" s="7" t="s">
        <v>294</v>
      </c>
      <c r="W49" s="7" t="s">
        <v>294</v>
      </c>
      <c r="X49" s="3" t="s">
        <v>530</v>
      </c>
    </row>
    <row r="50" spans="1:24" ht="16.5" customHeight="1">
      <c r="A50" s="7" t="str">
        <f>"57,17,13,18,53"</f>
        <v>57,17,13,18,53</v>
      </c>
      <c r="C50" s="26" t="s">
        <v>335</v>
      </c>
      <c r="D50" s="26" t="s">
        <v>270</v>
      </c>
      <c r="E50" s="26" t="s">
        <v>271</v>
      </c>
      <c r="F50" s="26" t="s">
        <v>274</v>
      </c>
      <c r="G50" s="6" t="s">
        <v>300</v>
      </c>
      <c r="H50" s="35" t="s">
        <v>531</v>
      </c>
      <c r="I50" s="7" t="s">
        <v>77</v>
      </c>
      <c r="J50" s="7">
        <v>2</v>
      </c>
      <c r="K50" s="7">
        <v>1</v>
      </c>
      <c r="L50" s="17">
        <v>2</v>
      </c>
      <c r="M50" s="3" t="s">
        <v>532</v>
      </c>
      <c r="N50" s="36"/>
      <c r="S50" s="3" t="s">
        <v>533</v>
      </c>
      <c r="T50" s="7" t="s">
        <v>493</v>
      </c>
      <c r="U50" s="7" t="s">
        <v>493</v>
      </c>
      <c r="V50" s="3" t="s">
        <v>503</v>
      </c>
      <c r="W50" s="7" t="s">
        <v>493</v>
      </c>
      <c r="X50" s="3" t="s">
        <v>512</v>
      </c>
    </row>
    <row r="51" spans="1:24" ht="16.5" customHeight="1">
      <c r="C51" s="26"/>
      <c r="D51" s="26"/>
      <c r="E51" s="26"/>
      <c r="F51" s="26"/>
      <c r="G51" s="26"/>
      <c r="H51" s="35"/>
      <c r="I51" s="7" t="s">
        <v>77</v>
      </c>
      <c r="J51" s="7">
        <v>2</v>
      </c>
      <c r="K51" s="7">
        <v>1</v>
      </c>
      <c r="L51" s="17">
        <v>2</v>
      </c>
      <c r="M51" s="3" t="s">
        <v>534</v>
      </c>
      <c r="N51" s="28" t="s">
        <v>292</v>
      </c>
      <c r="S51" s="3" t="s">
        <v>535</v>
      </c>
      <c r="T51" s="7" t="s">
        <v>294</v>
      </c>
      <c r="U51" s="7" t="s">
        <v>294</v>
      </c>
      <c r="V51" s="7" t="s">
        <v>294</v>
      </c>
      <c r="W51" s="7" t="s">
        <v>294</v>
      </c>
      <c r="X51" s="3" t="s">
        <v>522</v>
      </c>
    </row>
    <row r="52" spans="1:24" ht="16.5" customHeight="1">
      <c r="A52" s="7" t="str">
        <f>"57,17,13,6,6"</f>
        <v>57,17,13,6,6</v>
      </c>
      <c r="C52" s="26" t="s">
        <v>335</v>
      </c>
      <c r="D52" s="26" t="s">
        <v>270</v>
      </c>
      <c r="E52" s="26" t="s">
        <v>271</v>
      </c>
      <c r="F52" s="26" t="s">
        <v>536</v>
      </c>
      <c r="G52" s="26" t="s">
        <v>273</v>
      </c>
      <c r="H52" s="35" t="s">
        <v>487</v>
      </c>
      <c r="I52" s="7" t="s">
        <v>77</v>
      </c>
      <c r="J52" s="7">
        <v>3</v>
      </c>
      <c r="K52" s="7">
        <v>1</v>
      </c>
      <c r="L52" s="17">
        <v>1.3</v>
      </c>
      <c r="M52" s="3" t="s">
        <v>537</v>
      </c>
      <c r="N52" s="36"/>
      <c r="S52" s="3" t="s">
        <v>538</v>
      </c>
      <c r="T52" s="7" t="s">
        <v>493</v>
      </c>
      <c r="U52" s="7" t="s">
        <v>493</v>
      </c>
      <c r="V52" s="3" t="s">
        <v>503</v>
      </c>
      <c r="W52" s="7" t="s">
        <v>493</v>
      </c>
      <c r="X52" s="3" t="s">
        <v>539</v>
      </c>
    </row>
    <row r="53" spans="1:24" ht="16.5" customHeight="1">
      <c r="C53" s="26"/>
      <c r="D53" s="26"/>
      <c r="E53" s="26"/>
      <c r="F53" s="26"/>
      <c r="G53" s="26"/>
      <c r="H53" s="35"/>
      <c r="I53" s="7" t="s">
        <v>77</v>
      </c>
      <c r="J53" s="7">
        <v>2</v>
      </c>
      <c r="K53" s="7"/>
      <c r="L53" s="17">
        <v>1.9</v>
      </c>
      <c r="M53" s="3" t="s">
        <v>540</v>
      </c>
      <c r="N53" s="28" t="s">
        <v>497</v>
      </c>
      <c r="S53" s="3" t="s">
        <v>541</v>
      </c>
      <c r="T53" s="7" t="s">
        <v>294</v>
      </c>
      <c r="U53" s="7" t="s">
        <v>294</v>
      </c>
      <c r="V53" s="7" t="s">
        <v>294</v>
      </c>
      <c r="W53" s="7" t="s">
        <v>294</v>
      </c>
      <c r="X53" s="3" t="s">
        <v>494</v>
      </c>
    </row>
    <row r="54" spans="1:24" ht="16.5" customHeight="1">
      <c r="A54" s="7" t="str">
        <f>"59,17,15,20,9"</f>
        <v>59,17,15,20,9</v>
      </c>
      <c r="C54" s="26" t="s">
        <v>400</v>
      </c>
      <c r="D54" s="26" t="s">
        <v>270</v>
      </c>
      <c r="E54" s="26" t="s">
        <v>367</v>
      </c>
      <c r="F54" s="26" t="s">
        <v>384</v>
      </c>
      <c r="G54" s="26" t="s">
        <v>442</v>
      </c>
      <c r="H54" s="35" t="s">
        <v>542</v>
      </c>
      <c r="I54" s="7" t="s">
        <v>77</v>
      </c>
      <c r="J54" s="7">
        <v>1</v>
      </c>
      <c r="K54" s="7">
        <v>1</v>
      </c>
      <c r="L54" s="17">
        <v>4</v>
      </c>
      <c r="M54" s="3" t="s">
        <v>543</v>
      </c>
      <c r="N54" s="36"/>
      <c r="S54" s="3" t="s">
        <v>544</v>
      </c>
      <c r="T54" s="7" t="s">
        <v>493</v>
      </c>
      <c r="U54" s="7" t="s">
        <v>493</v>
      </c>
      <c r="V54" s="3" t="s">
        <v>503</v>
      </c>
      <c r="W54" s="7" t="s">
        <v>493</v>
      </c>
      <c r="X54" s="3" t="s">
        <v>545</v>
      </c>
    </row>
    <row r="55" spans="1:24" ht="16.5" customHeight="1">
      <c r="C55" s="26"/>
      <c r="D55" s="26"/>
      <c r="E55" s="26"/>
      <c r="F55" s="26"/>
      <c r="G55" s="26"/>
      <c r="H55" s="35"/>
      <c r="I55" s="7" t="s">
        <v>77</v>
      </c>
      <c r="J55" s="7">
        <v>3</v>
      </c>
      <c r="K55" s="7">
        <v>1</v>
      </c>
      <c r="L55" s="17">
        <v>0.02</v>
      </c>
      <c r="M55" s="3" t="s">
        <v>546</v>
      </c>
      <c r="N55" s="28" t="s">
        <v>547</v>
      </c>
      <c r="S55" s="3" t="s">
        <v>548</v>
      </c>
      <c r="T55" s="7" t="s">
        <v>294</v>
      </c>
      <c r="U55" s="7" t="s">
        <v>294</v>
      </c>
      <c r="V55" s="7" t="s">
        <v>294</v>
      </c>
      <c r="W55" s="7" t="s">
        <v>294</v>
      </c>
      <c r="X55" s="3" t="s">
        <v>549</v>
      </c>
    </row>
    <row r="56" spans="1:24" ht="16.5" customHeight="1">
      <c r="A56" s="7" t="str">
        <f>"58,16,13,51,4"</f>
        <v>58,16,13,51,4</v>
      </c>
      <c r="C56" s="26" t="s">
        <v>269</v>
      </c>
      <c r="D56" s="26" t="s">
        <v>336</v>
      </c>
      <c r="E56" s="26" t="s">
        <v>271</v>
      </c>
      <c r="F56" s="26" t="s">
        <v>366</v>
      </c>
      <c r="G56" s="26" t="s">
        <v>338</v>
      </c>
      <c r="H56" s="35" t="s">
        <v>550</v>
      </c>
      <c r="I56" s="7" t="s">
        <v>77</v>
      </c>
      <c r="J56" s="7">
        <v>4</v>
      </c>
      <c r="K56" s="7">
        <v>1</v>
      </c>
      <c r="L56" s="17">
        <v>1</v>
      </c>
      <c r="M56" s="3" t="s">
        <v>551</v>
      </c>
      <c r="N56" s="36"/>
      <c r="S56" s="3" t="s">
        <v>552</v>
      </c>
      <c r="T56" s="7" t="s">
        <v>493</v>
      </c>
      <c r="U56" s="7" t="s">
        <v>493</v>
      </c>
      <c r="V56" s="3" t="s">
        <v>494</v>
      </c>
      <c r="W56" s="7" t="s">
        <v>493</v>
      </c>
      <c r="X56" s="3" t="s">
        <v>553</v>
      </c>
    </row>
    <row r="57" spans="1:24" ht="16.5" customHeight="1">
      <c r="C57" s="26"/>
      <c r="D57" s="26"/>
      <c r="E57" s="26"/>
      <c r="F57" s="26"/>
      <c r="G57" s="26"/>
      <c r="H57" s="35"/>
      <c r="I57" s="7" t="s">
        <v>77</v>
      </c>
      <c r="J57" s="7">
        <v>2</v>
      </c>
      <c r="K57" s="7">
        <v>1</v>
      </c>
      <c r="L57" s="17">
        <v>2</v>
      </c>
      <c r="M57" s="3" t="s">
        <v>554</v>
      </c>
      <c r="N57" s="28" t="s">
        <v>555</v>
      </c>
      <c r="S57" s="3" t="s">
        <v>556</v>
      </c>
      <c r="T57" s="7" t="s">
        <v>294</v>
      </c>
      <c r="U57" s="7" t="s">
        <v>294</v>
      </c>
      <c r="V57" s="7" t="s">
        <v>294</v>
      </c>
      <c r="W57" s="7" t="s">
        <v>294</v>
      </c>
      <c r="X57" s="3" t="s">
        <v>512</v>
      </c>
    </row>
    <row r="58" spans="1:24" ht="14.25" hidden="1" customHeight="1">
      <c r="T58" s="7" t="s">
        <v>493</v>
      </c>
      <c r="U58" s="7" t="s">
        <v>493</v>
      </c>
    </row>
    <row r="59" spans="1:24" ht="16.5" hidden="1" customHeight="1">
      <c r="C59" s="34" t="s">
        <v>297</v>
      </c>
      <c r="D59" s="34" t="s">
        <v>270</v>
      </c>
      <c r="E59" s="34" t="s">
        <v>271</v>
      </c>
      <c r="F59" s="34" t="s">
        <v>272</v>
      </c>
      <c r="G59" s="34" t="s">
        <v>273</v>
      </c>
      <c r="H59" s="37" t="s">
        <v>557</v>
      </c>
      <c r="I59" s="37"/>
      <c r="J59" s="37"/>
      <c r="K59" s="37"/>
      <c r="L59" s="37"/>
      <c r="M59" s="37"/>
      <c r="N59" s="37"/>
      <c r="T59" s="7" t="s">
        <v>294</v>
      </c>
      <c r="U59" s="7" t="s">
        <v>294</v>
      </c>
    </row>
    <row r="60" spans="1:24" ht="16.5" hidden="1" customHeight="1">
      <c r="C60" s="34" t="s">
        <v>400</v>
      </c>
      <c r="D60" s="34" t="s">
        <v>336</v>
      </c>
      <c r="E60" s="34" t="s">
        <v>367</v>
      </c>
      <c r="F60" s="34" t="s">
        <v>414</v>
      </c>
      <c r="G60" s="34" t="s">
        <v>442</v>
      </c>
      <c r="H60" s="37" t="s">
        <v>558</v>
      </c>
      <c r="I60" s="37"/>
      <c r="J60" s="37"/>
      <c r="K60" s="37"/>
      <c r="L60" s="37"/>
      <c r="M60" s="37"/>
      <c r="N60" s="37"/>
      <c r="T60" s="7" t="s">
        <v>493</v>
      </c>
      <c r="U60" s="7" t="s">
        <v>493</v>
      </c>
    </row>
    <row r="61" spans="1:24" ht="16.5" hidden="1" customHeight="1">
      <c r="C61" s="34" t="s">
        <v>477</v>
      </c>
      <c r="D61" s="34" t="s">
        <v>270</v>
      </c>
      <c r="E61" s="34" t="s">
        <v>316</v>
      </c>
      <c r="F61" s="34" t="s">
        <v>443</v>
      </c>
      <c r="G61" s="34" t="s">
        <v>317</v>
      </c>
      <c r="H61" s="37" t="s">
        <v>559</v>
      </c>
      <c r="I61" s="37"/>
      <c r="J61" s="37"/>
      <c r="K61" s="37"/>
      <c r="L61" s="37"/>
      <c r="M61" s="37"/>
      <c r="N61" s="37"/>
      <c r="T61" s="7" t="s">
        <v>294</v>
      </c>
      <c r="U61" s="7" t="s">
        <v>294</v>
      </c>
    </row>
    <row r="62" spans="1:24" ht="16.5" hidden="1" customHeight="1">
      <c r="C62" s="34" t="s">
        <v>297</v>
      </c>
      <c r="D62" s="34" t="s">
        <v>270</v>
      </c>
      <c r="E62" s="34" t="s">
        <v>271</v>
      </c>
      <c r="F62" s="34" t="s">
        <v>273</v>
      </c>
      <c r="G62" s="34" t="s">
        <v>298</v>
      </c>
      <c r="H62" s="37" t="s">
        <v>560</v>
      </c>
      <c r="I62" s="37"/>
      <c r="J62" s="37"/>
      <c r="K62" s="37"/>
      <c r="L62" s="37"/>
      <c r="M62" s="37"/>
      <c r="N62" s="37"/>
      <c r="T62" s="7" t="s">
        <v>493</v>
      </c>
      <c r="U62" s="7" t="s">
        <v>493</v>
      </c>
    </row>
    <row r="63" spans="1:24" ht="16.5" hidden="1" customHeight="1">
      <c r="C63" s="34" t="s">
        <v>335</v>
      </c>
      <c r="D63" s="34" t="s">
        <v>336</v>
      </c>
      <c r="E63" s="34" t="s">
        <v>271</v>
      </c>
      <c r="F63" s="34" t="s">
        <v>337</v>
      </c>
      <c r="G63" s="34" t="s">
        <v>300</v>
      </c>
      <c r="H63" s="37" t="s">
        <v>561</v>
      </c>
      <c r="I63" s="37"/>
      <c r="J63" s="37"/>
      <c r="K63" s="37"/>
      <c r="L63" s="37"/>
      <c r="M63" s="37"/>
      <c r="N63" s="37"/>
      <c r="T63" s="7" t="s">
        <v>294</v>
      </c>
      <c r="U63" s="7" t="s">
        <v>294</v>
      </c>
    </row>
    <row r="64" spans="1:24" ht="16.5" hidden="1" customHeight="1">
      <c r="C64" s="34" t="s">
        <v>335</v>
      </c>
      <c r="D64" s="34" t="s">
        <v>336</v>
      </c>
      <c r="E64" s="34" t="s">
        <v>271</v>
      </c>
      <c r="F64" s="34" t="s">
        <v>274</v>
      </c>
      <c r="G64" s="34" t="s">
        <v>318</v>
      </c>
      <c r="H64" s="37" t="s">
        <v>562</v>
      </c>
      <c r="I64" s="37"/>
      <c r="J64" s="37"/>
      <c r="K64" s="37"/>
      <c r="L64" s="37"/>
      <c r="M64" s="37"/>
      <c r="N64" s="37"/>
      <c r="T64" s="7" t="s">
        <v>493</v>
      </c>
      <c r="U64" s="7" t="s">
        <v>493</v>
      </c>
    </row>
    <row r="65" spans="1:24" ht="16.5" hidden="1" customHeight="1">
      <c r="C65" s="34" t="s">
        <v>269</v>
      </c>
      <c r="D65" s="34" t="s">
        <v>270</v>
      </c>
      <c r="E65" s="34" t="s">
        <v>384</v>
      </c>
      <c r="F65" s="34" t="s">
        <v>536</v>
      </c>
      <c r="G65" s="34" t="s">
        <v>563</v>
      </c>
      <c r="H65" s="37" t="s">
        <v>564</v>
      </c>
      <c r="I65" s="37"/>
      <c r="J65" s="37"/>
      <c r="K65" s="37"/>
      <c r="L65" s="37"/>
      <c r="M65" s="37"/>
      <c r="N65" s="37"/>
      <c r="T65" s="7" t="s">
        <v>294</v>
      </c>
      <c r="U65" s="7" t="s">
        <v>294</v>
      </c>
    </row>
    <row r="66" spans="1:24" ht="16.5" hidden="1" customHeight="1">
      <c r="C66" s="34" t="s">
        <v>335</v>
      </c>
      <c r="D66" s="34" t="s">
        <v>270</v>
      </c>
      <c r="E66" s="34" t="s">
        <v>414</v>
      </c>
      <c r="F66" s="34" t="s">
        <v>273</v>
      </c>
      <c r="G66" s="34" t="s">
        <v>563</v>
      </c>
      <c r="H66" s="37" t="s">
        <v>565</v>
      </c>
      <c r="I66" s="37"/>
      <c r="J66" s="37"/>
      <c r="K66" s="37"/>
      <c r="L66" s="37"/>
      <c r="M66" s="37"/>
      <c r="N66" s="37"/>
      <c r="T66" s="7" t="s">
        <v>493</v>
      </c>
      <c r="U66" s="7" t="s">
        <v>493</v>
      </c>
    </row>
    <row r="67" spans="1:24" ht="16.5" hidden="1" customHeight="1">
      <c r="C67" s="34" t="s">
        <v>335</v>
      </c>
      <c r="D67" s="34" t="s">
        <v>336</v>
      </c>
      <c r="E67" s="34" t="s">
        <v>271</v>
      </c>
      <c r="F67" s="34" t="s">
        <v>337</v>
      </c>
      <c r="G67" s="34" t="s">
        <v>300</v>
      </c>
      <c r="H67" s="37" t="s">
        <v>566</v>
      </c>
      <c r="I67" s="37"/>
      <c r="J67" s="37"/>
      <c r="K67" s="37"/>
      <c r="L67" s="37"/>
      <c r="M67" s="37"/>
      <c r="N67" s="37"/>
      <c r="T67" s="7" t="s">
        <v>294</v>
      </c>
      <c r="U67" s="7" t="s">
        <v>294</v>
      </c>
    </row>
    <row r="68" spans="1:24" ht="14.25" customHeight="1">
      <c r="H68" s="7">
        <v>70</v>
      </c>
      <c r="T68" s="7" t="s">
        <v>493</v>
      </c>
    </row>
    <row r="69" spans="1:24" ht="16.5" customHeight="1">
      <c r="B69" s="33" t="s">
        <v>79</v>
      </c>
      <c r="C69" s="159" t="s">
        <v>489</v>
      </c>
      <c r="D69" s="157"/>
      <c r="E69" s="34"/>
      <c r="F69" s="34"/>
      <c r="T69" s="7" t="s">
        <v>294</v>
      </c>
    </row>
    <row r="70" spans="1:24" ht="16.5" customHeight="1">
      <c r="A70" s="7" t="str">
        <f>"16,13,4"</f>
        <v>16,13,4</v>
      </c>
      <c r="C70" s="26" t="s">
        <v>336</v>
      </c>
      <c r="D70" s="26" t="s">
        <v>271</v>
      </c>
      <c r="E70" s="26" t="s">
        <v>338</v>
      </c>
      <c r="F70" s="26"/>
      <c r="G70" s="2"/>
      <c r="H70" s="35" t="s">
        <v>567</v>
      </c>
      <c r="I70" s="7" t="s">
        <v>79</v>
      </c>
      <c r="J70" s="7">
        <v>2</v>
      </c>
      <c r="K70" s="7"/>
      <c r="L70" s="17">
        <v>1.55</v>
      </c>
      <c r="M70" s="3" t="s">
        <v>568</v>
      </c>
      <c r="N70" s="37"/>
      <c r="S70" s="3" t="s">
        <v>569</v>
      </c>
      <c r="T70" s="7" t="s">
        <v>493</v>
      </c>
      <c r="U70" s="7" t="s">
        <v>493</v>
      </c>
      <c r="V70" s="3" t="s">
        <v>570</v>
      </c>
      <c r="W70" s="7" t="s">
        <v>493</v>
      </c>
      <c r="X70" s="3" t="s">
        <v>512</v>
      </c>
    </row>
    <row r="71" spans="1:24" ht="16.5" customHeight="1">
      <c r="C71" s="26"/>
      <c r="D71" s="26"/>
      <c r="E71" s="26"/>
      <c r="F71" s="26"/>
      <c r="G71" s="2"/>
      <c r="H71" s="35"/>
      <c r="I71" s="7" t="s">
        <v>79</v>
      </c>
      <c r="J71" s="7">
        <v>1</v>
      </c>
      <c r="K71" s="7"/>
      <c r="L71" s="17">
        <v>3</v>
      </c>
      <c r="M71" s="3" t="s">
        <v>571</v>
      </c>
      <c r="N71" s="28" t="s">
        <v>497</v>
      </c>
      <c r="S71" s="3" t="s">
        <v>572</v>
      </c>
      <c r="T71" s="7" t="s">
        <v>294</v>
      </c>
      <c r="U71" s="7" t="s">
        <v>294</v>
      </c>
      <c r="V71" s="7" t="s">
        <v>294</v>
      </c>
      <c r="W71" s="7" t="s">
        <v>294</v>
      </c>
      <c r="X71" s="7" t="s">
        <v>294</v>
      </c>
    </row>
    <row r="72" spans="1:24" ht="16.5" customHeight="1">
      <c r="A72" s="7" t="str">
        <f>"16,13,2"</f>
        <v>16,13,2</v>
      </c>
      <c r="C72" s="26" t="s">
        <v>336</v>
      </c>
      <c r="D72" s="26" t="s">
        <v>271</v>
      </c>
      <c r="E72" s="26" t="s">
        <v>298</v>
      </c>
      <c r="F72" s="26"/>
      <c r="G72" s="2"/>
      <c r="H72" s="35" t="s">
        <v>573</v>
      </c>
      <c r="I72" s="7" t="s">
        <v>79</v>
      </c>
      <c r="J72" s="7">
        <v>2</v>
      </c>
      <c r="K72" s="7"/>
      <c r="L72" s="17">
        <v>1.55</v>
      </c>
      <c r="M72" s="3" t="s">
        <v>574</v>
      </c>
      <c r="N72" s="37"/>
      <c r="S72" s="3" t="s">
        <v>575</v>
      </c>
      <c r="T72" s="7" t="s">
        <v>493</v>
      </c>
      <c r="U72" s="7" t="s">
        <v>493</v>
      </c>
      <c r="V72" s="3" t="s">
        <v>576</v>
      </c>
      <c r="W72" s="7" t="s">
        <v>493</v>
      </c>
      <c r="X72" s="3" t="s">
        <v>577</v>
      </c>
    </row>
    <row r="73" spans="1:24" ht="16.5" customHeight="1">
      <c r="C73" s="26"/>
      <c r="D73" s="26"/>
      <c r="E73" s="26"/>
      <c r="F73" s="26"/>
      <c r="G73" s="2"/>
      <c r="H73" s="35"/>
      <c r="I73" s="7" t="s">
        <v>79</v>
      </c>
      <c r="J73" s="7">
        <v>5</v>
      </c>
      <c r="L73" s="17">
        <v>0.6</v>
      </c>
      <c r="M73" s="3" t="s">
        <v>578</v>
      </c>
      <c r="N73" s="28" t="s">
        <v>579</v>
      </c>
      <c r="S73" s="3" t="s">
        <v>580</v>
      </c>
      <c r="T73" s="7" t="s">
        <v>294</v>
      </c>
      <c r="U73" s="7" t="s">
        <v>294</v>
      </c>
      <c r="V73" s="7" t="s">
        <v>294</v>
      </c>
      <c r="W73" s="7" t="s">
        <v>294</v>
      </c>
      <c r="X73" s="7" t="s">
        <v>294</v>
      </c>
    </row>
    <row r="74" spans="1:24" ht="16.5" customHeight="1">
      <c r="A74" s="7" t="str">
        <f>"61,17,6"</f>
        <v>61,17,6</v>
      </c>
      <c r="C74" s="26" t="s">
        <v>477</v>
      </c>
      <c r="D74" s="26" t="s">
        <v>270</v>
      </c>
      <c r="E74" s="26" t="s">
        <v>273</v>
      </c>
      <c r="F74" s="26"/>
      <c r="G74" s="2"/>
      <c r="H74" s="35" t="s">
        <v>581</v>
      </c>
      <c r="I74" s="7" t="s">
        <v>79</v>
      </c>
      <c r="J74" s="7">
        <v>1</v>
      </c>
      <c r="K74" s="7"/>
      <c r="L74" s="17">
        <v>3</v>
      </c>
      <c r="M74" s="3" t="s">
        <v>582</v>
      </c>
      <c r="N74" s="37"/>
      <c r="S74" s="3" t="s">
        <v>583</v>
      </c>
      <c r="T74" s="7" t="s">
        <v>493</v>
      </c>
      <c r="U74" s="7" t="s">
        <v>493</v>
      </c>
      <c r="V74" s="3" t="s">
        <v>576</v>
      </c>
      <c r="W74" s="7" t="s">
        <v>493</v>
      </c>
      <c r="X74" s="3" t="s">
        <v>584</v>
      </c>
    </row>
    <row r="75" spans="1:24" ht="16.5" customHeight="1">
      <c r="C75" s="26"/>
      <c r="D75" s="26"/>
      <c r="E75" s="26"/>
      <c r="F75" s="26"/>
      <c r="G75" s="2"/>
      <c r="H75" s="35"/>
      <c r="I75" s="7" t="s">
        <v>79</v>
      </c>
      <c r="J75" s="7">
        <v>2</v>
      </c>
      <c r="K75" s="7"/>
      <c r="L75" s="17">
        <v>1.55</v>
      </c>
      <c r="M75" s="3" t="s">
        <v>585</v>
      </c>
      <c r="N75" s="28" t="s">
        <v>312</v>
      </c>
      <c r="S75" s="3" t="s">
        <v>586</v>
      </c>
      <c r="T75" s="7" t="s">
        <v>294</v>
      </c>
      <c r="U75" s="7" t="s">
        <v>294</v>
      </c>
      <c r="V75" s="7" t="s">
        <v>294</v>
      </c>
      <c r="W75" s="7" t="s">
        <v>294</v>
      </c>
      <c r="X75" s="7" t="s">
        <v>294</v>
      </c>
    </row>
    <row r="76" spans="1:24" ht="16.5" customHeight="1">
      <c r="A76" s="7" t="str">
        <f>"58,17,20,14,53"</f>
        <v>58,17,20,14,53</v>
      </c>
      <c r="C76" s="26" t="s">
        <v>269</v>
      </c>
      <c r="D76" s="26" t="s">
        <v>270</v>
      </c>
      <c r="E76" s="26" t="s">
        <v>384</v>
      </c>
      <c r="F76" s="26" t="s">
        <v>316</v>
      </c>
      <c r="G76" s="26" t="s">
        <v>300</v>
      </c>
      <c r="H76" s="35" t="s">
        <v>587</v>
      </c>
      <c r="I76" s="7" t="s">
        <v>79</v>
      </c>
      <c r="J76" s="7">
        <v>2</v>
      </c>
      <c r="K76" s="7">
        <v>1</v>
      </c>
      <c r="L76" s="17">
        <v>1.65</v>
      </c>
      <c r="M76" s="3" t="s">
        <v>588</v>
      </c>
      <c r="N76" s="37"/>
      <c r="S76" s="3" t="s">
        <v>589</v>
      </c>
      <c r="T76" s="7" t="s">
        <v>493</v>
      </c>
      <c r="U76" s="7" t="s">
        <v>493</v>
      </c>
      <c r="V76" s="3" t="s">
        <v>576</v>
      </c>
      <c r="W76" s="7" t="s">
        <v>493</v>
      </c>
      <c r="X76" s="3" t="s">
        <v>590</v>
      </c>
    </row>
    <row r="77" spans="1:24" ht="16.5" customHeight="1">
      <c r="C77" s="26"/>
      <c r="D77" s="26"/>
      <c r="E77" s="26"/>
      <c r="F77" s="26"/>
      <c r="G77" s="2"/>
      <c r="H77" s="35"/>
      <c r="I77" s="7" t="s">
        <v>79</v>
      </c>
      <c r="J77" s="7">
        <v>-2</v>
      </c>
      <c r="K77" s="7"/>
      <c r="L77" s="17">
        <v>1.55</v>
      </c>
      <c r="M77" s="3" t="s">
        <v>591</v>
      </c>
      <c r="N77" s="28" t="s">
        <v>312</v>
      </c>
      <c r="S77" s="3" t="s">
        <v>592</v>
      </c>
      <c r="T77" s="7" t="s">
        <v>294</v>
      </c>
      <c r="U77" s="7" t="s">
        <v>294</v>
      </c>
      <c r="V77" s="7" t="s">
        <v>294</v>
      </c>
      <c r="W77" s="7" t="s">
        <v>294</v>
      </c>
      <c r="X77" s="7" t="s">
        <v>294</v>
      </c>
    </row>
    <row r="78" spans="1:24" ht="16.5" customHeight="1">
      <c r="A78" s="7" t="str">
        <f>"59,16,15,9,11"</f>
        <v>59,16,15,9,11</v>
      </c>
      <c r="C78" s="26" t="s">
        <v>400</v>
      </c>
      <c r="D78" s="26" t="s">
        <v>336</v>
      </c>
      <c r="E78" s="26" t="s">
        <v>367</v>
      </c>
      <c r="F78" s="26" t="s">
        <v>442</v>
      </c>
      <c r="G78" s="26" t="s">
        <v>383</v>
      </c>
      <c r="H78" s="35" t="s">
        <v>593</v>
      </c>
      <c r="I78" s="7" t="s">
        <v>79</v>
      </c>
      <c r="J78" s="7">
        <v>-2</v>
      </c>
      <c r="K78" s="7">
        <v>1</v>
      </c>
      <c r="L78" s="17"/>
      <c r="M78" s="3" t="s">
        <v>594</v>
      </c>
      <c r="N78" s="37"/>
      <c r="S78" s="3" t="s">
        <v>595</v>
      </c>
      <c r="T78" s="7" t="s">
        <v>493</v>
      </c>
      <c r="U78" s="7" t="s">
        <v>493</v>
      </c>
      <c r="V78" s="3" t="s">
        <v>596</v>
      </c>
      <c r="W78" s="7" t="s">
        <v>493</v>
      </c>
      <c r="X78" s="3" t="s">
        <v>512</v>
      </c>
    </row>
    <row r="79" spans="1:24" ht="16.5" customHeight="1">
      <c r="C79" s="26"/>
      <c r="D79" s="26"/>
      <c r="E79" s="26"/>
      <c r="F79" s="26"/>
      <c r="G79" s="2"/>
      <c r="H79" s="35"/>
      <c r="I79" s="7" t="s">
        <v>79</v>
      </c>
      <c r="J79" s="7">
        <v>5</v>
      </c>
      <c r="K79" s="7"/>
      <c r="L79" s="17">
        <v>0.6</v>
      </c>
      <c r="M79" s="3" t="s">
        <v>597</v>
      </c>
      <c r="N79" s="28" t="s">
        <v>555</v>
      </c>
      <c r="S79" s="3" t="s">
        <v>598</v>
      </c>
      <c r="T79" s="7" t="s">
        <v>294</v>
      </c>
      <c r="U79" s="7" t="s">
        <v>294</v>
      </c>
      <c r="V79" s="7" t="s">
        <v>294</v>
      </c>
      <c r="W79" s="7" t="s">
        <v>294</v>
      </c>
      <c r="X79" s="7" t="s">
        <v>294</v>
      </c>
    </row>
    <row r="80" spans="1:24" ht="16.5" customHeight="1">
      <c r="A80" s="7" t="str">
        <f>"16,13,1"</f>
        <v>16,13,1</v>
      </c>
      <c r="C80" s="26" t="s">
        <v>336</v>
      </c>
      <c r="D80" s="26" t="s">
        <v>271</v>
      </c>
      <c r="E80" s="26" t="s">
        <v>337</v>
      </c>
      <c r="F80" s="26"/>
      <c r="G80" s="2"/>
      <c r="H80" s="35" t="s">
        <v>599</v>
      </c>
      <c r="I80" s="7" t="s">
        <v>79</v>
      </c>
      <c r="J80" s="7">
        <v>1</v>
      </c>
      <c r="K80" s="7"/>
      <c r="L80" s="17">
        <v>3</v>
      </c>
      <c r="M80" s="3" t="s">
        <v>600</v>
      </c>
      <c r="N80" s="37"/>
      <c r="S80" s="3" t="s">
        <v>601</v>
      </c>
      <c r="T80" s="7" t="s">
        <v>493</v>
      </c>
      <c r="U80" s="7" t="s">
        <v>493</v>
      </c>
      <c r="V80" s="3" t="s">
        <v>602</v>
      </c>
      <c r="W80" s="7" t="s">
        <v>493</v>
      </c>
      <c r="X80" s="3" t="s">
        <v>584</v>
      </c>
    </row>
    <row r="81" spans="1:24" ht="16.5" customHeight="1">
      <c r="C81" s="26"/>
      <c r="D81" s="26"/>
      <c r="E81" s="26"/>
      <c r="F81" s="26"/>
      <c r="G81" s="2"/>
      <c r="H81" s="35"/>
      <c r="I81" s="7" t="s">
        <v>79</v>
      </c>
      <c r="J81" s="7">
        <v>1</v>
      </c>
      <c r="K81" s="7"/>
      <c r="L81" s="17">
        <v>3</v>
      </c>
      <c r="M81" s="3" t="s">
        <v>603</v>
      </c>
      <c r="N81" s="28" t="s">
        <v>312</v>
      </c>
      <c r="S81" s="3" t="s">
        <v>604</v>
      </c>
      <c r="T81" s="7" t="s">
        <v>294</v>
      </c>
      <c r="U81" s="7" t="s">
        <v>294</v>
      </c>
      <c r="V81" s="7" t="s">
        <v>294</v>
      </c>
      <c r="W81" s="7" t="s">
        <v>294</v>
      </c>
      <c r="X81" s="7" t="s">
        <v>294</v>
      </c>
    </row>
    <row r="82" spans="1:24" ht="16.5" customHeight="1">
      <c r="A82" s="7" t="str">
        <f>"60,17,14,8"</f>
        <v>60,17,14,8</v>
      </c>
      <c r="C82" s="26" t="s">
        <v>605</v>
      </c>
      <c r="D82" s="26" t="s">
        <v>270</v>
      </c>
      <c r="E82" s="26" t="s">
        <v>316</v>
      </c>
      <c r="F82" s="26" t="s">
        <v>317</v>
      </c>
      <c r="G82" s="2"/>
      <c r="H82" s="35" t="s">
        <v>606</v>
      </c>
      <c r="I82" s="7" t="s">
        <v>79</v>
      </c>
      <c r="J82" s="7">
        <v>-2</v>
      </c>
      <c r="K82" s="7">
        <v>1</v>
      </c>
      <c r="L82" s="17">
        <v>1.65</v>
      </c>
      <c r="M82" s="3" t="s">
        <v>607</v>
      </c>
      <c r="N82" s="37"/>
      <c r="S82" s="3" t="s">
        <v>608</v>
      </c>
      <c r="T82" s="7" t="s">
        <v>493</v>
      </c>
      <c r="U82" s="7" t="s">
        <v>493</v>
      </c>
      <c r="V82" s="3" t="s">
        <v>609</v>
      </c>
      <c r="W82" s="7" t="s">
        <v>493</v>
      </c>
      <c r="X82" s="3" t="s">
        <v>512</v>
      </c>
    </row>
    <row r="83" spans="1:24" ht="16.5" customHeight="1">
      <c r="C83" s="26"/>
      <c r="D83" s="26"/>
      <c r="E83" s="26"/>
      <c r="F83" s="26"/>
      <c r="G83" s="2"/>
      <c r="H83" s="35"/>
      <c r="I83" s="7" t="s">
        <v>79</v>
      </c>
      <c r="J83" s="7">
        <v>-2</v>
      </c>
      <c r="K83" s="7"/>
      <c r="L83" s="17">
        <v>1.55</v>
      </c>
      <c r="M83" s="3" t="s">
        <v>610</v>
      </c>
      <c r="N83" s="28" t="s">
        <v>547</v>
      </c>
      <c r="S83" s="3" t="s">
        <v>611</v>
      </c>
      <c r="T83" s="7" t="s">
        <v>294</v>
      </c>
      <c r="U83" s="7" t="s">
        <v>294</v>
      </c>
      <c r="V83" s="7" t="s">
        <v>294</v>
      </c>
      <c r="W83" s="7" t="s">
        <v>294</v>
      </c>
      <c r="X83" s="7" t="s">
        <v>294</v>
      </c>
    </row>
    <row r="84" spans="1:24" ht="16.5" customHeight="1">
      <c r="A84" s="7" t="str">
        <f>"60,16,20"</f>
        <v>60,16,20</v>
      </c>
      <c r="C84" s="26" t="s">
        <v>605</v>
      </c>
      <c r="D84" s="26" t="s">
        <v>336</v>
      </c>
      <c r="E84" s="26" t="s">
        <v>384</v>
      </c>
      <c r="F84" s="26"/>
      <c r="G84" s="2"/>
      <c r="H84" s="35" t="s">
        <v>612</v>
      </c>
      <c r="I84" s="7" t="s">
        <v>79</v>
      </c>
      <c r="J84" s="7">
        <v>2</v>
      </c>
      <c r="K84" s="7">
        <v>1</v>
      </c>
      <c r="L84" s="17">
        <v>1.65</v>
      </c>
      <c r="M84" s="3" t="s">
        <v>613</v>
      </c>
      <c r="N84" s="37"/>
      <c r="S84" s="3" t="s">
        <v>614</v>
      </c>
      <c r="T84" s="7" t="s">
        <v>493</v>
      </c>
      <c r="U84" s="7" t="s">
        <v>493</v>
      </c>
      <c r="V84" s="3" t="s">
        <v>576</v>
      </c>
      <c r="W84" s="7" t="s">
        <v>493</v>
      </c>
      <c r="X84" s="3" t="s">
        <v>596</v>
      </c>
    </row>
    <row r="85" spans="1:24" ht="16.5" customHeight="1">
      <c r="C85" s="26"/>
      <c r="D85" s="26"/>
      <c r="E85" s="26"/>
      <c r="F85" s="26"/>
      <c r="G85" s="2"/>
      <c r="H85" s="35"/>
      <c r="I85" s="7" t="s">
        <v>79</v>
      </c>
      <c r="J85" s="7">
        <v>1</v>
      </c>
      <c r="K85" s="7">
        <v>1</v>
      </c>
      <c r="L85" s="17">
        <v>3.15</v>
      </c>
      <c r="M85" s="3" t="s">
        <v>615</v>
      </c>
      <c r="N85" s="28" t="s">
        <v>312</v>
      </c>
      <c r="S85" s="3" t="s">
        <v>616</v>
      </c>
      <c r="T85" s="7" t="s">
        <v>294</v>
      </c>
      <c r="U85" s="7" t="s">
        <v>294</v>
      </c>
      <c r="V85" s="7" t="s">
        <v>294</v>
      </c>
      <c r="W85" s="7" t="s">
        <v>294</v>
      </c>
      <c r="X85" s="7" t="s">
        <v>294</v>
      </c>
    </row>
    <row r="86" spans="1:24" ht="16.5" customHeight="1">
      <c r="A86" s="7" t="str">
        <f>"58,17,15,10"</f>
        <v>58,17,15,10</v>
      </c>
      <c r="C86" s="26" t="s">
        <v>269</v>
      </c>
      <c r="D86" s="26" t="s">
        <v>270</v>
      </c>
      <c r="E86" s="26" t="s">
        <v>367</v>
      </c>
      <c r="F86" s="26" t="s">
        <v>458</v>
      </c>
      <c r="G86" s="2"/>
      <c r="H86" s="35" t="s">
        <v>617</v>
      </c>
      <c r="I86" s="7" t="s">
        <v>79</v>
      </c>
      <c r="J86" s="7">
        <v>4</v>
      </c>
      <c r="K86" s="7">
        <v>1</v>
      </c>
      <c r="L86" s="17">
        <v>0.75</v>
      </c>
      <c r="M86" s="3" t="s">
        <v>618</v>
      </c>
      <c r="N86" s="37"/>
      <c r="S86" s="3" t="s">
        <v>619</v>
      </c>
      <c r="T86" s="7" t="s">
        <v>493</v>
      </c>
      <c r="U86" s="7" t="s">
        <v>493</v>
      </c>
      <c r="V86" s="3" t="s">
        <v>620</v>
      </c>
      <c r="W86" s="7" t="s">
        <v>493</v>
      </c>
      <c r="X86" s="3" t="s">
        <v>621</v>
      </c>
    </row>
    <row r="87" spans="1:24" ht="16.5" customHeight="1">
      <c r="C87" s="26"/>
      <c r="D87" s="26"/>
      <c r="E87" s="26"/>
      <c r="F87" s="26"/>
      <c r="G87" s="2"/>
      <c r="H87" s="35"/>
      <c r="I87" s="7" t="s">
        <v>79</v>
      </c>
      <c r="J87" s="7">
        <v>-2</v>
      </c>
      <c r="K87" s="7">
        <v>1</v>
      </c>
      <c r="L87" s="17">
        <v>1.55</v>
      </c>
      <c r="M87" s="3" t="s">
        <v>622</v>
      </c>
      <c r="N87" s="28" t="s">
        <v>497</v>
      </c>
      <c r="S87" s="3" t="s">
        <v>623</v>
      </c>
      <c r="T87" s="7" t="s">
        <v>294</v>
      </c>
      <c r="U87" s="7" t="s">
        <v>294</v>
      </c>
      <c r="V87" s="7" t="s">
        <v>294</v>
      </c>
      <c r="W87" s="7" t="s">
        <v>294</v>
      </c>
      <c r="X87" s="7" t="s">
        <v>294</v>
      </c>
    </row>
    <row r="88" spans="1:24" ht="16.5" customHeight="1">
      <c r="A88" s="7" t="str">
        <f>"16,2,1"</f>
        <v>16,2,1</v>
      </c>
      <c r="C88" s="26" t="s">
        <v>336</v>
      </c>
      <c r="D88" s="26" t="s">
        <v>298</v>
      </c>
      <c r="E88" s="26" t="s">
        <v>337</v>
      </c>
      <c r="F88" s="26"/>
      <c r="G88" s="2"/>
      <c r="H88" s="35" t="s">
        <v>624</v>
      </c>
      <c r="I88" s="7" t="s">
        <v>79</v>
      </c>
      <c r="J88" s="7">
        <v>3</v>
      </c>
      <c r="K88" s="7">
        <v>1</v>
      </c>
      <c r="L88" s="17">
        <v>1.05</v>
      </c>
      <c r="M88" s="3" t="s">
        <v>625</v>
      </c>
      <c r="N88" s="37"/>
      <c r="S88" s="3" t="s">
        <v>626</v>
      </c>
      <c r="T88" s="7" t="s">
        <v>493</v>
      </c>
      <c r="U88" s="7" t="s">
        <v>493</v>
      </c>
      <c r="V88" s="3" t="s">
        <v>627</v>
      </c>
      <c r="W88" s="7" t="s">
        <v>493</v>
      </c>
      <c r="X88" s="3" t="s">
        <v>628</v>
      </c>
    </row>
    <row r="89" spans="1:24" ht="16.5" customHeight="1">
      <c r="C89" s="26"/>
      <c r="D89" s="26"/>
      <c r="E89" s="26"/>
      <c r="F89" s="26"/>
      <c r="G89" s="2"/>
      <c r="H89" s="35"/>
      <c r="I89" s="7" t="s">
        <v>79</v>
      </c>
      <c r="J89" s="7">
        <v>-1</v>
      </c>
      <c r="K89" s="7"/>
      <c r="L89" s="17">
        <v>3</v>
      </c>
      <c r="M89" s="3" t="s">
        <v>629</v>
      </c>
      <c r="N89" s="28" t="s">
        <v>555</v>
      </c>
      <c r="S89" s="7" t="s">
        <v>630</v>
      </c>
      <c r="T89" s="7" t="s">
        <v>294</v>
      </c>
      <c r="U89" s="7" t="s">
        <v>294</v>
      </c>
      <c r="V89" s="7" t="s">
        <v>294</v>
      </c>
      <c r="W89" s="7" t="s">
        <v>294</v>
      </c>
      <c r="X89" s="7" t="s">
        <v>294</v>
      </c>
    </row>
    <row r="90" spans="1:24" ht="15" customHeight="1">
      <c r="I90" s="37"/>
      <c r="J90" s="37"/>
      <c r="K90" s="37"/>
      <c r="L90" s="37"/>
      <c r="M90" s="37"/>
      <c r="N90" s="37"/>
    </row>
    <row r="91" spans="1:24" ht="15" customHeight="1">
      <c r="N91" s="37"/>
    </row>
    <row r="92" spans="1:24" ht="15" customHeight="1">
      <c r="C92" s="3" t="s">
        <v>73</v>
      </c>
      <c r="D92" s="4" t="s">
        <v>74</v>
      </c>
      <c r="E92" s="2">
        <v>1</v>
      </c>
      <c r="F92" s="2">
        <v>2</v>
      </c>
      <c r="G92" s="2">
        <v>3</v>
      </c>
      <c r="H92" s="2">
        <v>4</v>
      </c>
      <c r="I92" s="35">
        <v>5</v>
      </c>
      <c r="J92" s="37"/>
      <c r="K92" s="37"/>
      <c r="L92" s="37"/>
      <c r="M92" s="37"/>
      <c r="N92" s="37"/>
    </row>
    <row r="93" spans="1:24" ht="15" customHeight="1">
      <c r="D93" s="2" t="s">
        <v>75</v>
      </c>
      <c r="E93" s="20">
        <v>4.8</v>
      </c>
      <c r="F93" s="20">
        <v>2.4</v>
      </c>
      <c r="G93" s="20">
        <v>1.6</v>
      </c>
      <c r="H93" s="20">
        <v>1.2</v>
      </c>
      <c r="I93" s="38">
        <v>1</v>
      </c>
      <c r="J93" s="37"/>
      <c r="K93" s="37"/>
      <c r="L93" s="37"/>
      <c r="M93" s="37"/>
      <c r="N93" s="37"/>
    </row>
    <row r="94" spans="1:24" ht="15" customHeight="1">
      <c r="D94" s="2" t="s">
        <v>77</v>
      </c>
      <c r="E94" s="20">
        <v>3.8</v>
      </c>
      <c r="F94" s="20">
        <v>1.9</v>
      </c>
      <c r="G94" s="20">
        <v>1.25</v>
      </c>
      <c r="H94" s="20">
        <v>0.95</v>
      </c>
      <c r="I94" s="38">
        <v>0.75</v>
      </c>
      <c r="J94" s="7"/>
      <c r="K94" s="7"/>
      <c r="N94" s="37"/>
    </row>
    <row r="95" spans="1:24" ht="15" customHeight="1">
      <c r="D95" s="2" t="s">
        <v>79</v>
      </c>
      <c r="E95" s="20">
        <v>3</v>
      </c>
      <c r="F95" s="20">
        <v>1.55</v>
      </c>
      <c r="G95" s="20">
        <v>1.05</v>
      </c>
      <c r="H95" s="20">
        <v>0.75</v>
      </c>
      <c r="I95" s="38">
        <v>0.6</v>
      </c>
      <c r="J95" s="7"/>
      <c r="K95" s="7"/>
      <c r="N95" s="37"/>
    </row>
    <row r="96" spans="1:24" ht="15" customHeight="1">
      <c r="I96" s="37"/>
      <c r="J96" s="37"/>
      <c r="K96" s="37"/>
      <c r="L96" s="37"/>
      <c r="M96" s="37"/>
      <c r="N96" s="37"/>
    </row>
    <row r="98" spans="1:35" ht="14.25" customHeight="1">
      <c r="C98" s="3" t="s">
        <v>91</v>
      </c>
      <c r="D98" s="4" t="s">
        <v>74</v>
      </c>
      <c r="E98" s="2">
        <v>1</v>
      </c>
      <c r="F98" s="2">
        <v>2</v>
      </c>
      <c r="G98" s="2">
        <v>3</v>
      </c>
      <c r="H98" s="2">
        <v>4</v>
      </c>
      <c r="I98" s="2"/>
    </row>
    <row r="99" spans="1:35" ht="14.25" customHeight="1">
      <c r="D99" s="2" t="s">
        <v>75</v>
      </c>
      <c r="E99" s="20">
        <v>5</v>
      </c>
      <c r="F99" s="20">
        <v>2.5</v>
      </c>
      <c r="G99" s="20">
        <v>1.7</v>
      </c>
      <c r="H99" s="20">
        <v>1.25</v>
      </c>
      <c r="I99" s="20">
        <v>1.1000000000000001</v>
      </c>
    </row>
    <row r="100" spans="1:35" ht="14.25" customHeight="1">
      <c r="D100" s="2" t="s">
        <v>77</v>
      </c>
      <c r="E100" s="20">
        <v>4</v>
      </c>
      <c r="F100" s="20">
        <v>2</v>
      </c>
      <c r="G100" s="20">
        <v>1.3</v>
      </c>
      <c r="H100" s="20">
        <v>1</v>
      </c>
      <c r="I100" s="20">
        <v>0.85</v>
      </c>
    </row>
    <row r="101" spans="1:35" ht="14.25" customHeight="1">
      <c r="D101" s="2" t="s">
        <v>79</v>
      </c>
      <c r="E101" s="20">
        <v>3.15</v>
      </c>
      <c r="F101" s="20">
        <v>1.65</v>
      </c>
      <c r="G101" s="20">
        <v>1.1000000000000001</v>
      </c>
      <c r="H101" s="20">
        <v>0.8</v>
      </c>
      <c r="I101" s="20">
        <v>0.65</v>
      </c>
    </row>
    <row r="107" spans="1:35" ht="14.25" customHeight="1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  <c r="AI107" s="39"/>
    </row>
    <row r="108" spans="1:35" ht="14.25" customHeight="1">
      <c r="B108" s="3" t="s">
        <v>631</v>
      </c>
      <c r="C108" s="3" t="s">
        <v>632</v>
      </c>
      <c r="D108" s="7" t="s">
        <v>79</v>
      </c>
    </row>
    <row r="109" spans="1:35" ht="14.25" customHeight="1">
      <c r="B109" s="3" t="s">
        <v>631</v>
      </c>
      <c r="C109" s="3" t="s">
        <v>633</v>
      </c>
      <c r="D109" s="7" t="s">
        <v>77</v>
      </c>
    </row>
    <row r="110" spans="1:35" ht="14.25" customHeight="1">
      <c r="B110" s="3" t="s">
        <v>631</v>
      </c>
      <c r="C110" s="3" t="s">
        <v>634</v>
      </c>
      <c r="D110" s="7" t="s">
        <v>77</v>
      </c>
    </row>
    <row r="111" spans="1:35" ht="14.25" customHeight="1">
      <c r="B111" s="3" t="s">
        <v>631</v>
      </c>
      <c r="C111" s="3" t="s">
        <v>635</v>
      </c>
      <c r="D111" s="7" t="s">
        <v>75</v>
      </c>
    </row>
    <row r="112" spans="1:35" ht="14.25" customHeight="1">
      <c r="B112" s="3" t="s">
        <v>636</v>
      </c>
      <c r="C112" s="3" t="s">
        <v>637</v>
      </c>
      <c r="D112" s="7" t="s">
        <v>79</v>
      </c>
    </row>
    <row r="113" spans="2:7" ht="14.25" customHeight="1">
      <c r="B113" s="3" t="s">
        <v>636</v>
      </c>
      <c r="C113" s="3" t="s">
        <v>638</v>
      </c>
      <c r="D113" s="7" t="s">
        <v>77</v>
      </c>
    </row>
    <row r="114" spans="2:7" ht="14.25" customHeight="1">
      <c r="B114" s="3" t="s">
        <v>636</v>
      </c>
      <c r="C114" s="3" t="s">
        <v>639</v>
      </c>
      <c r="D114" s="7" t="s">
        <v>77</v>
      </c>
    </row>
    <row r="115" spans="2:7" ht="14.25" customHeight="1">
      <c r="B115" s="3" t="s">
        <v>636</v>
      </c>
      <c r="C115" s="3" t="s">
        <v>640</v>
      </c>
      <c r="D115" s="7" t="s">
        <v>75</v>
      </c>
    </row>
    <row r="116" spans="2:7" ht="14.25" customHeight="1">
      <c r="B116" s="3" t="s">
        <v>641</v>
      </c>
      <c r="C116" s="3" t="s">
        <v>642</v>
      </c>
      <c r="D116" s="7" t="s">
        <v>79</v>
      </c>
    </row>
    <row r="117" spans="2:7" ht="14.25" customHeight="1">
      <c r="B117" s="3" t="s">
        <v>641</v>
      </c>
      <c r="C117" s="3" t="s">
        <v>643</v>
      </c>
      <c r="D117" s="7" t="s">
        <v>77</v>
      </c>
    </row>
    <row r="118" spans="2:7" ht="14.25" customHeight="1">
      <c r="B118" s="3" t="s">
        <v>641</v>
      </c>
      <c r="C118" s="3" t="s">
        <v>644</v>
      </c>
      <c r="D118" s="7" t="s">
        <v>77</v>
      </c>
    </row>
    <row r="119" spans="2:7" ht="14.25" customHeight="1">
      <c r="B119" s="3" t="s">
        <v>641</v>
      </c>
      <c r="C119" s="3" t="s">
        <v>645</v>
      </c>
      <c r="D119" s="7" t="s">
        <v>75</v>
      </c>
    </row>
    <row r="120" spans="2:7" ht="14.25" customHeight="1">
      <c r="C120" s="3" t="s">
        <v>646</v>
      </c>
      <c r="E120" s="3" t="s">
        <v>647</v>
      </c>
    </row>
    <row r="122" spans="2:7" ht="14.25" customHeight="1">
      <c r="B122" s="7" t="s">
        <v>79</v>
      </c>
      <c r="C122" s="7" t="s">
        <v>79</v>
      </c>
      <c r="D122" s="7" t="s">
        <v>79</v>
      </c>
      <c r="E122" s="7" t="s">
        <v>77</v>
      </c>
      <c r="F122" s="7" t="s">
        <v>77</v>
      </c>
      <c r="G122" s="7" t="s">
        <v>75</v>
      </c>
    </row>
    <row r="123" spans="2:7" ht="14.25" customHeight="1">
      <c r="C123" s="3" t="s">
        <v>648</v>
      </c>
      <c r="D123" s="3" t="s">
        <v>649</v>
      </c>
      <c r="E123" s="3" t="s">
        <v>650</v>
      </c>
      <c r="F123" s="3" t="s">
        <v>651</v>
      </c>
      <c r="G123" s="3" t="s">
        <v>652</v>
      </c>
    </row>
    <row r="124" spans="2:7" ht="14.25" customHeight="1">
      <c r="B124" s="3" t="s">
        <v>653</v>
      </c>
      <c r="C124" s="3" t="s">
        <v>654</v>
      </c>
      <c r="D124" s="3" t="s">
        <v>655</v>
      </c>
      <c r="E124" s="3" t="s">
        <v>656</v>
      </c>
      <c r="F124" s="3" t="s">
        <v>657</v>
      </c>
      <c r="G124" s="3" t="s">
        <v>658</v>
      </c>
    </row>
    <row r="125" spans="2:7" ht="14.25" customHeight="1">
      <c r="B125" s="3" t="s">
        <v>659</v>
      </c>
      <c r="C125" s="3" t="s">
        <v>660</v>
      </c>
      <c r="D125" s="3" t="s">
        <v>661</v>
      </c>
      <c r="E125" s="3" t="s">
        <v>662</v>
      </c>
      <c r="F125" s="3" t="s">
        <v>663</v>
      </c>
      <c r="G125" s="3" t="s">
        <v>664</v>
      </c>
    </row>
    <row r="126" spans="2:7" ht="14.25" customHeight="1">
      <c r="B126" s="3" t="s">
        <v>665</v>
      </c>
      <c r="C126" s="3" t="s">
        <v>666</v>
      </c>
      <c r="D126" s="3" t="s">
        <v>667</v>
      </c>
      <c r="E126" s="3" t="s">
        <v>668</v>
      </c>
      <c r="F126" s="3" t="s">
        <v>669</v>
      </c>
      <c r="G126" s="3" t="s">
        <v>670</v>
      </c>
    </row>
    <row r="127" spans="2:7" ht="14.25" customHeight="1">
      <c r="B127" s="3" t="s">
        <v>671</v>
      </c>
      <c r="C127" s="3" t="s">
        <v>672</v>
      </c>
      <c r="D127" s="3" t="s">
        <v>673</v>
      </c>
      <c r="E127" s="3" t="s">
        <v>674</v>
      </c>
      <c r="F127" s="3" t="s">
        <v>675</v>
      </c>
      <c r="G127" s="3" t="s">
        <v>676</v>
      </c>
    </row>
    <row r="128" spans="2:7" ht="14.25" customHeight="1">
      <c r="B128" s="3" t="s">
        <v>677</v>
      </c>
      <c r="C128" s="3" t="s">
        <v>678</v>
      </c>
      <c r="D128" s="3" t="s">
        <v>679</v>
      </c>
      <c r="E128" s="3" t="s">
        <v>680</v>
      </c>
      <c r="F128" s="3" t="s">
        <v>681</v>
      </c>
      <c r="G128" s="3" t="s">
        <v>682</v>
      </c>
    </row>
  </sheetData>
  <mergeCells count="2">
    <mergeCell ref="C39:D39"/>
    <mergeCell ref="C69:D69"/>
  </mergeCells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zoomScaleNormal="100" workbookViewId="0"/>
  </sheetViews>
  <sheetFormatPr defaultColWidth="12.5703125" defaultRowHeight="12.75"/>
  <sheetData/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7"/>
  <sheetViews>
    <sheetView zoomScaleNormal="100" workbookViewId="0"/>
  </sheetViews>
  <sheetFormatPr defaultColWidth="12.5703125" defaultRowHeight="12.75"/>
  <sheetData>
    <row r="1" spans="1:23" ht="14.25" customHeight="1">
      <c r="A1" s="2" t="s">
        <v>683</v>
      </c>
      <c r="B1" s="40" t="s">
        <v>684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689</v>
      </c>
      <c r="I1" s="40" t="s">
        <v>39</v>
      </c>
      <c r="J1" s="40" t="s">
        <v>690</v>
      </c>
      <c r="K1" s="40" t="s">
        <v>691</v>
      </c>
      <c r="L1" s="40" t="s">
        <v>692</v>
      </c>
      <c r="M1" s="40" t="s">
        <v>693</v>
      </c>
      <c r="N1" s="40" t="s">
        <v>694</v>
      </c>
      <c r="O1" s="40" t="s">
        <v>695</v>
      </c>
      <c r="P1" s="40" t="s">
        <v>696</v>
      </c>
      <c r="Q1" s="40" t="s">
        <v>697</v>
      </c>
      <c r="R1" s="40" t="s">
        <v>698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</row>
    <row r="2" spans="1:23" ht="14.25" customHeight="1">
      <c r="A2" s="2" t="s">
        <v>204</v>
      </c>
      <c r="B2" s="2">
        <v>99</v>
      </c>
      <c r="C2" s="2"/>
      <c r="D2" s="2"/>
      <c r="E2" s="6">
        <v>2</v>
      </c>
      <c r="F2" s="2"/>
      <c r="G2" s="2"/>
      <c r="H2" s="2"/>
      <c r="I2" s="2"/>
      <c r="J2" s="2"/>
      <c r="K2" s="2"/>
      <c r="L2" s="2"/>
      <c r="M2" s="2"/>
      <c r="N2" s="2"/>
      <c r="O2" s="42">
        <v>2E-3</v>
      </c>
      <c r="P2" s="2"/>
      <c r="Q2" s="2"/>
      <c r="R2" s="2"/>
      <c r="S2" s="42">
        <v>3.0000000000000001E-3</v>
      </c>
      <c r="T2" s="2"/>
      <c r="U2" s="2"/>
      <c r="V2" s="2"/>
      <c r="W2" s="2"/>
    </row>
    <row r="3" spans="1:23" ht="14.25" customHeight="1">
      <c r="A3" s="2" t="s">
        <v>207</v>
      </c>
      <c r="B3" s="2">
        <v>99</v>
      </c>
      <c r="C3" s="2">
        <v>20</v>
      </c>
      <c r="D3" s="2"/>
      <c r="E3" s="2"/>
      <c r="F3" s="2">
        <v>3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42">
        <v>5.0000000000000001E-3</v>
      </c>
      <c r="U3" s="2"/>
      <c r="V3" s="2"/>
      <c r="W3" s="2"/>
    </row>
    <row r="4" spans="1:23" ht="14.25" customHeight="1">
      <c r="A4" s="2" t="s">
        <v>209</v>
      </c>
      <c r="B4" s="2">
        <v>99</v>
      </c>
      <c r="C4" s="2"/>
      <c r="D4" s="2"/>
      <c r="E4" s="2"/>
      <c r="F4" s="2"/>
      <c r="G4" s="2"/>
      <c r="H4" s="42">
        <v>2E-3</v>
      </c>
      <c r="I4" s="2"/>
      <c r="J4" s="2"/>
      <c r="K4" s="2"/>
      <c r="L4" s="2"/>
      <c r="M4" s="2"/>
      <c r="N4" s="2"/>
      <c r="O4" s="42">
        <v>4.0000000000000001E-3</v>
      </c>
      <c r="P4" s="2"/>
      <c r="Q4" s="43">
        <v>5.0000000000000001E-4</v>
      </c>
      <c r="R4" s="2"/>
      <c r="S4" s="2"/>
      <c r="T4" s="2"/>
      <c r="U4" s="2"/>
      <c r="V4" s="2"/>
      <c r="W4" s="2"/>
    </row>
    <row r="5" spans="1:23" ht="14.25" customHeight="1">
      <c r="A5" s="2" t="s">
        <v>212</v>
      </c>
      <c r="B5" s="2">
        <v>99</v>
      </c>
      <c r="C5" s="2"/>
      <c r="D5" s="2">
        <v>2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43">
        <v>2.5000000000000001E-4</v>
      </c>
      <c r="R5" s="2"/>
      <c r="S5" s="2"/>
      <c r="T5" s="2"/>
      <c r="U5" s="2">
        <v>2</v>
      </c>
      <c r="V5" s="2"/>
      <c r="W5" s="2"/>
    </row>
    <row r="6" spans="1:23" ht="14.25" customHeight="1">
      <c r="A6" s="2" t="s">
        <v>216</v>
      </c>
      <c r="B6" s="2">
        <v>99</v>
      </c>
      <c r="C6" s="2"/>
      <c r="D6" s="2">
        <v>1</v>
      </c>
      <c r="E6" s="2"/>
      <c r="F6" s="2"/>
      <c r="G6" s="2"/>
      <c r="H6" s="42">
        <v>1E-3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42">
        <v>1E-4</v>
      </c>
      <c r="W6" s="2"/>
    </row>
    <row r="7" spans="1:23" ht="14.25" customHeight="1">
      <c r="A7" s="2" t="s">
        <v>219</v>
      </c>
      <c r="B7" s="2">
        <v>99</v>
      </c>
      <c r="C7" s="2"/>
      <c r="D7" s="2"/>
      <c r="E7" s="2">
        <v>1</v>
      </c>
      <c r="F7" s="2"/>
      <c r="G7" s="2">
        <v>3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44">
        <v>4.0000000000000001E-3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7"/>
  <sheetViews>
    <sheetView zoomScaleNormal="100" workbookViewId="0"/>
  </sheetViews>
  <sheetFormatPr defaultColWidth="12.5703125" defaultRowHeight="12.75"/>
  <sheetData>
    <row r="1" spans="1:8" ht="14.25" customHeight="1">
      <c r="A1" s="23" t="s">
        <v>704</v>
      </c>
      <c r="B1" s="23" t="s">
        <v>204</v>
      </c>
      <c r="C1" s="23" t="s">
        <v>207</v>
      </c>
      <c r="D1" s="23" t="s">
        <v>209</v>
      </c>
      <c r="E1" s="23" t="s">
        <v>212</v>
      </c>
      <c r="F1" s="23" t="s">
        <v>216</v>
      </c>
      <c r="G1" s="23" t="s">
        <v>219</v>
      </c>
      <c r="H1" s="23" t="s">
        <v>705</v>
      </c>
    </row>
    <row r="2" spans="1:8" ht="14.25" customHeight="1">
      <c r="A2" s="2" t="s">
        <v>706</v>
      </c>
      <c r="B2" s="2">
        <v>99</v>
      </c>
      <c r="C2" s="2"/>
      <c r="D2" s="2"/>
      <c r="E2" s="2"/>
      <c r="F2" s="2"/>
      <c r="G2" s="2"/>
      <c r="H2" s="2">
        <v>9900</v>
      </c>
    </row>
    <row r="3" spans="1:8" ht="14.25" customHeight="1">
      <c r="A3" s="2" t="s">
        <v>707</v>
      </c>
      <c r="B3" s="2"/>
      <c r="C3" s="2">
        <v>99</v>
      </c>
      <c r="D3" s="2"/>
      <c r="E3" s="2"/>
      <c r="F3" s="2"/>
      <c r="G3" s="2"/>
      <c r="H3" s="2">
        <f t="shared" ref="H3:H17" si="0">H2+1</f>
        <v>9901</v>
      </c>
    </row>
    <row r="4" spans="1:8" ht="14.25" customHeight="1">
      <c r="A4" s="2" t="s">
        <v>708</v>
      </c>
      <c r="B4" s="2"/>
      <c r="C4" s="2"/>
      <c r="D4" s="2">
        <v>99</v>
      </c>
      <c r="E4" s="2"/>
      <c r="F4" s="2"/>
      <c r="G4" s="2"/>
      <c r="H4" s="2">
        <f t="shared" si="0"/>
        <v>9902</v>
      </c>
    </row>
    <row r="5" spans="1:8" ht="14.25" customHeight="1">
      <c r="A5" s="2" t="s">
        <v>709</v>
      </c>
      <c r="B5" s="2"/>
      <c r="C5" s="2"/>
      <c r="D5" s="2"/>
      <c r="E5" s="2">
        <v>99</v>
      </c>
      <c r="F5" s="2"/>
      <c r="G5" s="2"/>
      <c r="H5" s="2">
        <f t="shared" si="0"/>
        <v>9903</v>
      </c>
    </row>
    <row r="6" spans="1:8" ht="14.25" customHeight="1">
      <c r="A6" s="2" t="s">
        <v>710</v>
      </c>
      <c r="B6" s="2"/>
      <c r="C6" s="2"/>
      <c r="D6" s="2"/>
      <c r="E6" s="2"/>
      <c r="F6" s="2">
        <v>99</v>
      </c>
      <c r="G6" s="2"/>
      <c r="H6" s="2">
        <f t="shared" si="0"/>
        <v>9904</v>
      </c>
    </row>
    <row r="7" spans="1:8" ht="14.25" customHeight="1">
      <c r="A7" s="2" t="s">
        <v>711</v>
      </c>
      <c r="B7" s="2"/>
      <c r="C7" s="2"/>
      <c r="D7" s="2"/>
      <c r="E7" s="2"/>
      <c r="F7" s="2"/>
      <c r="G7" s="2">
        <v>99</v>
      </c>
      <c r="H7" s="2">
        <f t="shared" si="0"/>
        <v>9905</v>
      </c>
    </row>
    <row r="8" spans="1:8" ht="14.25" customHeight="1">
      <c r="A8" s="2" t="s">
        <v>712</v>
      </c>
      <c r="B8" s="2">
        <v>20</v>
      </c>
      <c r="C8" s="2"/>
      <c r="D8" s="2"/>
      <c r="E8" s="2"/>
      <c r="F8" s="2"/>
      <c r="G8" s="2"/>
      <c r="H8" s="2">
        <f t="shared" si="0"/>
        <v>9906</v>
      </c>
    </row>
    <row r="9" spans="1:8" ht="14.25" customHeight="1">
      <c r="A9" s="2" t="s">
        <v>713</v>
      </c>
      <c r="B9" s="2"/>
      <c r="C9" s="2">
        <v>20</v>
      </c>
      <c r="D9" s="2"/>
      <c r="E9" s="2"/>
      <c r="F9" s="2"/>
      <c r="G9" s="2"/>
      <c r="H9" s="2">
        <f t="shared" si="0"/>
        <v>9907</v>
      </c>
    </row>
    <row r="10" spans="1:8" ht="14.25" customHeight="1">
      <c r="A10" s="2" t="s">
        <v>714</v>
      </c>
      <c r="B10" s="2"/>
      <c r="C10" s="2"/>
      <c r="D10" s="2">
        <v>20</v>
      </c>
      <c r="E10" s="2"/>
      <c r="F10" s="2"/>
      <c r="G10" s="2"/>
      <c r="H10" s="2">
        <f t="shared" si="0"/>
        <v>9908</v>
      </c>
    </row>
    <row r="11" spans="1:8" ht="14.25" customHeight="1">
      <c r="A11" s="2" t="s">
        <v>715</v>
      </c>
      <c r="B11" s="2"/>
      <c r="C11" s="2"/>
      <c r="D11" s="2"/>
      <c r="E11" s="2">
        <v>20</v>
      </c>
      <c r="F11" s="2"/>
      <c r="G11" s="2"/>
      <c r="H11" s="2">
        <f t="shared" si="0"/>
        <v>9909</v>
      </c>
    </row>
    <row r="12" spans="1:8" ht="14.25" customHeight="1">
      <c r="A12" s="2" t="s">
        <v>716</v>
      </c>
      <c r="B12" s="2"/>
      <c r="C12" s="2"/>
      <c r="D12" s="2"/>
      <c r="E12" s="2"/>
      <c r="F12" s="2">
        <v>20</v>
      </c>
      <c r="G12" s="2"/>
      <c r="H12" s="2">
        <f t="shared" si="0"/>
        <v>9910</v>
      </c>
    </row>
    <row r="13" spans="1:8" ht="14.25" customHeight="1">
      <c r="A13" s="2" t="s">
        <v>717</v>
      </c>
      <c r="B13" s="2"/>
      <c r="C13" s="2"/>
      <c r="D13" s="2"/>
      <c r="E13" s="2"/>
      <c r="F13" s="2"/>
      <c r="G13" s="2">
        <v>20</v>
      </c>
      <c r="H13" s="2">
        <f t="shared" si="0"/>
        <v>9911</v>
      </c>
    </row>
    <row r="14" spans="1:8" ht="14.25" customHeight="1">
      <c r="A14" s="2" t="s">
        <v>718</v>
      </c>
      <c r="B14" s="2">
        <v>69</v>
      </c>
      <c r="C14" s="2"/>
      <c r="D14" s="2"/>
      <c r="E14" s="2"/>
      <c r="F14" s="2"/>
      <c r="G14" s="2">
        <v>69</v>
      </c>
      <c r="H14" s="2">
        <f t="shared" si="0"/>
        <v>9912</v>
      </c>
    </row>
    <row r="15" spans="1:8" ht="14.25" customHeight="1">
      <c r="A15" s="2" t="s">
        <v>719</v>
      </c>
      <c r="B15" s="2"/>
      <c r="C15" s="2"/>
      <c r="D15" s="2"/>
      <c r="E15" s="2">
        <v>69</v>
      </c>
      <c r="F15" s="2">
        <v>69</v>
      </c>
      <c r="G15" s="2"/>
      <c r="H15" s="2">
        <f t="shared" si="0"/>
        <v>9913</v>
      </c>
    </row>
    <row r="16" spans="1:8" ht="14.25" customHeight="1">
      <c r="A16" s="2" t="s">
        <v>720</v>
      </c>
      <c r="B16" s="2"/>
      <c r="C16" s="2">
        <v>69</v>
      </c>
      <c r="D16" s="2"/>
      <c r="E16" s="2"/>
      <c r="F16" s="2"/>
      <c r="G16" s="2">
        <v>69</v>
      </c>
      <c r="H16" s="2">
        <f t="shared" si="0"/>
        <v>9914</v>
      </c>
    </row>
    <row r="17" spans="1:8" ht="14.25" customHeight="1">
      <c r="A17" s="2" t="s">
        <v>721</v>
      </c>
      <c r="B17" s="2"/>
      <c r="C17" s="2"/>
      <c r="D17" s="2">
        <v>99</v>
      </c>
      <c r="E17" s="2"/>
      <c r="F17" s="2">
        <v>49</v>
      </c>
      <c r="G17" s="2"/>
      <c r="H17" s="2">
        <f t="shared" si="0"/>
        <v>9915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O1171"/>
  <sheetViews>
    <sheetView zoomScaleNormal="100" workbookViewId="0">
      <pane ySplit="2" topLeftCell="A29" activePane="bottomLeft" state="frozen"/>
      <selection pane="bottomLeft" activeCell="B4" sqref="B4"/>
    </sheetView>
  </sheetViews>
  <sheetFormatPr defaultColWidth="12.5703125" defaultRowHeight="12.75"/>
  <cols>
    <col min="2" max="2" width="15.42578125" customWidth="1"/>
    <col min="3" max="3" width="11" customWidth="1"/>
    <col min="4" max="4" width="9.42578125" customWidth="1"/>
    <col min="5" max="5" width="11" customWidth="1"/>
    <col min="6" max="6" width="8.7109375" customWidth="1"/>
    <col min="7" max="7" width="11.140625" customWidth="1"/>
    <col min="8" max="8" width="11" customWidth="1"/>
    <col min="9" max="12" width="9" customWidth="1"/>
    <col min="13" max="13" width="11.140625" customWidth="1"/>
    <col min="14" max="14" width="7.42578125" customWidth="1"/>
    <col min="15" max="15" width="10" customWidth="1"/>
    <col min="16" max="16" width="13.28515625" customWidth="1"/>
    <col min="17" max="17" width="18.7109375" customWidth="1"/>
    <col min="18" max="18" width="17.28515625" customWidth="1"/>
    <col min="19" max="19" width="22.5703125" customWidth="1"/>
    <col min="20" max="20" width="12.42578125" customWidth="1"/>
    <col min="21" max="21" width="21.7109375" customWidth="1"/>
    <col min="30" max="30" width="41.28515625" customWidth="1"/>
  </cols>
  <sheetData>
    <row r="1" spans="1:30" ht="14.25" customHeight="1">
      <c r="C1" s="45"/>
      <c r="D1" s="45"/>
      <c r="E1" s="45"/>
      <c r="F1" s="45"/>
      <c r="G1" s="45"/>
      <c r="H1" s="45"/>
      <c r="I1" s="45"/>
      <c r="J1" s="45"/>
      <c r="K1" s="45"/>
      <c r="L1" s="45"/>
      <c r="N1" s="46"/>
      <c r="P1" s="47"/>
      <c r="Q1" s="47"/>
      <c r="R1" s="47"/>
      <c r="V1" s="45"/>
    </row>
    <row r="2" spans="1:30" ht="14.25" customHeight="1">
      <c r="A2" s="23" t="s">
        <v>722</v>
      </c>
      <c r="B2" s="5" t="s">
        <v>723</v>
      </c>
      <c r="C2" s="48" t="s">
        <v>724</v>
      </c>
      <c r="D2" s="48" t="s">
        <v>725</v>
      </c>
      <c r="E2" s="48" t="s">
        <v>726</v>
      </c>
      <c r="F2" s="48" t="s">
        <v>727</v>
      </c>
      <c r="G2" s="40" t="s">
        <v>728</v>
      </c>
      <c r="H2" s="40" t="s">
        <v>729</v>
      </c>
      <c r="I2" s="40" t="s">
        <v>691</v>
      </c>
      <c r="J2" s="40" t="s">
        <v>730</v>
      </c>
      <c r="K2" s="40" t="s">
        <v>731</v>
      </c>
      <c r="L2" s="40" t="s">
        <v>732</v>
      </c>
      <c r="M2" s="23" t="s">
        <v>733</v>
      </c>
      <c r="N2" s="49" t="s">
        <v>734</v>
      </c>
      <c r="O2" s="23" t="s">
        <v>735</v>
      </c>
      <c r="P2" s="50" t="s">
        <v>736</v>
      </c>
      <c r="Q2" s="50" t="s">
        <v>737</v>
      </c>
      <c r="R2" s="50" t="s">
        <v>738</v>
      </c>
      <c r="S2" s="50" t="s">
        <v>739</v>
      </c>
      <c r="T2" s="23" t="s">
        <v>740</v>
      </c>
      <c r="U2" s="50" t="s">
        <v>741</v>
      </c>
      <c r="V2" s="6" t="s">
        <v>742</v>
      </c>
      <c r="W2" s="23" t="s">
        <v>743</v>
      </c>
      <c r="X2" s="23" t="s">
        <v>744</v>
      </c>
      <c r="Y2" s="23" t="s">
        <v>745</v>
      </c>
      <c r="Z2" s="153" t="s">
        <v>746</v>
      </c>
      <c r="AA2" s="158"/>
      <c r="AB2" s="158"/>
      <c r="AC2" s="158"/>
      <c r="AD2" s="154"/>
    </row>
    <row r="3" spans="1:30" ht="14.25" customHeight="1">
      <c r="A3" s="2">
        <v>110000</v>
      </c>
      <c r="B3" s="4" t="s">
        <v>747</v>
      </c>
      <c r="C3" s="6">
        <v>1</v>
      </c>
      <c r="D3" s="6"/>
      <c r="E3" s="6"/>
      <c r="F3" s="6">
        <v>1</v>
      </c>
      <c r="G3" s="6"/>
      <c r="H3" s="6"/>
      <c r="I3" s="6"/>
      <c r="J3" s="6"/>
      <c r="K3" s="6"/>
      <c r="L3" s="6"/>
      <c r="M3" s="2"/>
      <c r="N3" s="51"/>
      <c r="O3" s="2"/>
      <c r="P3" s="52"/>
      <c r="Q3" s="52"/>
      <c r="R3" s="52"/>
      <c r="S3" s="2"/>
      <c r="T3" s="2"/>
      <c r="U3" s="2"/>
      <c r="V3" s="6"/>
      <c r="W3" s="2"/>
      <c r="X3" s="2"/>
      <c r="Y3" s="2"/>
      <c r="Z3" s="155" t="s">
        <v>748</v>
      </c>
      <c r="AA3" s="158"/>
      <c r="AB3" s="158"/>
      <c r="AC3" s="158"/>
      <c r="AD3" s="154"/>
    </row>
    <row r="4" spans="1:30" ht="14.25" customHeight="1">
      <c r="A4" s="2">
        <v>110001</v>
      </c>
      <c r="B4" s="4" t="s">
        <v>76</v>
      </c>
      <c r="C4" s="6">
        <v>1</v>
      </c>
      <c r="D4" s="6"/>
      <c r="E4" s="6"/>
      <c r="F4" s="6">
        <v>1</v>
      </c>
      <c r="G4" s="6">
        <v>1.9</v>
      </c>
      <c r="H4" s="6"/>
      <c r="I4" s="6"/>
      <c r="J4" s="6"/>
      <c r="K4" s="6"/>
      <c r="L4" s="6"/>
      <c r="M4" s="2" t="s">
        <v>749</v>
      </c>
      <c r="N4" s="51"/>
      <c r="O4" s="2"/>
      <c r="P4" s="52"/>
      <c r="Q4" s="52"/>
      <c r="R4" s="52"/>
      <c r="S4" s="2"/>
      <c r="T4" s="2"/>
      <c r="U4" s="2"/>
      <c r="V4" s="6"/>
      <c r="W4" s="2"/>
      <c r="X4" s="2"/>
      <c r="Y4" s="2" t="s">
        <v>750</v>
      </c>
      <c r="Z4" s="155" t="s">
        <v>751</v>
      </c>
      <c r="AA4" s="158"/>
      <c r="AB4" s="158"/>
      <c r="AC4" s="158"/>
      <c r="AD4" s="154"/>
    </row>
    <row r="5" spans="1:30" ht="14.25" customHeight="1">
      <c r="A5" s="2">
        <v>110002</v>
      </c>
      <c r="B5" s="4" t="s">
        <v>752</v>
      </c>
      <c r="C5" s="6">
        <v>2</v>
      </c>
      <c r="D5" s="6">
        <v>1</v>
      </c>
      <c r="E5" s="6"/>
      <c r="F5" s="6">
        <v>1</v>
      </c>
      <c r="G5" s="6">
        <v>0.9</v>
      </c>
      <c r="H5" s="6"/>
      <c r="I5" s="6"/>
      <c r="J5" s="6"/>
      <c r="K5" s="6"/>
      <c r="L5" s="6"/>
      <c r="M5" s="2" t="s">
        <v>749</v>
      </c>
      <c r="N5" s="51"/>
      <c r="O5" s="2"/>
      <c r="P5" s="52"/>
      <c r="Q5" s="52"/>
      <c r="R5" s="52"/>
      <c r="S5" s="2"/>
      <c r="T5" s="2"/>
      <c r="U5" s="2"/>
      <c r="V5" s="6"/>
      <c r="W5" s="2"/>
      <c r="X5" s="2"/>
      <c r="Y5" s="2" t="s">
        <v>750</v>
      </c>
      <c r="Z5" s="155" t="s">
        <v>753</v>
      </c>
      <c r="AA5" s="158"/>
      <c r="AB5" s="158"/>
      <c r="AC5" s="158"/>
      <c r="AD5" s="154"/>
    </row>
    <row r="6" spans="1:30" ht="15.75" customHeight="1">
      <c r="A6" s="2">
        <v>110003</v>
      </c>
      <c r="B6" s="4" t="s">
        <v>754</v>
      </c>
      <c r="C6" s="6">
        <v>3</v>
      </c>
      <c r="D6" s="6">
        <v>1</v>
      </c>
      <c r="E6" s="6"/>
      <c r="F6" s="6">
        <v>1</v>
      </c>
      <c r="G6" s="6">
        <v>0.8</v>
      </c>
      <c r="H6" s="6"/>
      <c r="I6" s="6"/>
      <c r="J6" s="6"/>
      <c r="K6" s="6"/>
      <c r="L6" s="6"/>
      <c r="M6" s="2" t="s">
        <v>749</v>
      </c>
      <c r="N6" s="51"/>
      <c r="O6" s="2"/>
      <c r="P6" s="52"/>
      <c r="Q6" s="52"/>
      <c r="R6" s="52"/>
      <c r="S6" s="2"/>
      <c r="T6" s="2"/>
      <c r="U6" s="2"/>
      <c r="V6" s="6"/>
      <c r="W6" s="53"/>
      <c r="X6" s="2"/>
      <c r="Y6" s="2" t="s">
        <v>750</v>
      </c>
      <c r="Z6" s="155" t="s">
        <v>755</v>
      </c>
      <c r="AA6" s="158"/>
      <c r="AB6" s="158"/>
      <c r="AC6" s="158"/>
      <c r="AD6" s="154"/>
    </row>
    <row r="7" spans="1:30" ht="15.75" customHeight="1">
      <c r="A7" s="2">
        <v>110004</v>
      </c>
      <c r="B7" s="4" t="s">
        <v>165</v>
      </c>
      <c r="C7" s="6">
        <v>3</v>
      </c>
      <c r="D7" s="6">
        <v>1</v>
      </c>
      <c r="E7" s="6"/>
      <c r="F7" s="6"/>
      <c r="G7" s="6">
        <v>1.7</v>
      </c>
      <c r="H7" s="6"/>
      <c r="I7" s="6"/>
      <c r="J7" s="6"/>
      <c r="K7" s="6"/>
      <c r="L7" s="6"/>
      <c r="M7" s="2" t="s">
        <v>749</v>
      </c>
      <c r="N7" s="51"/>
      <c r="O7" s="2"/>
      <c r="P7" s="52"/>
      <c r="Q7" s="52"/>
      <c r="R7" s="52"/>
      <c r="S7" s="2"/>
      <c r="T7" s="2"/>
      <c r="U7" s="2"/>
      <c r="V7" s="6"/>
      <c r="W7" s="53"/>
      <c r="X7" s="2"/>
      <c r="Y7" s="2" t="s">
        <v>750</v>
      </c>
      <c r="Z7" s="162" t="s">
        <v>166</v>
      </c>
      <c r="AA7" s="151"/>
      <c r="AB7" s="151"/>
      <c r="AC7" s="151"/>
      <c r="AD7" s="152"/>
    </row>
    <row r="8" spans="1:30" ht="15.75" customHeight="1">
      <c r="A8" s="2">
        <v>110011</v>
      </c>
      <c r="B8" s="4" t="s">
        <v>78</v>
      </c>
      <c r="C8" s="6">
        <v>1</v>
      </c>
      <c r="D8" s="6"/>
      <c r="E8" s="6"/>
      <c r="F8" s="6">
        <v>1</v>
      </c>
      <c r="G8" s="6"/>
      <c r="H8" s="6">
        <v>2.1</v>
      </c>
      <c r="I8" s="6"/>
      <c r="J8" s="6"/>
      <c r="K8" s="6"/>
      <c r="L8" s="6"/>
      <c r="M8" s="2" t="s">
        <v>756</v>
      </c>
      <c r="N8" s="51"/>
      <c r="O8" s="2"/>
      <c r="P8" s="52"/>
      <c r="Q8" s="52"/>
      <c r="R8" s="52"/>
      <c r="S8" s="2"/>
      <c r="T8" s="2"/>
      <c r="U8" s="2"/>
      <c r="V8" s="6"/>
      <c r="W8" s="53" t="s">
        <v>757</v>
      </c>
      <c r="X8" s="2"/>
      <c r="Y8" s="53" t="s">
        <v>758</v>
      </c>
      <c r="Z8" s="155" t="s">
        <v>759</v>
      </c>
      <c r="AA8" s="158"/>
      <c r="AB8" s="158"/>
      <c r="AC8" s="158"/>
      <c r="AD8" s="154"/>
    </row>
    <row r="9" spans="1:30" ht="15.75" customHeight="1">
      <c r="A9" s="2">
        <v>110012</v>
      </c>
      <c r="B9" s="4" t="s">
        <v>760</v>
      </c>
      <c r="C9" s="6">
        <v>2</v>
      </c>
      <c r="D9" s="6">
        <v>1</v>
      </c>
      <c r="E9" s="6"/>
      <c r="F9" s="6">
        <v>1</v>
      </c>
      <c r="G9" s="6"/>
      <c r="H9" s="6">
        <v>1.2</v>
      </c>
      <c r="I9" s="6"/>
      <c r="J9" s="6"/>
      <c r="K9" s="6"/>
      <c r="L9" s="6"/>
      <c r="M9" s="2" t="s">
        <v>756</v>
      </c>
      <c r="N9" s="51"/>
      <c r="O9" s="2"/>
      <c r="P9" s="52"/>
      <c r="Q9" s="52"/>
      <c r="R9" s="52"/>
      <c r="S9" s="2"/>
      <c r="T9" s="2"/>
      <c r="U9" s="2"/>
      <c r="V9" s="6"/>
      <c r="W9" s="53" t="s">
        <v>757</v>
      </c>
      <c r="X9" s="2"/>
      <c r="Y9" s="53" t="s">
        <v>758</v>
      </c>
      <c r="Z9" s="155" t="s">
        <v>761</v>
      </c>
      <c r="AA9" s="158"/>
      <c r="AB9" s="158"/>
      <c r="AC9" s="158"/>
      <c r="AD9" s="154"/>
    </row>
    <row r="10" spans="1:30" ht="15.75" customHeight="1">
      <c r="A10" s="2">
        <v>110013</v>
      </c>
      <c r="B10" s="4" t="s">
        <v>762</v>
      </c>
      <c r="C10" s="6">
        <v>3</v>
      </c>
      <c r="D10" s="6">
        <v>1</v>
      </c>
      <c r="E10" s="6"/>
      <c r="F10" s="6">
        <v>1</v>
      </c>
      <c r="G10" s="6"/>
      <c r="H10" s="6">
        <v>0.8</v>
      </c>
      <c r="I10" s="6"/>
      <c r="J10" s="6"/>
      <c r="K10" s="6"/>
      <c r="L10" s="6"/>
      <c r="M10" s="2" t="s">
        <v>756</v>
      </c>
      <c r="N10" s="51"/>
      <c r="O10" s="2"/>
      <c r="P10" s="52"/>
      <c r="Q10" s="52"/>
      <c r="R10" s="52"/>
      <c r="S10" s="2"/>
      <c r="T10" s="2"/>
      <c r="U10" s="2"/>
      <c r="V10" s="6"/>
      <c r="W10" s="53" t="s">
        <v>757</v>
      </c>
      <c r="X10" s="2"/>
      <c r="Y10" s="53" t="s">
        <v>758</v>
      </c>
      <c r="Z10" s="155" t="s">
        <v>763</v>
      </c>
      <c r="AA10" s="158"/>
      <c r="AB10" s="158"/>
      <c r="AC10" s="158"/>
      <c r="AD10" s="154"/>
    </row>
    <row r="11" spans="1:30" ht="14.25" customHeight="1">
      <c r="C11" s="45"/>
      <c r="D11" s="45"/>
      <c r="E11" s="45"/>
      <c r="F11" s="45"/>
      <c r="G11" s="45"/>
      <c r="H11" s="45"/>
      <c r="I11" s="45"/>
      <c r="J11" s="45"/>
      <c r="K11" s="45"/>
      <c r="L11" s="45"/>
      <c r="N11" s="46"/>
      <c r="P11" s="47"/>
      <c r="Q11" s="47"/>
      <c r="R11" s="47"/>
      <c r="V11" s="45"/>
    </row>
    <row r="12" spans="1:30" ht="14.25" customHeight="1">
      <c r="A12" s="23" t="s">
        <v>722</v>
      </c>
      <c r="B12" s="5" t="s">
        <v>723</v>
      </c>
      <c r="C12" s="48" t="s">
        <v>724</v>
      </c>
      <c r="D12" s="48" t="s">
        <v>725</v>
      </c>
      <c r="E12" s="48" t="s">
        <v>726</v>
      </c>
      <c r="F12" s="48" t="s">
        <v>727</v>
      </c>
      <c r="G12" s="40" t="s">
        <v>728</v>
      </c>
      <c r="H12" s="40" t="s">
        <v>729</v>
      </c>
      <c r="I12" s="40" t="s">
        <v>691</v>
      </c>
      <c r="J12" s="40" t="s">
        <v>730</v>
      </c>
      <c r="K12" s="40" t="s">
        <v>731</v>
      </c>
      <c r="L12" s="40" t="s">
        <v>732</v>
      </c>
      <c r="M12" s="23" t="s">
        <v>733</v>
      </c>
      <c r="N12" s="49" t="s">
        <v>734</v>
      </c>
      <c r="O12" s="23" t="s">
        <v>735</v>
      </c>
      <c r="P12" s="50" t="s">
        <v>736</v>
      </c>
      <c r="Q12" s="50" t="s">
        <v>737</v>
      </c>
      <c r="R12" s="50" t="s">
        <v>738</v>
      </c>
      <c r="S12" s="50" t="s">
        <v>739</v>
      </c>
      <c r="T12" s="23" t="s">
        <v>740</v>
      </c>
      <c r="U12" s="50" t="s">
        <v>741</v>
      </c>
      <c r="V12" s="6" t="s">
        <v>742</v>
      </c>
      <c r="W12" s="23" t="s">
        <v>743</v>
      </c>
      <c r="X12" s="23" t="s">
        <v>744</v>
      </c>
      <c r="Y12" s="23" t="s">
        <v>745</v>
      </c>
      <c r="Z12" s="153" t="s">
        <v>746</v>
      </c>
      <c r="AA12" s="158"/>
      <c r="AB12" s="158"/>
      <c r="AC12" s="158"/>
      <c r="AD12" s="154"/>
    </row>
    <row r="13" spans="1:30" ht="14.25" customHeight="1">
      <c r="A13" s="2">
        <v>210001</v>
      </c>
      <c r="B13" s="4" t="s">
        <v>276</v>
      </c>
      <c r="C13" s="6">
        <v>2</v>
      </c>
      <c r="D13" s="6"/>
      <c r="E13" s="2"/>
      <c r="F13" s="6">
        <v>1</v>
      </c>
      <c r="G13" s="6"/>
      <c r="H13" s="6">
        <v>2.4</v>
      </c>
      <c r="I13" s="6"/>
      <c r="J13" s="6"/>
      <c r="K13" s="6"/>
      <c r="L13" s="6"/>
      <c r="M13" s="2" t="s">
        <v>756</v>
      </c>
      <c r="N13" s="51">
        <v>96</v>
      </c>
      <c r="O13" s="2"/>
      <c r="P13" s="52"/>
      <c r="Q13" s="52"/>
      <c r="R13" s="52">
        <v>4001</v>
      </c>
      <c r="S13" s="52">
        <v>0.4</v>
      </c>
      <c r="T13" s="2"/>
      <c r="U13" s="2"/>
      <c r="V13" s="6"/>
      <c r="W13" s="2" t="s">
        <v>764</v>
      </c>
      <c r="X13" s="2" t="s">
        <v>765</v>
      </c>
      <c r="Y13" s="2"/>
      <c r="Z13" s="155" t="s">
        <v>279</v>
      </c>
      <c r="AA13" s="158"/>
      <c r="AB13" s="158"/>
      <c r="AC13" s="158"/>
      <c r="AD13" s="154"/>
    </row>
    <row r="14" spans="1:30" ht="15.75" customHeight="1">
      <c r="A14" s="2">
        <v>210002</v>
      </c>
      <c r="B14" s="4" t="s">
        <v>302</v>
      </c>
      <c r="C14" s="6">
        <v>2</v>
      </c>
      <c r="D14" s="6">
        <v>1</v>
      </c>
      <c r="E14" s="2"/>
      <c r="F14" s="6">
        <v>1</v>
      </c>
      <c r="G14" s="6"/>
      <c r="H14" s="6">
        <v>2.5</v>
      </c>
      <c r="I14" s="6"/>
      <c r="J14" s="6"/>
      <c r="K14" s="6"/>
      <c r="L14" s="6"/>
      <c r="M14" s="2" t="s">
        <v>756</v>
      </c>
      <c r="N14" s="51">
        <v>95</v>
      </c>
      <c r="O14" s="2"/>
      <c r="P14" s="52"/>
      <c r="Q14" s="52"/>
      <c r="R14" s="52">
        <v>4002</v>
      </c>
      <c r="S14" s="52">
        <v>0.4</v>
      </c>
      <c r="T14" s="2"/>
      <c r="U14" s="2"/>
      <c r="V14" s="6"/>
      <c r="W14" s="53" t="s">
        <v>757</v>
      </c>
      <c r="X14" s="53" t="s">
        <v>758</v>
      </c>
      <c r="Y14" s="2"/>
      <c r="Z14" s="155" t="s">
        <v>304</v>
      </c>
      <c r="AA14" s="158"/>
      <c r="AB14" s="158"/>
      <c r="AC14" s="158"/>
      <c r="AD14" s="154"/>
    </row>
    <row r="15" spans="1:30" ht="15.75" customHeight="1">
      <c r="A15" s="2">
        <v>210003</v>
      </c>
      <c r="B15" s="4" t="s">
        <v>320</v>
      </c>
      <c r="C15" s="6">
        <v>-2</v>
      </c>
      <c r="D15" s="6"/>
      <c r="E15" s="2"/>
      <c r="F15" s="6">
        <v>1</v>
      </c>
      <c r="G15" s="6"/>
      <c r="H15" s="6">
        <v>2.4</v>
      </c>
      <c r="I15" s="6"/>
      <c r="J15" s="6"/>
      <c r="K15" s="6"/>
      <c r="L15" s="6"/>
      <c r="M15" s="2" t="s">
        <v>766</v>
      </c>
      <c r="N15" s="51">
        <v>48</v>
      </c>
      <c r="O15" s="2"/>
      <c r="P15" s="52"/>
      <c r="Q15" s="52"/>
      <c r="R15" s="52"/>
      <c r="S15" s="2"/>
      <c r="T15" s="2"/>
      <c r="U15" s="2"/>
      <c r="V15" s="6"/>
      <c r="W15" s="53" t="s">
        <v>757</v>
      </c>
      <c r="X15" s="53" t="s">
        <v>758</v>
      </c>
      <c r="Y15" s="2"/>
      <c r="Z15" s="155" t="s">
        <v>323</v>
      </c>
      <c r="AA15" s="158"/>
      <c r="AB15" s="158"/>
      <c r="AC15" s="158"/>
      <c r="AD15" s="154"/>
    </row>
    <row r="16" spans="1:30" ht="14.25" customHeight="1">
      <c r="A16" s="2">
        <v>210004</v>
      </c>
      <c r="B16" s="4" t="s">
        <v>340</v>
      </c>
      <c r="C16" s="6">
        <v>4</v>
      </c>
      <c r="D16" s="6">
        <v>1</v>
      </c>
      <c r="E16" s="2"/>
      <c r="F16" s="6">
        <v>1</v>
      </c>
      <c r="G16" s="6">
        <v>1.25</v>
      </c>
      <c r="H16" s="6"/>
      <c r="I16" s="6"/>
      <c r="J16" s="6"/>
      <c r="K16" s="6"/>
      <c r="L16" s="6"/>
      <c r="M16" s="2" t="s">
        <v>749</v>
      </c>
      <c r="N16" s="51">
        <v>47</v>
      </c>
      <c r="O16" s="2"/>
      <c r="P16" s="52"/>
      <c r="Q16" s="52"/>
      <c r="R16" s="52">
        <v>2001</v>
      </c>
      <c r="S16" s="2"/>
      <c r="T16" s="2"/>
      <c r="U16" s="2"/>
      <c r="V16" s="6"/>
      <c r="W16" s="2"/>
      <c r="X16" s="2" t="s">
        <v>750</v>
      </c>
      <c r="Y16" s="2"/>
      <c r="Z16" s="155" t="s">
        <v>342</v>
      </c>
      <c r="AA16" s="158"/>
      <c r="AB16" s="158"/>
      <c r="AC16" s="158"/>
      <c r="AD16" s="154"/>
    </row>
    <row r="17" spans="1:30" ht="14.25" customHeight="1">
      <c r="A17" s="2">
        <v>210005</v>
      </c>
      <c r="B17" s="4" t="s">
        <v>353</v>
      </c>
      <c r="C17" s="6">
        <v>1</v>
      </c>
      <c r="D17" s="6">
        <v>1</v>
      </c>
      <c r="E17" s="2"/>
      <c r="F17" s="6">
        <v>1</v>
      </c>
      <c r="G17" s="6">
        <v>5</v>
      </c>
      <c r="H17" s="6"/>
      <c r="I17" s="6"/>
      <c r="J17" s="6"/>
      <c r="K17" s="6"/>
      <c r="L17" s="6"/>
      <c r="M17" s="2" t="s">
        <v>749</v>
      </c>
      <c r="N17" s="51">
        <v>49</v>
      </c>
      <c r="O17" s="2"/>
      <c r="P17" s="52">
        <v>1005</v>
      </c>
      <c r="Q17" s="52"/>
      <c r="S17" s="2"/>
      <c r="T17" s="2"/>
      <c r="U17" s="2"/>
      <c r="V17" s="6"/>
      <c r="W17" s="2"/>
      <c r="X17" s="2" t="s">
        <v>750</v>
      </c>
      <c r="Y17" s="2"/>
      <c r="Z17" s="155" t="s">
        <v>355</v>
      </c>
      <c r="AA17" s="158"/>
      <c r="AB17" s="158"/>
      <c r="AC17" s="158"/>
      <c r="AD17" s="154"/>
    </row>
    <row r="18" spans="1:30" ht="15.75" customHeight="1">
      <c r="A18" s="2">
        <v>210006</v>
      </c>
      <c r="B18" s="4" t="s">
        <v>369</v>
      </c>
      <c r="C18" s="6">
        <v>-2</v>
      </c>
      <c r="D18" s="6">
        <v>1</v>
      </c>
      <c r="E18" s="2"/>
      <c r="F18" s="6">
        <v>1</v>
      </c>
      <c r="G18" s="6"/>
      <c r="H18" s="6"/>
      <c r="I18" s="6"/>
      <c r="J18" s="6"/>
      <c r="K18" s="6"/>
      <c r="L18" s="6"/>
      <c r="M18" s="2"/>
      <c r="N18" s="51">
        <v>80</v>
      </c>
      <c r="O18" s="2"/>
      <c r="P18" s="52"/>
      <c r="Q18" s="52"/>
      <c r="R18" s="52">
        <v>1996</v>
      </c>
      <c r="S18" s="2"/>
      <c r="T18" s="2"/>
      <c r="U18" s="2"/>
      <c r="V18" s="6"/>
      <c r="W18" s="2"/>
      <c r="X18" s="53" t="s">
        <v>767</v>
      </c>
      <c r="Y18" s="2"/>
      <c r="Z18" s="155" t="s">
        <v>371</v>
      </c>
      <c r="AA18" s="158"/>
      <c r="AB18" s="158"/>
      <c r="AC18" s="158"/>
      <c r="AD18" s="154"/>
    </row>
    <row r="19" spans="1:30" ht="15.75" customHeight="1">
      <c r="A19" s="2">
        <v>210007</v>
      </c>
      <c r="B19" s="4" t="s">
        <v>386</v>
      </c>
      <c r="C19" s="6">
        <v>-2</v>
      </c>
      <c r="D19" s="6"/>
      <c r="E19" s="2"/>
      <c r="F19" s="6">
        <v>1</v>
      </c>
      <c r="H19" s="6">
        <v>2.5</v>
      </c>
      <c r="I19" s="6"/>
      <c r="J19" s="6"/>
      <c r="K19" s="6"/>
      <c r="L19" s="6"/>
      <c r="M19" s="2" t="s">
        <v>768</v>
      </c>
      <c r="N19" s="51">
        <v>48</v>
      </c>
      <c r="O19" s="2"/>
      <c r="P19" s="52"/>
      <c r="Q19" s="52"/>
      <c r="R19" s="52">
        <v>1999</v>
      </c>
      <c r="S19" s="2"/>
      <c r="T19" s="2"/>
      <c r="U19" s="2"/>
      <c r="V19" s="6"/>
      <c r="W19" s="2"/>
      <c r="X19" s="53" t="s">
        <v>769</v>
      </c>
      <c r="Y19" s="2"/>
      <c r="Z19" s="155" t="s">
        <v>388</v>
      </c>
      <c r="AA19" s="158"/>
      <c r="AB19" s="158"/>
      <c r="AC19" s="158"/>
      <c r="AD19" s="154"/>
    </row>
    <row r="20" spans="1:30" ht="15.75" customHeight="1">
      <c r="A20" s="2">
        <v>210008</v>
      </c>
      <c r="B20" s="54" t="s">
        <v>402</v>
      </c>
      <c r="C20" s="6">
        <v>1</v>
      </c>
      <c r="D20" s="55"/>
      <c r="E20" s="2"/>
      <c r="F20" s="6">
        <v>1</v>
      </c>
      <c r="G20" s="55"/>
      <c r="H20" s="55">
        <v>4.8</v>
      </c>
      <c r="I20" s="6"/>
      <c r="J20" s="6"/>
      <c r="K20" s="6"/>
      <c r="L20" s="6"/>
      <c r="M20" s="2" t="s">
        <v>756</v>
      </c>
      <c r="N20" s="51">
        <v>96</v>
      </c>
      <c r="O20" s="54"/>
      <c r="P20" s="56"/>
      <c r="Q20" s="56"/>
      <c r="R20" s="56">
        <v>4001</v>
      </c>
      <c r="S20" s="54">
        <v>0.5</v>
      </c>
      <c r="T20" s="54"/>
      <c r="U20" s="54"/>
      <c r="V20" s="55"/>
      <c r="W20" s="53" t="s">
        <v>757</v>
      </c>
      <c r="X20" s="53" t="s">
        <v>758</v>
      </c>
      <c r="Y20" s="53"/>
      <c r="Z20" s="155" t="s">
        <v>404</v>
      </c>
      <c r="AA20" s="158"/>
      <c r="AB20" s="158"/>
      <c r="AC20" s="158"/>
      <c r="AD20" s="154"/>
    </row>
    <row r="21" spans="1:30" ht="15.75" customHeight="1">
      <c r="A21" s="2">
        <v>210009</v>
      </c>
      <c r="B21" s="54" t="s">
        <v>416</v>
      </c>
      <c r="C21" s="6">
        <v>1</v>
      </c>
      <c r="D21" s="55"/>
      <c r="E21" s="2"/>
      <c r="F21" s="6">
        <v>1</v>
      </c>
      <c r="G21" s="55">
        <v>4.8</v>
      </c>
      <c r="H21" s="55"/>
      <c r="I21" s="6"/>
      <c r="J21" s="6"/>
      <c r="K21" s="6"/>
      <c r="L21" s="6"/>
      <c r="M21" s="2" t="s">
        <v>749</v>
      </c>
      <c r="N21" s="51">
        <v>96</v>
      </c>
      <c r="O21" s="54"/>
      <c r="P21" s="56">
        <v>1005</v>
      </c>
      <c r="Q21" s="56"/>
      <c r="R21" s="56"/>
      <c r="S21" s="54"/>
      <c r="T21" s="54"/>
      <c r="U21" s="54"/>
      <c r="V21" s="55"/>
      <c r="W21" s="53" t="s">
        <v>757</v>
      </c>
      <c r="X21" s="53" t="s">
        <v>758</v>
      </c>
      <c r="Y21" s="53"/>
      <c r="Z21" s="155" t="s">
        <v>770</v>
      </c>
      <c r="AA21" s="158"/>
      <c r="AB21" s="158"/>
      <c r="AC21" s="158"/>
      <c r="AD21" s="154"/>
    </row>
    <row r="22" spans="1:30" ht="15.75" customHeight="1">
      <c r="A22" s="2">
        <v>210010</v>
      </c>
      <c r="B22" s="54" t="s">
        <v>430</v>
      </c>
      <c r="C22" s="55">
        <v>1</v>
      </c>
      <c r="D22" s="55"/>
      <c r="E22" s="2"/>
      <c r="F22" s="6">
        <v>1</v>
      </c>
      <c r="G22" s="55">
        <v>4.8</v>
      </c>
      <c r="H22" s="55"/>
      <c r="I22" s="6"/>
      <c r="J22" s="6"/>
      <c r="K22" s="6"/>
      <c r="L22" s="6"/>
      <c r="M22" s="2" t="s">
        <v>749</v>
      </c>
      <c r="N22" s="51">
        <v>48</v>
      </c>
      <c r="O22" s="54"/>
      <c r="P22" s="56"/>
      <c r="Q22" s="56"/>
      <c r="R22" s="56">
        <v>4003</v>
      </c>
      <c r="S22" s="54">
        <v>0.4</v>
      </c>
      <c r="T22" s="54"/>
      <c r="U22" s="54"/>
      <c r="V22" s="6"/>
      <c r="W22" s="53"/>
      <c r="X22" s="2" t="s">
        <v>750</v>
      </c>
      <c r="Y22" s="53"/>
      <c r="Z22" s="155" t="s">
        <v>771</v>
      </c>
      <c r="AA22" s="158"/>
      <c r="AB22" s="158"/>
      <c r="AC22" s="158"/>
      <c r="AD22" s="154"/>
    </row>
    <row r="23" spans="1:30" ht="15.75" customHeight="1">
      <c r="A23" s="2">
        <v>210011</v>
      </c>
      <c r="B23" s="54" t="s">
        <v>445</v>
      </c>
      <c r="C23" s="55">
        <v>-2</v>
      </c>
      <c r="D23" s="55"/>
      <c r="E23" s="2"/>
      <c r="F23" s="6">
        <v>1</v>
      </c>
      <c r="G23" s="55">
        <v>2.4</v>
      </c>
      <c r="H23" s="55"/>
      <c r="I23" s="6"/>
      <c r="J23" s="6"/>
      <c r="K23" s="6"/>
      <c r="L23" s="6"/>
      <c r="M23" s="2" t="s">
        <v>749</v>
      </c>
      <c r="N23" s="51">
        <v>48</v>
      </c>
      <c r="O23" s="54"/>
      <c r="P23" s="56"/>
      <c r="Q23" s="56"/>
      <c r="R23" s="56">
        <v>1999</v>
      </c>
      <c r="S23" s="54"/>
      <c r="T23" s="54"/>
      <c r="U23" s="54"/>
      <c r="V23" s="6"/>
      <c r="W23" s="53"/>
      <c r="X23" s="53" t="s">
        <v>767</v>
      </c>
      <c r="Y23" s="53"/>
      <c r="Z23" s="155" t="s">
        <v>772</v>
      </c>
      <c r="AA23" s="158"/>
      <c r="AB23" s="158"/>
      <c r="AC23" s="158"/>
      <c r="AD23" s="154"/>
    </row>
    <row r="24" spans="1:30" ht="15.75" customHeight="1">
      <c r="A24" s="2">
        <v>210012</v>
      </c>
      <c r="B24" s="54" t="s">
        <v>460</v>
      </c>
      <c r="C24" s="55">
        <v>-2</v>
      </c>
      <c r="D24" s="55">
        <v>1</v>
      </c>
      <c r="E24" s="2"/>
      <c r="F24" s="6">
        <v>1</v>
      </c>
      <c r="G24" s="55"/>
      <c r="H24" s="55">
        <v>2.5</v>
      </c>
      <c r="I24" s="6"/>
      <c r="J24" s="6"/>
      <c r="K24" s="6"/>
      <c r="L24" s="6"/>
      <c r="M24" s="2" t="s">
        <v>756</v>
      </c>
      <c r="N24" s="51">
        <v>99</v>
      </c>
      <c r="O24" s="54"/>
      <c r="P24" s="56"/>
      <c r="Q24" s="56"/>
      <c r="R24" s="56">
        <v>3004</v>
      </c>
      <c r="S24" s="54"/>
      <c r="T24" s="54"/>
      <c r="U24" s="54"/>
      <c r="V24" s="6"/>
      <c r="W24" s="53"/>
      <c r="X24" s="2" t="s">
        <v>766</v>
      </c>
      <c r="Y24" s="53"/>
      <c r="Z24" s="155" t="s">
        <v>462</v>
      </c>
      <c r="AA24" s="158"/>
      <c r="AB24" s="158"/>
      <c r="AC24" s="158"/>
      <c r="AD24" s="154"/>
    </row>
    <row r="25" spans="1:30" ht="15.75" customHeight="1">
      <c r="A25" s="2">
        <v>210013</v>
      </c>
      <c r="B25" s="54" t="s">
        <v>491</v>
      </c>
      <c r="C25" s="55">
        <v>2</v>
      </c>
      <c r="D25" s="55"/>
      <c r="E25" s="2"/>
      <c r="F25" s="6">
        <v>1</v>
      </c>
      <c r="G25" s="55">
        <v>1.9</v>
      </c>
      <c r="H25" s="55"/>
      <c r="I25" s="6"/>
      <c r="J25" s="6"/>
      <c r="K25" s="6"/>
      <c r="L25" s="6"/>
      <c r="M25" s="2" t="s">
        <v>749</v>
      </c>
      <c r="N25" s="51">
        <v>38</v>
      </c>
      <c r="O25" s="54"/>
      <c r="P25" s="56">
        <v>3003</v>
      </c>
      <c r="Q25" s="56"/>
      <c r="R25" s="56"/>
      <c r="S25" s="54"/>
      <c r="T25" s="54"/>
      <c r="U25" s="54"/>
      <c r="V25" s="6"/>
      <c r="W25" s="53"/>
      <c r="X25" s="2" t="s">
        <v>773</v>
      </c>
      <c r="Y25" s="53"/>
      <c r="Z25" s="155" t="s">
        <v>492</v>
      </c>
      <c r="AA25" s="158"/>
      <c r="AB25" s="158"/>
      <c r="AC25" s="158"/>
      <c r="AD25" s="154"/>
    </row>
    <row r="26" spans="1:30" ht="15.75" customHeight="1">
      <c r="A26" s="2">
        <v>210014</v>
      </c>
      <c r="B26" s="54" t="s">
        <v>501</v>
      </c>
      <c r="C26" s="55">
        <v>3</v>
      </c>
      <c r="D26" s="55"/>
      <c r="E26" s="2"/>
      <c r="F26" s="6">
        <v>1</v>
      </c>
      <c r="G26" s="55">
        <v>1.25</v>
      </c>
      <c r="H26" s="55"/>
      <c r="I26" s="6"/>
      <c r="J26" s="6"/>
      <c r="K26" s="6"/>
      <c r="L26" s="6"/>
      <c r="M26" s="2" t="s">
        <v>749</v>
      </c>
      <c r="N26" s="51">
        <v>38</v>
      </c>
      <c r="O26" s="54"/>
      <c r="P26" s="56">
        <v>1001</v>
      </c>
      <c r="Q26" s="56"/>
      <c r="R26" s="56"/>
      <c r="S26" s="54"/>
      <c r="T26" s="54"/>
      <c r="U26" s="54"/>
      <c r="V26" s="6"/>
      <c r="W26" s="53"/>
      <c r="X26" s="2" t="s">
        <v>773</v>
      </c>
      <c r="Y26" s="53"/>
      <c r="Z26" s="155" t="s">
        <v>774</v>
      </c>
      <c r="AA26" s="158"/>
      <c r="AB26" s="158"/>
      <c r="AC26" s="158"/>
      <c r="AD26" s="154"/>
    </row>
    <row r="27" spans="1:30" ht="15.75" customHeight="1">
      <c r="A27" s="2">
        <v>210015</v>
      </c>
      <c r="B27" s="54" t="s">
        <v>509</v>
      </c>
      <c r="C27" s="55">
        <v>-2</v>
      </c>
      <c r="D27" s="55"/>
      <c r="E27" s="2"/>
      <c r="F27" s="6">
        <v>1</v>
      </c>
      <c r="G27" s="55"/>
      <c r="H27" s="55">
        <v>1.9</v>
      </c>
      <c r="I27" s="6"/>
      <c r="J27" s="6"/>
      <c r="K27" s="6"/>
      <c r="L27" s="6"/>
      <c r="M27" s="2" t="s">
        <v>766</v>
      </c>
      <c r="N27" s="51">
        <v>76</v>
      </c>
      <c r="O27" s="54"/>
      <c r="P27" s="56"/>
      <c r="Q27" s="56"/>
      <c r="R27" s="56">
        <v>1999</v>
      </c>
      <c r="S27" s="54"/>
      <c r="T27" s="54"/>
      <c r="U27" s="54"/>
      <c r="V27" s="6"/>
      <c r="W27" s="53"/>
      <c r="X27" s="2" t="s">
        <v>766</v>
      </c>
      <c r="Y27" s="53"/>
      <c r="Z27" s="155" t="s">
        <v>775</v>
      </c>
      <c r="AA27" s="158"/>
      <c r="AB27" s="158"/>
      <c r="AC27" s="158"/>
      <c r="AD27" s="154"/>
    </row>
    <row r="28" spans="1:30" ht="15.75" customHeight="1">
      <c r="A28" s="2">
        <f t="shared" ref="A28:A43" si="0">A27+1</f>
        <v>210016</v>
      </c>
      <c r="B28" s="54" t="s">
        <v>516</v>
      </c>
      <c r="C28" s="55">
        <v>3</v>
      </c>
      <c r="D28" s="55">
        <v>1</v>
      </c>
      <c r="E28" s="2"/>
      <c r="F28" s="6">
        <v>1</v>
      </c>
      <c r="G28" s="55"/>
      <c r="H28" s="55">
        <v>1.3</v>
      </c>
      <c r="I28" s="6"/>
      <c r="J28" s="6"/>
      <c r="K28" s="6"/>
      <c r="L28" s="6"/>
      <c r="M28" s="2" t="s">
        <v>756</v>
      </c>
      <c r="N28" s="51">
        <v>78</v>
      </c>
      <c r="O28" s="54"/>
      <c r="P28" s="56"/>
      <c r="Q28" s="56"/>
      <c r="R28" s="56"/>
      <c r="S28" s="54"/>
      <c r="T28" s="54"/>
      <c r="U28" s="54"/>
      <c r="V28" s="6"/>
      <c r="W28" s="53"/>
      <c r="X28" s="53" t="s">
        <v>758</v>
      </c>
      <c r="Y28" s="53"/>
      <c r="Z28" s="155" t="s">
        <v>517</v>
      </c>
      <c r="AA28" s="158"/>
      <c r="AB28" s="158"/>
      <c r="AC28" s="158"/>
      <c r="AD28" s="154"/>
    </row>
    <row r="29" spans="1:30" ht="15.75" customHeight="1">
      <c r="A29" s="2">
        <f t="shared" si="0"/>
        <v>210017</v>
      </c>
      <c r="B29" s="54" t="s">
        <v>524</v>
      </c>
      <c r="C29" s="55">
        <v>-1</v>
      </c>
      <c r="D29" s="55">
        <v>1</v>
      </c>
      <c r="E29" s="2"/>
      <c r="F29" s="6">
        <v>1</v>
      </c>
      <c r="G29" s="55"/>
      <c r="H29" s="55">
        <v>3.8</v>
      </c>
      <c r="I29" s="6"/>
      <c r="J29" s="6"/>
      <c r="K29" s="6"/>
      <c r="L29" s="6"/>
      <c r="M29" s="2" t="s">
        <v>766</v>
      </c>
      <c r="N29" s="51">
        <v>38</v>
      </c>
      <c r="O29" s="54"/>
      <c r="P29" s="56"/>
      <c r="Q29" s="56"/>
      <c r="R29" s="56">
        <v>1002</v>
      </c>
      <c r="S29" s="54"/>
      <c r="T29" s="54"/>
      <c r="U29" s="54"/>
      <c r="V29" s="6"/>
      <c r="W29" s="53"/>
      <c r="X29" s="2" t="s">
        <v>766</v>
      </c>
      <c r="Y29" s="53"/>
      <c r="Z29" s="155" t="s">
        <v>776</v>
      </c>
      <c r="AA29" s="158"/>
      <c r="AB29" s="158"/>
      <c r="AC29" s="158"/>
      <c r="AD29" s="154"/>
    </row>
    <row r="30" spans="1:30" ht="15.75" customHeight="1">
      <c r="A30" s="2">
        <f t="shared" si="0"/>
        <v>210018</v>
      </c>
      <c r="B30" s="54" t="s">
        <v>532</v>
      </c>
      <c r="C30" s="55">
        <v>2</v>
      </c>
      <c r="D30" s="55">
        <v>1</v>
      </c>
      <c r="E30" s="2"/>
      <c r="F30" s="6">
        <v>1</v>
      </c>
      <c r="G30" s="55"/>
      <c r="H30" s="55">
        <v>2</v>
      </c>
      <c r="I30" s="6"/>
      <c r="J30" s="6"/>
      <c r="K30" s="6"/>
      <c r="L30" s="6"/>
      <c r="M30" s="2" t="s">
        <v>756</v>
      </c>
      <c r="N30" s="51">
        <v>82</v>
      </c>
      <c r="O30" s="54"/>
      <c r="P30" s="56"/>
      <c r="Q30" s="56"/>
      <c r="R30" s="56">
        <v>4001</v>
      </c>
      <c r="S30" s="54">
        <v>0.3</v>
      </c>
      <c r="T30" s="54"/>
      <c r="U30" s="54"/>
      <c r="V30" s="6"/>
      <c r="W30" s="2" t="s">
        <v>764</v>
      </c>
      <c r="X30" s="2" t="s">
        <v>765</v>
      </c>
      <c r="Y30" s="53"/>
      <c r="Z30" s="155" t="s">
        <v>533</v>
      </c>
      <c r="AA30" s="158"/>
      <c r="AB30" s="158"/>
      <c r="AC30" s="158"/>
      <c r="AD30" s="154"/>
    </row>
    <row r="31" spans="1:30" ht="15.75" customHeight="1">
      <c r="A31" s="2">
        <f t="shared" si="0"/>
        <v>210019</v>
      </c>
      <c r="B31" s="54" t="s">
        <v>537</v>
      </c>
      <c r="C31" s="55">
        <v>3</v>
      </c>
      <c r="D31" s="55">
        <v>1</v>
      </c>
      <c r="E31" s="2"/>
      <c r="F31" s="6">
        <v>1</v>
      </c>
      <c r="G31" s="55"/>
      <c r="H31" s="55">
        <v>1.3</v>
      </c>
      <c r="I31" s="6"/>
      <c r="J31" s="6"/>
      <c r="K31" s="6"/>
      <c r="L31" s="6"/>
      <c r="M31" s="2" t="s">
        <v>756</v>
      </c>
      <c r="N31" s="51">
        <v>77</v>
      </c>
      <c r="O31" s="54"/>
      <c r="P31" s="56">
        <v>1007</v>
      </c>
      <c r="Q31" s="54">
        <v>0.4</v>
      </c>
      <c r="R31" s="2"/>
      <c r="S31" s="2"/>
      <c r="T31" s="54"/>
      <c r="U31" s="54"/>
      <c r="V31" s="6"/>
      <c r="W31" s="53" t="s">
        <v>757</v>
      </c>
      <c r="X31" s="53" t="s">
        <v>758</v>
      </c>
      <c r="Y31" s="53"/>
      <c r="Z31" s="155" t="s">
        <v>538</v>
      </c>
      <c r="AA31" s="158"/>
      <c r="AB31" s="158"/>
      <c r="AC31" s="158"/>
      <c r="AD31" s="154"/>
    </row>
    <row r="32" spans="1:30" ht="15.75" customHeight="1">
      <c r="A32" s="2">
        <f t="shared" si="0"/>
        <v>210020</v>
      </c>
      <c r="B32" s="54" t="s">
        <v>543</v>
      </c>
      <c r="C32" s="55">
        <v>1</v>
      </c>
      <c r="D32" s="55">
        <v>1</v>
      </c>
      <c r="E32" s="2"/>
      <c r="F32" s="6">
        <v>1</v>
      </c>
      <c r="G32" s="55"/>
      <c r="H32" s="55">
        <v>4</v>
      </c>
      <c r="I32" s="6"/>
      <c r="J32" s="6"/>
      <c r="K32" s="6"/>
      <c r="L32" s="6"/>
      <c r="M32" s="2" t="s">
        <v>756</v>
      </c>
      <c r="N32" s="51">
        <v>80</v>
      </c>
      <c r="O32" s="54"/>
      <c r="P32" s="56"/>
      <c r="Q32" s="56"/>
      <c r="R32" s="56">
        <v>5004</v>
      </c>
      <c r="S32" s="54">
        <v>0.4</v>
      </c>
      <c r="T32" s="54"/>
      <c r="U32" s="54"/>
      <c r="V32" s="6"/>
      <c r="W32" s="53" t="s">
        <v>757</v>
      </c>
      <c r="X32" s="53" t="s">
        <v>758</v>
      </c>
      <c r="Y32" s="53"/>
      <c r="Z32" s="155" t="s">
        <v>544</v>
      </c>
      <c r="AA32" s="158"/>
      <c r="AB32" s="158"/>
      <c r="AC32" s="158"/>
      <c r="AD32" s="154"/>
    </row>
    <row r="33" spans="1:41" ht="15.75" customHeight="1">
      <c r="A33" s="2">
        <f t="shared" si="0"/>
        <v>210021</v>
      </c>
      <c r="B33" s="54" t="s">
        <v>551</v>
      </c>
      <c r="C33" s="55">
        <v>4</v>
      </c>
      <c r="D33" s="55">
        <v>1</v>
      </c>
      <c r="E33" s="2"/>
      <c r="F33" s="6">
        <v>1</v>
      </c>
      <c r="G33" s="55">
        <v>1</v>
      </c>
      <c r="H33" s="55"/>
      <c r="I33" s="6"/>
      <c r="J33" s="6"/>
      <c r="K33" s="6"/>
      <c r="L33" s="6"/>
      <c r="M33" s="2" t="s">
        <v>749</v>
      </c>
      <c r="N33" s="51">
        <v>40</v>
      </c>
      <c r="O33" s="54"/>
      <c r="P33" s="56"/>
      <c r="Q33" s="56"/>
      <c r="R33" s="56"/>
      <c r="S33" s="54"/>
      <c r="T33" s="54">
        <v>1999</v>
      </c>
      <c r="U33" s="54">
        <v>0.5</v>
      </c>
      <c r="V33" s="6"/>
      <c r="W33" s="53"/>
      <c r="X33" s="2" t="s">
        <v>773</v>
      </c>
      <c r="Y33" s="53"/>
      <c r="Z33" s="155" t="s">
        <v>552</v>
      </c>
      <c r="AA33" s="158"/>
      <c r="AB33" s="158"/>
      <c r="AC33" s="158"/>
      <c r="AD33" s="154"/>
    </row>
    <row r="34" spans="1:41" ht="15.75" customHeight="1">
      <c r="A34" s="2">
        <f t="shared" si="0"/>
        <v>210022</v>
      </c>
      <c r="B34" s="54" t="s">
        <v>568</v>
      </c>
      <c r="C34" s="55">
        <v>2</v>
      </c>
      <c r="D34" s="55"/>
      <c r="E34" s="2"/>
      <c r="F34" s="6">
        <v>1</v>
      </c>
      <c r="G34" s="55">
        <v>1.55</v>
      </c>
      <c r="H34" s="55"/>
      <c r="I34" s="6"/>
      <c r="J34" s="6"/>
      <c r="K34" s="6"/>
      <c r="L34" s="6"/>
      <c r="M34" s="2" t="s">
        <v>749</v>
      </c>
      <c r="N34" s="51">
        <v>31</v>
      </c>
      <c r="O34" s="54"/>
      <c r="P34" s="56"/>
      <c r="Q34" s="56"/>
      <c r="R34" s="56">
        <v>2002</v>
      </c>
      <c r="S34" s="54">
        <v>0.5</v>
      </c>
      <c r="T34" s="54"/>
      <c r="U34" s="54"/>
      <c r="V34" s="6"/>
      <c r="W34" s="2"/>
      <c r="X34" s="53" t="s">
        <v>777</v>
      </c>
      <c r="Y34" s="53"/>
      <c r="Z34" s="155" t="s">
        <v>569</v>
      </c>
      <c r="AA34" s="158"/>
      <c r="AB34" s="158"/>
      <c r="AC34" s="158"/>
      <c r="AD34" s="154"/>
    </row>
    <row r="35" spans="1:41" ht="15.75" customHeight="1">
      <c r="A35" s="2">
        <f t="shared" si="0"/>
        <v>210023</v>
      </c>
      <c r="B35" s="54" t="s">
        <v>574</v>
      </c>
      <c r="C35" s="55">
        <v>2</v>
      </c>
      <c r="D35" s="55"/>
      <c r="E35" s="2"/>
      <c r="F35" s="6">
        <v>1</v>
      </c>
      <c r="G35" s="55">
        <v>1.55</v>
      </c>
      <c r="H35" s="55"/>
      <c r="I35" s="6"/>
      <c r="J35" s="6"/>
      <c r="K35" s="6"/>
      <c r="L35" s="6"/>
      <c r="M35" s="2" t="s">
        <v>749</v>
      </c>
      <c r="N35" s="51">
        <v>33</v>
      </c>
      <c r="O35" s="54"/>
      <c r="P35" s="56"/>
      <c r="Q35" s="56"/>
      <c r="R35" s="56">
        <v>4003</v>
      </c>
      <c r="S35" s="54">
        <v>0.25</v>
      </c>
      <c r="T35" s="54"/>
      <c r="U35" s="54"/>
      <c r="V35" s="6"/>
      <c r="W35" s="53"/>
      <c r="X35" s="53" t="s">
        <v>777</v>
      </c>
      <c r="Y35" s="53"/>
      <c r="Z35" s="155" t="s">
        <v>575</v>
      </c>
      <c r="AA35" s="158"/>
      <c r="AB35" s="158"/>
      <c r="AC35" s="158"/>
      <c r="AD35" s="154"/>
      <c r="AO35" s="7" t="s">
        <v>778</v>
      </c>
    </row>
    <row r="36" spans="1:41" ht="15.75" customHeight="1">
      <c r="A36" s="2">
        <f t="shared" si="0"/>
        <v>210024</v>
      </c>
      <c r="B36" s="54" t="s">
        <v>582</v>
      </c>
      <c r="C36" s="55">
        <v>1</v>
      </c>
      <c r="D36" s="55"/>
      <c r="E36" s="2"/>
      <c r="F36" s="6">
        <v>1</v>
      </c>
      <c r="G36" s="55"/>
      <c r="H36" s="55">
        <v>3</v>
      </c>
      <c r="I36" s="6"/>
      <c r="J36" s="6"/>
      <c r="K36" s="6"/>
      <c r="L36" s="6"/>
      <c r="M36" s="2" t="s">
        <v>756</v>
      </c>
      <c r="N36" s="51">
        <v>60</v>
      </c>
      <c r="O36" s="54"/>
      <c r="P36" s="56"/>
      <c r="Q36" s="56"/>
      <c r="R36" s="56">
        <v>4001</v>
      </c>
      <c r="S36" s="54">
        <v>0.25</v>
      </c>
      <c r="T36" s="54"/>
      <c r="U36" s="54"/>
      <c r="V36" s="6"/>
      <c r="W36" s="53" t="s">
        <v>757</v>
      </c>
      <c r="X36" s="2" t="s">
        <v>765</v>
      </c>
      <c r="Y36" s="53"/>
      <c r="Z36" s="155" t="s">
        <v>583</v>
      </c>
      <c r="AA36" s="158"/>
      <c r="AB36" s="158"/>
      <c r="AC36" s="158"/>
      <c r="AD36" s="154"/>
    </row>
    <row r="37" spans="1:41" ht="15.75" customHeight="1">
      <c r="A37" s="2">
        <f t="shared" si="0"/>
        <v>210025</v>
      </c>
      <c r="B37" s="54" t="s">
        <v>588</v>
      </c>
      <c r="C37" s="55">
        <v>2</v>
      </c>
      <c r="D37" s="55">
        <v>1</v>
      </c>
      <c r="E37" s="2"/>
      <c r="F37" s="6">
        <v>1</v>
      </c>
      <c r="G37" s="55"/>
      <c r="H37" s="55">
        <v>1.65</v>
      </c>
      <c r="I37" s="6"/>
      <c r="J37" s="6"/>
      <c r="K37" s="6"/>
      <c r="L37" s="6"/>
      <c r="M37" s="2" t="s">
        <v>756</v>
      </c>
      <c r="N37" s="51">
        <v>66</v>
      </c>
      <c r="O37" s="54"/>
      <c r="P37" s="56"/>
      <c r="Q37" s="56"/>
      <c r="R37" s="56">
        <v>5001</v>
      </c>
      <c r="S37" s="54">
        <v>0.25</v>
      </c>
      <c r="T37" s="54"/>
      <c r="U37" s="54"/>
      <c r="V37" s="6"/>
      <c r="W37" s="53" t="s">
        <v>757</v>
      </c>
      <c r="X37" s="53" t="s">
        <v>758</v>
      </c>
      <c r="Y37" s="53"/>
      <c r="Z37" s="155" t="s">
        <v>589</v>
      </c>
      <c r="AA37" s="158"/>
      <c r="AB37" s="158"/>
      <c r="AC37" s="158"/>
      <c r="AD37" s="154"/>
    </row>
    <row r="38" spans="1:41" ht="15.75" customHeight="1">
      <c r="A38" s="2">
        <f t="shared" si="0"/>
        <v>210026</v>
      </c>
      <c r="B38" s="54" t="s">
        <v>594</v>
      </c>
      <c r="C38" s="55">
        <v>-2</v>
      </c>
      <c r="D38" s="55">
        <v>1</v>
      </c>
      <c r="E38" s="2"/>
      <c r="F38" s="6">
        <v>1</v>
      </c>
      <c r="G38" s="55"/>
      <c r="H38" s="55"/>
      <c r="I38" s="6"/>
      <c r="J38" s="6"/>
      <c r="K38" s="6"/>
      <c r="L38" s="6"/>
      <c r="M38" s="2"/>
      <c r="N38" s="51">
        <v>30</v>
      </c>
      <c r="O38" s="54"/>
      <c r="P38" s="56"/>
      <c r="Q38" s="56"/>
      <c r="R38" s="56">
        <v>1996</v>
      </c>
      <c r="S38" s="54"/>
      <c r="T38" s="54"/>
      <c r="U38" s="54"/>
      <c r="V38" s="6"/>
      <c r="W38" s="53"/>
      <c r="X38" s="2" t="s">
        <v>779</v>
      </c>
      <c r="Y38" s="53"/>
      <c r="Z38" s="155" t="s">
        <v>595</v>
      </c>
      <c r="AA38" s="158"/>
      <c r="AB38" s="158"/>
      <c r="AC38" s="158"/>
      <c r="AD38" s="154"/>
    </row>
    <row r="39" spans="1:41" ht="15.75" customHeight="1">
      <c r="A39" s="2">
        <f t="shared" si="0"/>
        <v>210027</v>
      </c>
      <c r="B39" s="54" t="s">
        <v>600</v>
      </c>
      <c r="C39" s="55">
        <v>1</v>
      </c>
      <c r="D39" s="55"/>
      <c r="E39" s="2"/>
      <c r="F39" s="6">
        <v>1</v>
      </c>
      <c r="G39" s="55">
        <v>3</v>
      </c>
      <c r="H39" s="55"/>
      <c r="I39" s="6"/>
      <c r="J39" s="6"/>
      <c r="K39" s="6"/>
      <c r="L39" s="6"/>
      <c r="M39" s="2" t="s">
        <v>749</v>
      </c>
      <c r="N39" s="51">
        <v>30</v>
      </c>
      <c r="O39" s="54"/>
      <c r="P39" s="56"/>
      <c r="Q39" s="56"/>
      <c r="R39" s="56">
        <v>1005</v>
      </c>
      <c r="S39" s="54">
        <v>0.4</v>
      </c>
      <c r="T39" s="54"/>
      <c r="U39" s="54"/>
      <c r="V39" s="6"/>
      <c r="W39" s="2" t="s">
        <v>780</v>
      </c>
      <c r="X39" s="53" t="s">
        <v>758</v>
      </c>
      <c r="Y39" s="53"/>
      <c r="Z39" s="155" t="s">
        <v>601</v>
      </c>
      <c r="AA39" s="158"/>
      <c r="AB39" s="158"/>
      <c r="AC39" s="158"/>
      <c r="AD39" s="154"/>
    </row>
    <row r="40" spans="1:41" ht="15.75" customHeight="1">
      <c r="A40" s="2">
        <f t="shared" si="0"/>
        <v>210028</v>
      </c>
      <c r="B40" s="54" t="s">
        <v>607</v>
      </c>
      <c r="C40" s="55">
        <v>-2</v>
      </c>
      <c r="D40" s="55">
        <v>1</v>
      </c>
      <c r="E40" s="2"/>
      <c r="F40" s="6">
        <v>1</v>
      </c>
      <c r="G40" s="55"/>
      <c r="H40" s="55">
        <v>1.65</v>
      </c>
      <c r="I40" s="6"/>
      <c r="J40" s="6"/>
      <c r="K40" s="6"/>
      <c r="L40" s="6"/>
      <c r="M40" s="2" t="s">
        <v>756</v>
      </c>
      <c r="N40" s="51">
        <v>66</v>
      </c>
      <c r="O40" s="54"/>
      <c r="P40" s="56"/>
      <c r="Q40" s="56"/>
      <c r="R40" s="56"/>
      <c r="S40" s="54"/>
      <c r="T40" s="54"/>
      <c r="U40" s="54"/>
      <c r="V40" s="6"/>
      <c r="W40" s="53"/>
      <c r="X40" s="53" t="s">
        <v>766</v>
      </c>
      <c r="Y40" s="53"/>
      <c r="Z40" s="155" t="s">
        <v>781</v>
      </c>
      <c r="AA40" s="158"/>
      <c r="AB40" s="158"/>
      <c r="AC40" s="158"/>
      <c r="AD40" s="154"/>
    </row>
    <row r="41" spans="1:41" ht="15.75" customHeight="1">
      <c r="A41" s="2">
        <f t="shared" si="0"/>
        <v>210029</v>
      </c>
      <c r="B41" s="54" t="s">
        <v>613</v>
      </c>
      <c r="C41" s="55">
        <v>2</v>
      </c>
      <c r="D41" s="55">
        <v>1</v>
      </c>
      <c r="E41" s="2"/>
      <c r="F41" s="6">
        <v>1</v>
      </c>
      <c r="G41" s="55">
        <v>1.65</v>
      </c>
      <c r="H41" s="55"/>
      <c r="I41" s="6"/>
      <c r="J41" s="6"/>
      <c r="K41" s="6"/>
      <c r="L41" s="6"/>
      <c r="M41" s="2" t="s">
        <v>749</v>
      </c>
      <c r="N41" s="51">
        <v>33</v>
      </c>
      <c r="O41" s="54"/>
      <c r="P41" s="56"/>
      <c r="Q41" s="56"/>
      <c r="R41" s="56">
        <v>4003</v>
      </c>
      <c r="S41" s="54">
        <v>0.25</v>
      </c>
      <c r="T41" s="54"/>
      <c r="U41" s="54"/>
      <c r="V41" s="6"/>
      <c r="W41" s="53"/>
      <c r="X41" s="2" t="s">
        <v>773</v>
      </c>
      <c r="Y41" s="53"/>
      <c r="Z41" s="155" t="s">
        <v>614</v>
      </c>
      <c r="AA41" s="158"/>
      <c r="AB41" s="158"/>
      <c r="AC41" s="158"/>
      <c r="AD41" s="154"/>
    </row>
    <row r="42" spans="1:41" ht="15.75" customHeight="1">
      <c r="A42" s="2">
        <f t="shared" si="0"/>
        <v>210030</v>
      </c>
      <c r="B42" s="54" t="s">
        <v>618</v>
      </c>
      <c r="C42" s="55">
        <v>4</v>
      </c>
      <c r="D42" s="55">
        <v>1</v>
      </c>
      <c r="E42" s="2"/>
      <c r="F42" s="6">
        <v>1</v>
      </c>
      <c r="G42" s="55"/>
      <c r="H42" s="55">
        <v>0.75</v>
      </c>
      <c r="I42" s="6"/>
      <c r="J42" s="6"/>
      <c r="K42" s="6"/>
      <c r="L42" s="6"/>
      <c r="M42" s="2" t="s">
        <v>756</v>
      </c>
      <c r="N42" s="51">
        <v>59</v>
      </c>
      <c r="O42" s="54"/>
      <c r="P42" s="56"/>
      <c r="Q42" s="56"/>
      <c r="R42" s="56">
        <v>2004</v>
      </c>
      <c r="S42" s="54">
        <v>0.25</v>
      </c>
      <c r="T42" s="54"/>
      <c r="U42" s="54"/>
      <c r="V42" s="6"/>
      <c r="W42" s="53" t="s">
        <v>757</v>
      </c>
      <c r="X42" s="53" t="s">
        <v>758</v>
      </c>
      <c r="Y42" s="53"/>
      <c r="Z42" s="155" t="s">
        <v>619</v>
      </c>
      <c r="AA42" s="158"/>
      <c r="AB42" s="158"/>
      <c r="AC42" s="158"/>
      <c r="AD42" s="154"/>
      <c r="AE42" s="57"/>
      <c r="AF42" s="57"/>
      <c r="AG42" s="57"/>
    </row>
    <row r="43" spans="1:41" ht="15.75" customHeight="1">
      <c r="A43" s="2">
        <f t="shared" si="0"/>
        <v>210031</v>
      </c>
      <c r="B43" s="54" t="s">
        <v>625</v>
      </c>
      <c r="C43" s="55">
        <v>3</v>
      </c>
      <c r="D43" s="55">
        <v>1</v>
      </c>
      <c r="E43" s="2"/>
      <c r="F43" s="6">
        <v>1</v>
      </c>
      <c r="G43" s="55">
        <v>1.05</v>
      </c>
      <c r="H43" s="55"/>
      <c r="I43" s="6"/>
      <c r="J43" s="6"/>
      <c r="K43" s="6"/>
      <c r="L43" s="6"/>
      <c r="M43" s="2" t="s">
        <v>749</v>
      </c>
      <c r="N43" s="51">
        <v>31</v>
      </c>
      <c r="O43" s="54"/>
      <c r="P43" s="56"/>
      <c r="Q43" s="56"/>
      <c r="R43" s="56">
        <v>4003</v>
      </c>
      <c r="S43" s="54">
        <v>0.25</v>
      </c>
      <c r="T43" s="54"/>
      <c r="U43" s="54"/>
      <c r="V43" s="6"/>
      <c r="W43" s="53"/>
      <c r="X43" s="2" t="s">
        <v>750</v>
      </c>
      <c r="Y43" s="53"/>
      <c r="Z43" s="155" t="s">
        <v>626</v>
      </c>
      <c r="AA43" s="158"/>
      <c r="AB43" s="158"/>
      <c r="AC43" s="158"/>
      <c r="AD43" s="154"/>
      <c r="AE43" s="57"/>
      <c r="AF43" s="57"/>
      <c r="AG43" s="57"/>
    </row>
    <row r="44" spans="1:41" ht="14.25" customHeight="1">
      <c r="C44" s="45"/>
      <c r="D44" s="45"/>
      <c r="E44" s="45"/>
      <c r="F44" s="45"/>
      <c r="G44" s="45"/>
      <c r="H44" s="45"/>
      <c r="I44" s="45"/>
      <c r="J44" s="45"/>
      <c r="K44" s="45"/>
      <c r="L44" s="45"/>
      <c r="N44" s="46"/>
      <c r="P44" s="47"/>
      <c r="Q44" s="47"/>
      <c r="R44" s="47"/>
      <c r="V44" s="45"/>
      <c r="AE44" s="57"/>
      <c r="AF44" s="57"/>
      <c r="AG44" s="57"/>
    </row>
    <row r="45" spans="1:41" ht="14.25" customHeight="1">
      <c r="A45" s="23" t="s">
        <v>722</v>
      </c>
      <c r="B45" s="5" t="s">
        <v>723</v>
      </c>
      <c r="C45" s="48" t="s">
        <v>724</v>
      </c>
      <c r="D45" s="48" t="s">
        <v>725</v>
      </c>
      <c r="E45" s="48" t="s">
        <v>726</v>
      </c>
      <c r="F45" s="48" t="s">
        <v>782</v>
      </c>
      <c r="G45" s="40" t="s">
        <v>728</v>
      </c>
      <c r="H45" s="40" t="s">
        <v>729</v>
      </c>
      <c r="I45" s="40" t="s">
        <v>691</v>
      </c>
      <c r="J45" s="40" t="s">
        <v>730</v>
      </c>
      <c r="K45" s="40" t="s">
        <v>731</v>
      </c>
      <c r="L45" s="40" t="s">
        <v>732</v>
      </c>
      <c r="M45" s="23" t="s">
        <v>733</v>
      </c>
      <c r="N45" s="49" t="s">
        <v>734</v>
      </c>
      <c r="O45" s="23" t="s">
        <v>735</v>
      </c>
      <c r="P45" s="50" t="s">
        <v>736</v>
      </c>
      <c r="Q45" s="50" t="s">
        <v>737</v>
      </c>
      <c r="R45" s="50" t="s">
        <v>738</v>
      </c>
      <c r="S45" s="50" t="s">
        <v>739</v>
      </c>
      <c r="T45" s="23" t="s">
        <v>740</v>
      </c>
      <c r="U45" s="50" t="s">
        <v>741</v>
      </c>
      <c r="V45" s="6" t="s">
        <v>742</v>
      </c>
      <c r="W45" s="23" t="s">
        <v>743</v>
      </c>
      <c r="X45" s="23" t="s">
        <v>744</v>
      </c>
      <c r="Y45" s="23" t="s">
        <v>745</v>
      </c>
      <c r="Z45" s="153" t="s">
        <v>746</v>
      </c>
      <c r="AA45" s="158"/>
      <c r="AB45" s="158"/>
      <c r="AC45" s="158"/>
      <c r="AD45" s="154"/>
      <c r="AE45" s="57"/>
      <c r="AF45" s="57"/>
      <c r="AG45" s="57"/>
    </row>
    <row r="46" spans="1:41" ht="14.25" customHeight="1">
      <c r="A46" s="2">
        <v>310001</v>
      </c>
      <c r="B46" s="4" t="s">
        <v>291</v>
      </c>
      <c r="C46" s="6">
        <v>5</v>
      </c>
      <c r="D46" s="6"/>
      <c r="E46" s="6"/>
      <c r="F46" s="6">
        <v>1</v>
      </c>
      <c r="G46" s="6"/>
      <c r="H46" s="6">
        <v>1</v>
      </c>
      <c r="I46" s="6"/>
      <c r="J46" s="6"/>
      <c r="K46" s="6">
        <v>7</v>
      </c>
      <c r="L46" s="6"/>
      <c r="M46" s="2" t="s">
        <v>756</v>
      </c>
      <c r="N46" s="51">
        <v>103</v>
      </c>
      <c r="O46" s="2"/>
      <c r="P46" s="52"/>
      <c r="Q46" s="52"/>
      <c r="R46" s="52">
        <v>4001</v>
      </c>
      <c r="S46" s="2"/>
      <c r="T46" s="2"/>
      <c r="U46" s="2"/>
      <c r="V46" s="6"/>
      <c r="W46" s="2" t="s">
        <v>764</v>
      </c>
      <c r="X46" s="2" t="s">
        <v>765</v>
      </c>
      <c r="Y46" s="2"/>
      <c r="Z46" s="155" t="s">
        <v>783</v>
      </c>
      <c r="AA46" s="158"/>
      <c r="AB46" s="158"/>
      <c r="AC46" s="158"/>
      <c r="AD46" s="154"/>
      <c r="AE46" s="57"/>
      <c r="AF46" s="57"/>
      <c r="AG46" s="57"/>
      <c r="AH46" s="47"/>
      <c r="AI46" s="57"/>
    </row>
    <row r="47" spans="1:41" ht="15.75" customHeight="1">
      <c r="A47" s="2">
        <v>310002</v>
      </c>
      <c r="B47" s="4" t="s">
        <v>311</v>
      </c>
      <c r="C47" s="6">
        <v>3</v>
      </c>
      <c r="D47" s="6"/>
      <c r="E47" s="6"/>
      <c r="F47" s="6">
        <v>1</v>
      </c>
      <c r="G47" s="6"/>
      <c r="H47" s="6">
        <v>1.6</v>
      </c>
      <c r="I47" s="6"/>
      <c r="J47" s="6"/>
      <c r="K47" s="6">
        <v>8</v>
      </c>
      <c r="L47" s="6"/>
      <c r="M47" s="2" t="s">
        <v>756</v>
      </c>
      <c r="N47" s="51">
        <v>96</v>
      </c>
      <c r="O47" s="2"/>
      <c r="P47" s="52"/>
      <c r="Q47" s="52"/>
      <c r="R47" s="52" t="str">
        <f>"2004,2004,2004"</f>
        <v>2004,2004,2004</v>
      </c>
      <c r="S47" s="2"/>
      <c r="T47" s="2"/>
      <c r="U47" s="2"/>
      <c r="V47" s="6"/>
      <c r="W47" s="53" t="s">
        <v>757</v>
      </c>
      <c r="X47" s="53" t="s">
        <v>758</v>
      </c>
      <c r="Y47" s="2"/>
      <c r="Z47" s="155" t="s">
        <v>784</v>
      </c>
      <c r="AA47" s="158"/>
      <c r="AB47" s="158"/>
      <c r="AC47" s="158"/>
      <c r="AD47" s="154"/>
      <c r="AE47" s="57"/>
      <c r="AF47" s="57"/>
      <c r="AG47" s="57"/>
      <c r="AH47" s="47"/>
      <c r="AI47" s="57"/>
    </row>
    <row r="48" spans="1:41" ht="14.25" customHeight="1">
      <c r="A48" s="2">
        <v>310003</v>
      </c>
      <c r="B48" s="4" t="s">
        <v>330</v>
      </c>
      <c r="C48" s="6">
        <v>-5</v>
      </c>
      <c r="D48" s="6"/>
      <c r="E48" s="6"/>
      <c r="F48" s="6">
        <v>1</v>
      </c>
      <c r="G48" s="6"/>
      <c r="H48" s="6">
        <v>1</v>
      </c>
      <c r="I48" s="6"/>
      <c r="J48" s="6"/>
      <c r="K48" s="6">
        <v>6</v>
      </c>
      <c r="L48" s="6"/>
      <c r="M48" s="2" t="s">
        <v>766</v>
      </c>
      <c r="N48" s="51">
        <v>49</v>
      </c>
      <c r="O48" s="2"/>
      <c r="P48" s="52"/>
      <c r="Q48" s="52"/>
      <c r="R48" s="52"/>
      <c r="S48" s="2"/>
      <c r="T48" s="2"/>
      <c r="U48" s="2"/>
      <c r="V48" s="6"/>
      <c r="W48" s="2"/>
      <c r="X48" s="2" t="s">
        <v>766</v>
      </c>
      <c r="Y48" s="2"/>
      <c r="Z48" s="155" t="s">
        <v>785</v>
      </c>
      <c r="AA48" s="158"/>
      <c r="AB48" s="158"/>
      <c r="AC48" s="158"/>
      <c r="AD48" s="154"/>
      <c r="AE48" s="57"/>
      <c r="AF48" s="57"/>
      <c r="AG48" s="57"/>
      <c r="AH48" s="47"/>
      <c r="AI48" s="57"/>
    </row>
    <row r="49" spans="1:35" ht="14.25" customHeight="1">
      <c r="A49" s="2">
        <v>310004</v>
      </c>
      <c r="B49" s="4" t="s">
        <v>348</v>
      </c>
      <c r="C49" s="6">
        <v>3</v>
      </c>
      <c r="D49" s="6"/>
      <c r="E49" s="6"/>
      <c r="F49" s="6">
        <v>1</v>
      </c>
      <c r="G49" s="6">
        <v>1.6</v>
      </c>
      <c r="H49" s="6"/>
      <c r="I49" s="6"/>
      <c r="J49" s="6"/>
      <c r="K49" s="6">
        <v>7</v>
      </c>
      <c r="L49" s="6"/>
      <c r="M49" s="2" t="s">
        <v>749</v>
      </c>
      <c r="N49" s="51">
        <v>48</v>
      </c>
      <c r="O49" s="2"/>
      <c r="P49" s="52">
        <v>3003</v>
      </c>
      <c r="Q49" s="52"/>
      <c r="R49" s="52"/>
      <c r="S49" s="2"/>
      <c r="T49" s="2"/>
      <c r="U49" s="2"/>
      <c r="V49" s="6"/>
      <c r="W49" s="2"/>
      <c r="X49" s="2" t="s">
        <v>773</v>
      </c>
      <c r="Y49" s="2"/>
      <c r="Z49" s="155" t="s">
        <v>786</v>
      </c>
      <c r="AA49" s="158"/>
      <c r="AB49" s="158"/>
      <c r="AC49" s="158"/>
      <c r="AD49" s="154"/>
      <c r="AE49" s="57"/>
      <c r="AF49" s="57"/>
      <c r="AG49" s="57"/>
      <c r="AH49" s="47"/>
      <c r="AI49" s="57"/>
    </row>
    <row r="50" spans="1:35" ht="14.25" customHeight="1">
      <c r="A50" s="2">
        <v>310005</v>
      </c>
      <c r="B50" s="4" t="s">
        <v>787</v>
      </c>
      <c r="C50" s="6">
        <v>1</v>
      </c>
      <c r="D50" s="6"/>
      <c r="E50" s="6"/>
      <c r="F50" s="6">
        <v>1</v>
      </c>
      <c r="G50" s="6">
        <v>4.8</v>
      </c>
      <c r="H50" s="6"/>
      <c r="I50" s="6"/>
      <c r="J50" s="6"/>
      <c r="K50" s="6">
        <v>6</v>
      </c>
      <c r="L50" s="6"/>
      <c r="M50" s="2" t="s">
        <v>749</v>
      </c>
      <c r="N50" s="51">
        <v>48</v>
      </c>
      <c r="O50" s="2"/>
      <c r="P50" s="52">
        <v>3007</v>
      </c>
      <c r="Q50" s="52"/>
      <c r="R50" s="52"/>
      <c r="S50" s="2"/>
      <c r="T50" s="2"/>
      <c r="U50" s="2"/>
      <c r="V50" s="6"/>
      <c r="W50" s="2"/>
      <c r="X50" s="2" t="s">
        <v>788</v>
      </c>
      <c r="Y50" s="2"/>
      <c r="Z50" s="155" t="s">
        <v>789</v>
      </c>
      <c r="AA50" s="158"/>
      <c r="AB50" s="158"/>
      <c r="AC50" s="158"/>
      <c r="AD50" s="154"/>
      <c r="AE50" s="57"/>
      <c r="AF50" s="57"/>
      <c r="AG50" s="57"/>
      <c r="AH50" s="47"/>
      <c r="AI50" s="47"/>
    </row>
    <row r="51" spans="1:35" ht="14.25" customHeight="1">
      <c r="A51" s="2">
        <v>310006</v>
      </c>
      <c r="B51" s="4" t="s">
        <v>379</v>
      </c>
      <c r="C51" s="6">
        <v>-5</v>
      </c>
      <c r="D51" s="6"/>
      <c r="E51" s="6"/>
      <c r="F51" s="6">
        <v>1</v>
      </c>
      <c r="G51" s="6"/>
      <c r="H51" s="6">
        <v>1</v>
      </c>
      <c r="I51" s="6"/>
      <c r="J51" s="6"/>
      <c r="K51" s="6">
        <v>6</v>
      </c>
      <c r="L51" s="6"/>
      <c r="M51" s="2" t="s">
        <v>768</v>
      </c>
      <c r="N51" s="51">
        <v>98</v>
      </c>
      <c r="O51" s="2"/>
      <c r="P51" s="52"/>
      <c r="Q51" s="52"/>
      <c r="R51" s="52">
        <v>1999</v>
      </c>
      <c r="S51" s="2"/>
      <c r="T51" s="2"/>
      <c r="U51" s="2"/>
      <c r="V51" s="6"/>
      <c r="W51" s="2"/>
      <c r="X51" s="2" t="s">
        <v>790</v>
      </c>
      <c r="Y51" s="2"/>
      <c r="Z51" s="155" t="s">
        <v>791</v>
      </c>
      <c r="AA51" s="158"/>
      <c r="AB51" s="158"/>
      <c r="AC51" s="158"/>
      <c r="AD51" s="154"/>
      <c r="AE51" s="57"/>
      <c r="AF51" s="57"/>
      <c r="AG51" s="57"/>
      <c r="AH51" s="47"/>
      <c r="AI51" s="57"/>
    </row>
    <row r="52" spans="1:35" ht="15.75" customHeight="1">
      <c r="A52" s="2">
        <v>310007</v>
      </c>
      <c r="B52" s="4" t="s">
        <v>396</v>
      </c>
      <c r="C52" s="6">
        <v>2</v>
      </c>
      <c r="D52" s="6">
        <v>1</v>
      </c>
      <c r="E52" s="6"/>
      <c r="F52" s="6">
        <v>1</v>
      </c>
      <c r="G52" s="6"/>
      <c r="H52" s="6">
        <v>2.5</v>
      </c>
      <c r="I52" s="6"/>
      <c r="J52" s="6"/>
      <c r="K52" s="6">
        <v>8</v>
      </c>
      <c r="L52" s="6"/>
      <c r="M52" s="2" t="s">
        <v>756</v>
      </c>
      <c r="N52" s="51">
        <v>105</v>
      </c>
      <c r="O52" s="2"/>
      <c r="P52" s="52"/>
      <c r="Q52" s="52"/>
      <c r="R52" s="52">
        <v>2005</v>
      </c>
      <c r="S52" s="2"/>
      <c r="T52" s="2"/>
      <c r="U52" s="2"/>
      <c r="V52" s="6"/>
      <c r="W52" s="53" t="s">
        <v>757</v>
      </c>
      <c r="X52" s="53" t="s">
        <v>758</v>
      </c>
      <c r="Y52" s="2"/>
      <c r="Z52" s="155" t="s">
        <v>792</v>
      </c>
      <c r="AA52" s="158"/>
      <c r="AB52" s="158"/>
      <c r="AC52" s="158"/>
      <c r="AD52" s="154"/>
      <c r="AE52" s="57"/>
      <c r="AF52" s="57"/>
      <c r="AG52" s="57"/>
      <c r="AH52" s="47"/>
      <c r="AI52" s="47"/>
    </row>
    <row r="53" spans="1:35" ht="15.75" customHeight="1">
      <c r="A53" s="2">
        <v>310008</v>
      </c>
      <c r="B53" s="4" t="s">
        <v>409</v>
      </c>
      <c r="C53" s="6">
        <v>-5</v>
      </c>
      <c r="D53" s="6"/>
      <c r="E53" s="6"/>
      <c r="F53" s="6">
        <v>1</v>
      </c>
      <c r="G53" s="55"/>
      <c r="H53" s="55"/>
      <c r="I53" s="6"/>
      <c r="J53" s="6"/>
      <c r="K53" s="6">
        <v>5</v>
      </c>
      <c r="L53" s="6"/>
      <c r="M53" s="2"/>
      <c r="N53" s="51">
        <v>90</v>
      </c>
      <c r="O53" s="2"/>
      <c r="P53" s="52"/>
      <c r="Q53" s="52"/>
      <c r="R53" s="52" t="str">
        <f>"1003,1003"</f>
        <v>1003,1003</v>
      </c>
      <c r="S53" s="2"/>
      <c r="T53" s="2"/>
      <c r="U53" s="2"/>
      <c r="V53" s="6"/>
      <c r="W53" s="2"/>
      <c r="X53" s="2" t="s">
        <v>767</v>
      </c>
      <c r="Y53" s="2"/>
      <c r="Z53" s="155" t="s">
        <v>411</v>
      </c>
      <c r="AA53" s="158"/>
      <c r="AB53" s="158"/>
      <c r="AC53" s="158"/>
      <c r="AD53" s="154"/>
      <c r="AE53" s="57"/>
      <c r="AF53" s="57"/>
      <c r="AG53" s="57"/>
      <c r="AH53" s="47"/>
      <c r="AI53" s="57"/>
    </row>
    <row r="54" spans="1:35" ht="15.75" customHeight="1">
      <c r="A54" s="2">
        <v>310009</v>
      </c>
      <c r="B54" s="4" t="s">
        <v>424</v>
      </c>
      <c r="C54" s="6">
        <v>1</v>
      </c>
      <c r="D54" s="6">
        <v>1</v>
      </c>
      <c r="E54" s="6"/>
      <c r="F54" s="6">
        <v>3</v>
      </c>
      <c r="G54" s="55">
        <v>1.6</v>
      </c>
      <c r="H54" s="55"/>
      <c r="I54" s="6"/>
      <c r="J54" s="6"/>
      <c r="K54" s="6">
        <v>4</v>
      </c>
      <c r="L54" s="6"/>
      <c r="M54" s="2" t="s">
        <v>749</v>
      </c>
      <c r="N54" s="51">
        <v>23</v>
      </c>
      <c r="O54" s="2"/>
      <c r="P54" s="52">
        <v>1001</v>
      </c>
      <c r="Q54" s="52">
        <v>0.4</v>
      </c>
      <c r="R54" s="52"/>
      <c r="S54" s="2"/>
      <c r="T54" s="2"/>
      <c r="U54" s="2"/>
      <c r="V54" s="6"/>
      <c r="W54" s="2"/>
      <c r="X54" s="2" t="s">
        <v>750</v>
      </c>
      <c r="Y54" s="2"/>
      <c r="Z54" s="155" t="s">
        <v>793</v>
      </c>
      <c r="AA54" s="158"/>
      <c r="AB54" s="158"/>
      <c r="AC54" s="158"/>
      <c r="AD54" s="154"/>
      <c r="AE54" s="57"/>
      <c r="AF54" s="57"/>
      <c r="AG54" s="57"/>
      <c r="AH54" s="47"/>
      <c r="AI54" s="57"/>
    </row>
    <row r="55" spans="1:35" ht="15.75" customHeight="1">
      <c r="A55" s="2">
        <v>310010</v>
      </c>
      <c r="B55" s="4" t="s">
        <v>438</v>
      </c>
      <c r="C55" s="6">
        <v>1</v>
      </c>
      <c r="D55" s="6">
        <v>1</v>
      </c>
      <c r="E55" s="6"/>
      <c r="F55" s="6">
        <v>1</v>
      </c>
      <c r="G55" s="55">
        <v>5</v>
      </c>
      <c r="H55" s="55"/>
      <c r="I55" s="6"/>
      <c r="J55" s="6"/>
      <c r="K55" s="6">
        <v>5</v>
      </c>
      <c r="L55" s="6"/>
      <c r="M55" s="2" t="s">
        <v>749</v>
      </c>
      <c r="N55" s="51">
        <v>100</v>
      </c>
      <c r="O55" s="2"/>
      <c r="P55" s="52"/>
      <c r="Q55" s="52"/>
      <c r="R55" s="52">
        <v>5004</v>
      </c>
      <c r="S55" s="2">
        <v>0.4</v>
      </c>
      <c r="T55" s="2"/>
      <c r="U55" s="2"/>
      <c r="V55" s="6"/>
      <c r="W55" s="53" t="s">
        <v>757</v>
      </c>
      <c r="X55" s="53" t="s">
        <v>758</v>
      </c>
      <c r="Y55" s="2"/>
      <c r="Z55" s="155" t="s">
        <v>794</v>
      </c>
      <c r="AA55" s="158"/>
      <c r="AB55" s="158"/>
      <c r="AC55" s="158"/>
      <c r="AD55" s="154"/>
      <c r="AE55" s="57"/>
      <c r="AF55" s="57"/>
      <c r="AG55" s="57"/>
      <c r="AH55" s="47"/>
      <c r="AI55" s="57"/>
    </row>
    <row r="56" spans="1:35" ht="15.75" customHeight="1">
      <c r="A56" s="2">
        <v>310011</v>
      </c>
      <c r="B56" s="4" t="s">
        <v>454</v>
      </c>
      <c r="C56" s="6">
        <v>1</v>
      </c>
      <c r="D56" s="6"/>
      <c r="E56" s="6"/>
      <c r="F56" s="6">
        <v>1</v>
      </c>
      <c r="G56" s="55">
        <v>4.8</v>
      </c>
      <c r="H56" s="55"/>
      <c r="I56" s="6"/>
      <c r="J56" s="6"/>
      <c r="K56" s="6">
        <v>6</v>
      </c>
      <c r="L56" s="6"/>
      <c r="M56" s="2" t="s">
        <v>749</v>
      </c>
      <c r="N56" s="51">
        <v>44</v>
      </c>
      <c r="O56" s="2"/>
      <c r="P56" s="52"/>
      <c r="Q56" s="52"/>
      <c r="R56" s="52">
        <v>5002</v>
      </c>
      <c r="S56" s="2">
        <v>0.4</v>
      </c>
      <c r="T56" s="2"/>
      <c r="U56" s="2"/>
      <c r="V56" s="6"/>
      <c r="W56" s="2"/>
      <c r="X56" s="2" t="s">
        <v>773</v>
      </c>
      <c r="Y56" s="2"/>
      <c r="Z56" s="155" t="s">
        <v>795</v>
      </c>
      <c r="AA56" s="158"/>
      <c r="AB56" s="158"/>
      <c r="AC56" s="158"/>
      <c r="AD56" s="154"/>
      <c r="AE56" s="57"/>
      <c r="AF56" s="57"/>
      <c r="AG56" s="57"/>
      <c r="AH56" s="47"/>
      <c r="AI56" s="57"/>
    </row>
    <row r="57" spans="1:35" ht="15.75" customHeight="1">
      <c r="A57" s="2">
        <v>310012</v>
      </c>
      <c r="B57" s="4" t="s">
        <v>467</v>
      </c>
      <c r="C57" s="6">
        <v>-1</v>
      </c>
      <c r="D57" s="6"/>
      <c r="E57" s="6"/>
      <c r="F57" s="6">
        <v>1</v>
      </c>
      <c r="G57" s="55"/>
      <c r="H57" s="55">
        <v>4.8</v>
      </c>
      <c r="I57" s="6"/>
      <c r="J57" s="6"/>
      <c r="K57" s="6">
        <v>7</v>
      </c>
      <c r="L57" s="6"/>
      <c r="M57" s="2" t="s">
        <v>766</v>
      </c>
      <c r="N57" s="51">
        <v>48</v>
      </c>
      <c r="O57" s="2">
        <v>150</v>
      </c>
      <c r="P57" s="52"/>
      <c r="Q57" s="52"/>
      <c r="R57" s="52"/>
      <c r="S57" s="2"/>
      <c r="T57" s="2"/>
      <c r="U57" s="2"/>
      <c r="V57" s="6"/>
      <c r="W57" s="2"/>
      <c r="X57" s="2" t="s">
        <v>766</v>
      </c>
      <c r="Y57" s="2"/>
      <c r="Z57" s="155" t="s">
        <v>796</v>
      </c>
      <c r="AA57" s="158"/>
      <c r="AB57" s="158"/>
      <c r="AC57" s="158"/>
      <c r="AD57" s="154"/>
      <c r="AE57" s="57"/>
      <c r="AF57" s="57"/>
      <c r="AG57" s="57"/>
      <c r="AH57" s="47"/>
      <c r="AI57" s="47"/>
    </row>
    <row r="58" spans="1:35" ht="15.75" customHeight="1">
      <c r="A58" s="2">
        <v>310013</v>
      </c>
      <c r="B58" s="4" t="s">
        <v>496</v>
      </c>
      <c r="C58" s="6">
        <v>1</v>
      </c>
      <c r="D58" s="6"/>
      <c r="E58" s="6"/>
      <c r="F58" s="6">
        <v>1</v>
      </c>
      <c r="G58" s="55">
        <v>3.8</v>
      </c>
      <c r="H58" s="55"/>
      <c r="I58" s="6"/>
      <c r="J58" s="6"/>
      <c r="K58" s="6">
        <v>9</v>
      </c>
      <c r="L58" s="6"/>
      <c r="M58" s="2" t="s">
        <v>749</v>
      </c>
      <c r="N58" s="51">
        <v>38</v>
      </c>
      <c r="O58" s="2"/>
      <c r="P58" s="52"/>
      <c r="Q58" s="52"/>
      <c r="R58" s="52">
        <v>3006</v>
      </c>
      <c r="S58" s="2"/>
      <c r="T58" s="2"/>
      <c r="U58" s="2"/>
      <c r="V58" s="6"/>
      <c r="W58" s="2"/>
      <c r="X58" s="2" t="s">
        <v>773</v>
      </c>
      <c r="Y58" s="2"/>
      <c r="Z58" s="155" t="s">
        <v>797</v>
      </c>
      <c r="AA58" s="158"/>
      <c r="AB58" s="158"/>
      <c r="AC58" s="158"/>
      <c r="AD58" s="154"/>
      <c r="AE58" s="57"/>
      <c r="AF58" s="57"/>
      <c r="AG58" s="57"/>
      <c r="AH58" s="47"/>
      <c r="AI58" s="47"/>
    </row>
    <row r="59" spans="1:35" ht="15.75" customHeight="1">
      <c r="A59" s="2">
        <v>310014</v>
      </c>
      <c r="B59" s="4" t="s">
        <v>505</v>
      </c>
      <c r="C59" s="6">
        <v>3</v>
      </c>
      <c r="D59" s="6">
        <v>1</v>
      </c>
      <c r="E59" s="6"/>
      <c r="F59" s="6">
        <v>1</v>
      </c>
      <c r="G59" s="55">
        <v>1.3</v>
      </c>
      <c r="H59" s="55"/>
      <c r="I59" s="6"/>
      <c r="J59" s="6"/>
      <c r="K59" s="6">
        <v>8</v>
      </c>
      <c r="L59" s="6"/>
      <c r="M59" s="2" t="s">
        <v>749</v>
      </c>
      <c r="N59" s="51">
        <v>39</v>
      </c>
      <c r="O59" s="2"/>
      <c r="P59" s="52"/>
      <c r="Q59" s="52"/>
      <c r="R59" s="52">
        <v>3005</v>
      </c>
      <c r="S59" s="2"/>
      <c r="T59" s="2"/>
      <c r="U59" s="2"/>
      <c r="V59" s="6"/>
      <c r="W59" s="2"/>
      <c r="X59" s="2" t="s">
        <v>750</v>
      </c>
      <c r="Y59" s="2"/>
      <c r="Z59" s="155" t="s">
        <v>798</v>
      </c>
      <c r="AA59" s="158"/>
      <c r="AB59" s="158"/>
      <c r="AC59" s="158"/>
      <c r="AD59" s="154"/>
      <c r="AE59" s="57"/>
      <c r="AF59" s="57"/>
      <c r="AG59" s="57"/>
      <c r="AH59" s="47"/>
      <c r="AI59" s="47"/>
    </row>
    <row r="60" spans="1:35" ht="15.75" customHeight="1">
      <c r="A60" s="2">
        <v>310015</v>
      </c>
      <c r="B60" s="4" t="s">
        <v>513</v>
      </c>
      <c r="C60" s="6">
        <v>2</v>
      </c>
      <c r="D60" s="6"/>
      <c r="E60" s="6"/>
      <c r="F60" s="6">
        <v>1</v>
      </c>
      <c r="G60" s="55"/>
      <c r="H60" s="55">
        <v>1.9</v>
      </c>
      <c r="I60" s="6"/>
      <c r="J60" s="6"/>
      <c r="K60" s="6">
        <v>9</v>
      </c>
      <c r="L60" s="6"/>
      <c r="M60" s="2" t="s">
        <v>756</v>
      </c>
      <c r="N60" s="51">
        <v>76</v>
      </c>
      <c r="O60" s="2"/>
      <c r="P60" s="52"/>
      <c r="Q60" s="52"/>
      <c r="R60" s="52">
        <v>5002</v>
      </c>
      <c r="S60" s="2">
        <v>0.3</v>
      </c>
      <c r="T60" s="2"/>
      <c r="U60" s="2"/>
      <c r="V60" s="6"/>
      <c r="W60" s="53" t="s">
        <v>757</v>
      </c>
      <c r="X60" s="53" t="s">
        <v>758</v>
      </c>
      <c r="Y60" s="2"/>
      <c r="Z60" s="155" t="s">
        <v>799</v>
      </c>
      <c r="AA60" s="158"/>
      <c r="AB60" s="158"/>
      <c r="AC60" s="158"/>
      <c r="AD60" s="154"/>
      <c r="AE60" s="57"/>
      <c r="AF60" s="57"/>
      <c r="AG60" s="57"/>
      <c r="AH60" s="47"/>
      <c r="AI60" s="47"/>
    </row>
    <row r="61" spans="1:35" ht="15.75" customHeight="1">
      <c r="A61" s="2">
        <f t="shared" ref="A61:A76" si="1">A60+1</f>
        <v>310016</v>
      </c>
      <c r="B61" s="4" t="s">
        <v>520</v>
      </c>
      <c r="C61" s="6">
        <v>2</v>
      </c>
      <c r="D61" s="6">
        <v>1</v>
      </c>
      <c r="E61" s="6"/>
      <c r="F61" s="6">
        <v>1</v>
      </c>
      <c r="G61" s="55"/>
      <c r="H61" s="55">
        <v>2</v>
      </c>
      <c r="I61" s="6"/>
      <c r="J61" s="6"/>
      <c r="K61" s="6">
        <v>7</v>
      </c>
      <c r="L61" s="6"/>
      <c r="M61" s="2" t="s">
        <v>756</v>
      </c>
      <c r="N61" s="51">
        <v>80</v>
      </c>
      <c r="O61" s="2"/>
      <c r="P61" s="52">
        <v>1007</v>
      </c>
      <c r="Q61" s="2">
        <v>0.4</v>
      </c>
      <c r="R61" s="52"/>
      <c r="S61" s="2"/>
      <c r="T61" s="2"/>
      <c r="U61" s="2"/>
      <c r="V61" s="6"/>
      <c r="W61" s="53" t="s">
        <v>757</v>
      </c>
      <c r="X61" s="53" t="s">
        <v>758</v>
      </c>
      <c r="Y61" s="2"/>
      <c r="Z61" s="155" t="s">
        <v>800</v>
      </c>
      <c r="AA61" s="158"/>
      <c r="AB61" s="158"/>
      <c r="AC61" s="158"/>
      <c r="AD61" s="154"/>
      <c r="AE61" s="57"/>
      <c r="AF61" s="57"/>
      <c r="AG61" s="57"/>
      <c r="AH61" s="47"/>
      <c r="AI61" s="47"/>
    </row>
    <row r="62" spans="1:35" ht="15.75" customHeight="1">
      <c r="A62" s="2">
        <f t="shared" si="1"/>
        <v>310017</v>
      </c>
      <c r="B62" s="4" t="s">
        <v>528</v>
      </c>
      <c r="C62" s="6">
        <v>-2</v>
      </c>
      <c r="D62" s="6"/>
      <c r="E62" s="6"/>
      <c r="F62" s="6">
        <v>1</v>
      </c>
      <c r="G62" s="55"/>
      <c r="H62" s="55">
        <v>1.9</v>
      </c>
      <c r="I62" s="6"/>
      <c r="J62" s="6"/>
      <c r="K62" s="6">
        <v>8</v>
      </c>
      <c r="L62" s="6"/>
      <c r="M62" s="2" t="s">
        <v>766</v>
      </c>
      <c r="N62" s="51">
        <v>37</v>
      </c>
      <c r="O62" s="2"/>
      <c r="P62" s="52"/>
      <c r="Q62" s="52"/>
      <c r="R62" s="52">
        <v>1997</v>
      </c>
      <c r="S62" s="2"/>
      <c r="T62" s="2"/>
      <c r="U62" s="2"/>
      <c r="V62" s="6"/>
      <c r="W62" s="2"/>
      <c r="X62" s="2" t="s">
        <v>766</v>
      </c>
      <c r="Y62" s="2"/>
      <c r="Z62" s="156" t="s">
        <v>801</v>
      </c>
      <c r="AA62" s="157"/>
      <c r="AB62" s="157"/>
      <c r="AC62" s="157"/>
      <c r="AD62" s="157"/>
      <c r="AE62" s="57"/>
      <c r="AF62" s="57"/>
      <c r="AG62" s="57"/>
      <c r="AH62" s="47"/>
      <c r="AI62" s="47"/>
    </row>
    <row r="63" spans="1:35" ht="15.75" customHeight="1">
      <c r="A63" s="2">
        <f t="shared" si="1"/>
        <v>310018</v>
      </c>
      <c r="B63" s="4" t="s">
        <v>534</v>
      </c>
      <c r="C63" s="6">
        <v>2</v>
      </c>
      <c r="D63" s="6">
        <v>1</v>
      </c>
      <c r="E63" s="6"/>
      <c r="F63" s="6">
        <v>1</v>
      </c>
      <c r="G63" s="55"/>
      <c r="H63" s="55">
        <v>2</v>
      </c>
      <c r="I63" s="6"/>
      <c r="J63" s="6"/>
      <c r="K63" s="6">
        <v>7</v>
      </c>
      <c r="L63" s="6"/>
      <c r="M63" s="2" t="s">
        <v>756</v>
      </c>
      <c r="N63" s="51">
        <v>76</v>
      </c>
      <c r="O63" s="2"/>
      <c r="P63" s="52"/>
      <c r="Q63" s="52"/>
      <c r="R63" s="52">
        <v>4001</v>
      </c>
      <c r="S63" s="2">
        <v>0.3</v>
      </c>
      <c r="T63" s="2"/>
      <c r="U63" s="2"/>
      <c r="V63" s="6"/>
      <c r="W63" s="53" t="s">
        <v>757</v>
      </c>
      <c r="X63" s="53" t="s">
        <v>758</v>
      </c>
      <c r="Y63" s="2"/>
      <c r="Z63" s="155" t="s">
        <v>802</v>
      </c>
      <c r="AA63" s="158"/>
      <c r="AB63" s="158"/>
      <c r="AC63" s="158"/>
      <c r="AD63" s="154"/>
      <c r="AE63" s="57"/>
      <c r="AF63" s="57"/>
      <c r="AG63" s="57"/>
      <c r="AH63" s="47"/>
      <c r="AI63" s="47"/>
    </row>
    <row r="64" spans="1:35" ht="15.75" customHeight="1">
      <c r="A64" s="2">
        <f t="shared" si="1"/>
        <v>310019</v>
      </c>
      <c r="B64" s="4" t="s">
        <v>540</v>
      </c>
      <c r="C64" s="6">
        <v>2</v>
      </c>
      <c r="D64" s="6"/>
      <c r="E64" s="6"/>
      <c r="F64" s="6">
        <v>1</v>
      </c>
      <c r="G64" s="55"/>
      <c r="H64" s="55">
        <v>1.9</v>
      </c>
      <c r="I64" s="6"/>
      <c r="J64" s="6"/>
      <c r="K64" s="6">
        <v>9</v>
      </c>
      <c r="L64" s="6"/>
      <c r="M64" s="2" t="s">
        <v>756</v>
      </c>
      <c r="N64" s="51">
        <v>69</v>
      </c>
      <c r="O64" s="2"/>
      <c r="P64" s="52"/>
      <c r="Q64" s="52"/>
      <c r="R64" s="52">
        <v>5001</v>
      </c>
      <c r="S64" s="2">
        <v>0.3</v>
      </c>
      <c r="T64" s="2"/>
      <c r="U64" s="2"/>
      <c r="V64" s="6"/>
      <c r="W64" s="53" t="s">
        <v>757</v>
      </c>
      <c r="X64" s="53" t="s">
        <v>758</v>
      </c>
      <c r="Y64" s="2"/>
      <c r="Z64" s="155" t="s">
        <v>803</v>
      </c>
      <c r="AA64" s="158"/>
      <c r="AB64" s="158"/>
      <c r="AC64" s="158"/>
      <c r="AD64" s="154"/>
      <c r="AE64" s="57"/>
      <c r="AF64" s="57"/>
      <c r="AG64" s="57"/>
      <c r="AH64" s="47"/>
      <c r="AI64" s="47"/>
    </row>
    <row r="65" spans="1:35" ht="15.75" customHeight="1">
      <c r="A65" s="2">
        <f t="shared" si="1"/>
        <v>310020</v>
      </c>
      <c r="B65" s="4" t="s">
        <v>546</v>
      </c>
      <c r="C65" s="6">
        <v>3</v>
      </c>
      <c r="D65" s="6">
        <v>1</v>
      </c>
      <c r="E65" s="6"/>
      <c r="F65" s="6">
        <v>1</v>
      </c>
      <c r="G65" s="55"/>
      <c r="H65" s="55">
        <v>0.02</v>
      </c>
      <c r="I65" s="6"/>
      <c r="J65" s="6"/>
      <c r="K65" s="6">
        <v>11</v>
      </c>
      <c r="L65" s="6"/>
      <c r="M65" s="2" t="s">
        <v>756</v>
      </c>
      <c r="N65" s="51">
        <v>59</v>
      </c>
      <c r="O65" s="2"/>
      <c r="P65" s="52"/>
      <c r="Q65" s="52"/>
      <c r="R65" s="52"/>
      <c r="S65" s="2"/>
      <c r="T65" s="2"/>
      <c r="U65" s="2"/>
      <c r="V65" s="6"/>
      <c r="W65" s="53" t="s">
        <v>757</v>
      </c>
      <c r="X65" s="2" t="s">
        <v>804</v>
      </c>
      <c r="Y65" s="2"/>
      <c r="Z65" s="155" t="s">
        <v>805</v>
      </c>
      <c r="AA65" s="158"/>
      <c r="AB65" s="158"/>
      <c r="AC65" s="158"/>
      <c r="AD65" s="154"/>
      <c r="AE65" s="57"/>
      <c r="AF65" s="57"/>
      <c r="AG65" s="57"/>
      <c r="AH65" s="47"/>
      <c r="AI65" s="47"/>
    </row>
    <row r="66" spans="1:35" ht="15.75" customHeight="1">
      <c r="A66" s="2">
        <f t="shared" si="1"/>
        <v>310021</v>
      </c>
      <c r="B66" s="4" t="s">
        <v>554</v>
      </c>
      <c r="C66" s="6">
        <v>2</v>
      </c>
      <c r="D66" s="6">
        <v>1</v>
      </c>
      <c r="E66" s="6"/>
      <c r="F66" s="6">
        <v>1</v>
      </c>
      <c r="G66" s="55">
        <v>2</v>
      </c>
      <c r="H66" s="55"/>
      <c r="I66" s="6"/>
      <c r="J66" s="6"/>
      <c r="K66" s="6">
        <v>10</v>
      </c>
      <c r="L66" s="6"/>
      <c r="M66" s="2" t="s">
        <v>749</v>
      </c>
      <c r="N66" s="51">
        <v>39</v>
      </c>
      <c r="O66" s="2"/>
      <c r="P66" s="52"/>
      <c r="Q66" s="52"/>
      <c r="R66" s="58" t="s">
        <v>806</v>
      </c>
      <c r="S66" s="2">
        <v>0.6</v>
      </c>
      <c r="T66" s="2"/>
      <c r="U66" s="2"/>
      <c r="V66" s="6"/>
      <c r="W66" s="2"/>
      <c r="X66" s="2" t="s">
        <v>750</v>
      </c>
      <c r="Y66" s="2"/>
      <c r="Z66" s="155" t="s">
        <v>807</v>
      </c>
      <c r="AA66" s="158"/>
      <c r="AB66" s="158"/>
      <c r="AC66" s="158"/>
      <c r="AD66" s="154"/>
      <c r="AE66" s="57"/>
      <c r="AF66" s="57"/>
      <c r="AG66" s="57"/>
      <c r="AH66" s="47"/>
      <c r="AI66" s="47"/>
    </row>
    <row r="67" spans="1:35" ht="15.75" customHeight="1">
      <c r="A67" s="2">
        <f t="shared" si="1"/>
        <v>310022</v>
      </c>
      <c r="B67" s="4" t="s">
        <v>571</v>
      </c>
      <c r="C67" s="6">
        <v>1</v>
      </c>
      <c r="D67" s="6"/>
      <c r="E67" s="6"/>
      <c r="F67" s="6">
        <v>1</v>
      </c>
      <c r="G67" s="55">
        <v>3</v>
      </c>
      <c r="H67" s="55"/>
      <c r="I67" s="6"/>
      <c r="J67" s="6"/>
      <c r="K67" s="6">
        <v>9</v>
      </c>
      <c r="L67" s="6"/>
      <c r="M67" s="2" t="s">
        <v>749</v>
      </c>
      <c r="N67" s="51">
        <v>22</v>
      </c>
      <c r="O67" s="2"/>
      <c r="P67" s="52"/>
      <c r="Q67" s="52"/>
      <c r="R67" s="52">
        <v>1006</v>
      </c>
      <c r="S67" s="2">
        <v>0.5</v>
      </c>
      <c r="T67" s="2"/>
      <c r="U67" s="2"/>
      <c r="V67" s="6"/>
      <c r="W67" s="2"/>
      <c r="X67" s="2" t="s">
        <v>750</v>
      </c>
      <c r="Y67" s="2"/>
      <c r="Z67" s="155" t="s">
        <v>808</v>
      </c>
      <c r="AA67" s="158"/>
      <c r="AB67" s="158"/>
      <c r="AC67" s="158"/>
      <c r="AD67" s="154"/>
      <c r="AE67" s="57"/>
      <c r="AF67" s="57"/>
      <c r="AG67" s="57"/>
      <c r="AH67" s="47"/>
      <c r="AI67" s="47"/>
    </row>
    <row r="68" spans="1:35" ht="15.75" customHeight="1">
      <c r="A68" s="2">
        <f t="shared" si="1"/>
        <v>310023</v>
      </c>
      <c r="B68" s="4" t="s">
        <v>578</v>
      </c>
      <c r="C68" s="6">
        <v>5</v>
      </c>
      <c r="D68" s="6"/>
      <c r="E68" s="6"/>
      <c r="F68" s="6">
        <v>1</v>
      </c>
      <c r="G68" s="55">
        <v>0.6</v>
      </c>
      <c r="H68" s="55"/>
      <c r="I68" s="6"/>
      <c r="J68" s="6"/>
      <c r="K68" s="6">
        <v>12</v>
      </c>
      <c r="L68" s="6"/>
      <c r="M68" s="2" t="s">
        <v>749</v>
      </c>
      <c r="N68" s="51">
        <v>27</v>
      </c>
      <c r="O68" s="2"/>
      <c r="P68" s="52"/>
      <c r="Q68" s="52"/>
      <c r="R68" s="52">
        <v>4004</v>
      </c>
      <c r="S68" s="2">
        <v>0.35</v>
      </c>
      <c r="T68" s="2"/>
      <c r="U68" s="2"/>
      <c r="V68" s="6"/>
      <c r="X68" s="2" t="s">
        <v>773</v>
      </c>
      <c r="Y68" s="2"/>
      <c r="Z68" s="155" t="s">
        <v>809</v>
      </c>
      <c r="AA68" s="158"/>
      <c r="AB68" s="158"/>
      <c r="AC68" s="158"/>
      <c r="AD68" s="154"/>
      <c r="AE68" s="57"/>
      <c r="AF68" s="57"/>
      <c r="AG68" s="57"/>
      <c r="AH68" s="47"/>
      <c r="AI68" s="47"/>
    </row>
    <row r="69" spans="1:35" ht="15.75" customHeight="1">
      <c r="A69" s="2">
        <f t="shared" si="1"/>
        <v>310024</v>
      </c>
      <c r="B69" s="4" t="s">
        <v>585</v>
      </c>
      <c r="C69" s="6">
        <v>2</v>
      </c>
      <c r="D69" s="6"/>
      <c r="E69" s="6"/>
      <c r="F69" s="6">
        <v>1</v>
      </c>
      <c r="G69" s="55"/>
      <c r="H69" s="55">
        <v>1.55</v>
      </c>
      <c r="I69" s="6"/>
      <c r="J69" s="6"/>
      <c r="K69" s="6">
        <v>8</v>
      </c>
      <c r="L69" s="6"/>
      <c r="M69" s="2" t="s">
        <v>756</v>
      </c>
      <c r="N69" s="51">
        <v>62</v>
      </c>
      <c r="O69" s="2"/>
      <c r="P69" s="52"/>
      <c r="Q69" s="52"/>
      <c r="R69" s="52">
        <v>4002</v>
      </c>
      <c r="S69" s="2">
        <v>0.25</v>
      </c>
      <c r="T69" s="2"/>
      <c r="U69" s="2"/>
      <c r="V69" s="6"/>
      <c r="W69" s="53" t="s">
        <v>757</v>
      </c>
      <c r="X69" s="53" t="s">
        <v>758</v>
      </c>
      <c r="Y69" s="2"/>
      <c r="Z69" s="155" t="s">
        <v>810</v>
      </c>
      <c r="AA69" s="158"/>
      <c r="AB69" s="158"/>
      <c r="AC69" s="158"/>
      <c r="AD69" s="154"/>
      <c r="AE69" s="57"/>
      <c r="AF69" s="57"/>
      <c r="AG69" s="57"/>
      <c r="AH69" s="47"/>
      <c r="AI69" s="47"/>
    </row>
    <row r="70" spans="1:35" ht="15.75" customHeight="1">
      <c r="A70" s="2">
        <f t="shared" si="1"/>
        <v>310025</v>
      </c>
      <c r="B70" s="4" t="s">
        <v>591</v>
      </c>
      <c r="C70" s="6">
        <v>-2</v>
      </c>
      <c r="D70" s="6"/>
      <c r="E70" s="6"/>
      <c r="F70" s="6">
        <v>1</v>
      </c>
      <c r="G70" s="55"/>
      <c r="H70" s="55">
        <v>1.55</v>
      </c>
      <c r="I70" s="6"/>
      <c r="J70" s="6"/>
      <c r="K70" s="6">
        <v>8</v>
      </c>
      <c r="L70" s="6"/>
      <c r="M70" s="2" t="s">
        <v>766</v>
      </c>
      <c r="N70" s="51">
        <v>31</v>
      </c>
      <c r="O70" s="2"/>
      <c r="P70" s="52"/>
      <c r="Q70" s="52"/>
      <c r="R70" s="52"/>
      <c r="S70" s="2"/>
      <c r="T70" s="2"/>
      <c r="U70" s="2"/>
      <c r="V70" s="6"/>
      <c r="W70" s="2"/>
      <c r="X70" s="2" t="s">
        <v>766</v>
      </c>
      <c r="Y70" s="2"/>
      <c r="Z70" s="155" t="s">
        <v>323</v>
      </c>
      <c r="AA70" s="158"/>
      <c r="AB70" s="158"/>
      <c r="AC70" s="158"/>
      <c r="AD70" s="154"/>
      <c r="AE70" s="57"/>
      <c r="AF70" s="57"/>
      <c r="AG70" s="57"/>
      <c r="AH70" s="47"/>
      <c r="AI70" s="47"/>
    </row>
    <row r="71" spans="1:35" ht="15.75" customHeight="1">
      <c r="A71" s="2">
        <f t="shared" si="1"/>
        <v>310026</v>
      </c>
      <c r="B71" s="4" t="s">
        <v>597</v>
      </c>
      <c r="C71" s="6">
        <v>-5</v>
      </c>
      <c r="D71" s="6"/>
      <c r="E71" s="6"/>
      <c r="F71" s="6">
        <v>1</v>
      </c>
      <c r="G71" s="55"/>
      <c r="H71" s="55"/>
      <c r="I71" s="6"/>
      <c r="J71" s="6"/>
      <c r="K71" s="6">
        <v>10</v>
      </c>
      <c r="L71" s="6"/>
      <c r="M71" s="2"/>
      <c r="N71" s="51">
        <v>32</v>
      </c>
      <c r="O71" s="2"/>
      <c r="P71" s="52"/>
      <c r="Q71" s="52"/>
      <c r="R71" s="52" t="s">
        <v>811</v>
      </c>
      <c r="S71" s="2"/>
      <c r="T71" s="2"/>
      <c r="U71" s="2"/>
      <c r="V71" s="6"/>
      <c r="W71" s="2"/>
      <c r="X71" s="2" t="s">
        <v>767</v>
      </c>
      <c r="Y71" s="2"/>
      <c r="Z71" s="155" t="s">
        <v>598</v>
      </c>
      <c r="AA71" s="158"/>
      <c r="AB71" s="158"/>
      <c r="AC71" s="158"/>
      <c r="AD71" s="154"/>
      <c r="AE71" s="57"/>
      <c r="AF71" s="57"/>
      <c r="AG71" s="57"/>
      <c r="AH71" s="47"/>
      <c r="AI71" s="47"/>
    </row>
    <row r="72" spans="1:35" ht="15.75" customHeight="1">
      <c r="A72" s="2">
        <f t="shared" si="1"/>
        <v>310027</v>
      </c>
      <c r="B72" s="4" t="s">
        <v>603</v>
      </c>
      <c r="C72" s="6">
        <v>1</v>
      </c>
      <c r="D72" s="6"/>
      <c r="E72" s="6"/>
      <c r="F72" s="6">
        <v>1</v>
      </c>
      <c r="G72" s="55">
        <v>3</v>
      </c>
      <c r="H72" s="55"/>
      <c r="I72" s="6"/>
      <c r="J72" s="6"/>
      <c r="K72" s="6">
        <v>8</v>
      </c>
      <c r="L72" s="6"/>
      <c r="M72" s="2" t="s">
        <v>749</v>
      </c>
      <c r="N72" s="51">
        <v>27</v>
      </c>
      <c r="O72" s="2"/>
      <c r="P72" s="52">
        <v>1005</v>
      </c>
      <c r="Q72" s="52">
        <v>0.4</v>
      </c>
      <c r="R72" s="52"/>
      <c r="S72" s="2"/>
      <c r="T72" s="2"/>
      <c r="U72" s="2"/>
      <c r="V72" s="6"/>
      <c r="W72" s="2"/>
      <c r="X72" s="2" t="s">
        <v>750</v>
      </c>
      <c r="Y72" s="2"/>
      <c r="Z72" s="155" t="s">
        <v>812</v>
      </c>
      <c r="AA72" s="158"/>
      <c r="AB72" s="158"/>
      <c r="AC72" s="158"/>
      <c r="AD72" s="154"/>
      <c r="AE72" s="57"/>
      <c r="AF72" s="57"/>
      <c r="AG72" s="57"/>
      <c r="AH72" s="47"/>
      <c r="AI72" s="47"/>
    </row>
    <row r="73" spans="1:35" ht="15.75" customHeight="1">
      <c r="A73" s="2">
        <f t="shared" si="1"/>
        <v>310028</v>
      </c>
      <c r="B73" s="4" t="s">
        <v>610</v>
      </c>
      <c r="C73" s="6">
        <v>-2</v>
      </c>
      <c r="D73" s="6"/>
      <c r="E73" s="6"/>
      <c r="F73" s="6">
        <v>1</v>
      </c>
      <c r="G73" s="55"/>
      <c r="H73" s="55"/>
      <c r="I73" s="6"/>
      <c r="J73" s="6"/>
      <c r="K73" s="6">
        <v>11</v>
      </c>
      <c r="L73" s="6"/>
      <c r="M73" s="2"/>
      <c r="N73" s="51">
        <v>38</v>
      </c>
      <c r="O73" s="2">
        <v>80</v>
      </c>
      <c r="P73" s="52"/>
      <c r="Q73" s="52"/>
      <c r="R73" s="52"/>
      <c r="S73" s="2"/>
      <c r="T73" s="2"/>
      <c r="U73" s="2"/>
      <c r="V73" s="6"/>
      <c r="W73" s="2"/>
      <c r="X73" s="2" t="s">
        <v>804</v>
      </c>
      <c r="Y73" s="2"/>
      <c r="Z73" s="155" t="s">
        <v>611</v>
      </c>
      <c r="AA73" s="158"/>
      <c r="AB73" s="158"/>
      <c r="AC73" s="158"/>
      <c r="AD73" s="154"/>
      <c r="AE73" s="57"/>
      <c r="AF73" s="57"/>
      <c r="AG73" s="57"/>
      <c r="AH73" s="47"/>
      <c r="AI73" s="47"/>
    </row>
    <row r="74" spans="1:35" ht="15.75" customHeight="1">
      <c r="A74" s="2">
        <f t="shared" si="1"/>
        <v>310029</v>
      </c>
      <c r="B74" s="4" t="s">
        <v>615</v>
      </c>
      <c r="C74" s="6">
        <v>1</v>
      </c>
      <c r="D74" s="6">
        <v>1</v>
      </c>
      <c r="E74" s="6"/>
      <c r="F74" s="6">
        <v>1</v>
      </c>
      <c r="G74" s="55">
        <v>3.15</v>
      </c>
      <c r="H74" s="55"/>
      <c r="I74" s="6"/>
      <c r="J74" s="6"/>
      <c r="K74" s="6">
        <v>8</v>
      </c>
      <c r="L74" s="6"/>
      <c r="M74" s="2" t="s">
        <v>749</v>
      </c>
      <c r="N74" s="51">
        <v>30</v>
      </c>
      <c r="O74" s="2"/>
      <c r="P74" s="52"/>
      <c r="Q74" s="52"/>
      <c r="R74" s="52"/>
      <c r="S74" s="2"/>
      <c r="T74" s="2"/>
      <c r="U74" s="2"/>
      <c r="V74" s="6"/>
      <c r="W74" s="2"/>
      <c r="X74" s="2" t="s">
        <v>750</v>
      </c>
      <c r="Y74" s="2"/>
      <c r="Z74" s="155" t="s">
        <v>813</v>
      </c>
      <c r="AA74" s="158"/>
      <c r="AB74" s="158"/>
      <c r="AC74" s="158"/>
      <c r="AD74" s="154"/>
      <c r="AE74" s="57"/>
      <c r="AF74" s="57"/>
      <c r="AG74" s="57"/>
      <c r="AH74" s="47"/>
      <c r="AI74" s="47"/>
    </row>
    <row r="75" spans="1:35" ht="15.75" customHeight="1">
      <c r="A75" s="2">
        <f t="shared" si="1"/>
        <v>310030</v>
      </c>
      <c r="B75" s="4" t="s">
        <v>622</v>
      </c>
      <c r="C75" s="6">
        <v>-2</v>
      </c>
      <c r="D75" s="6">
        <v>1</v>
      </c>
      <c r="E75" s="6"/>
      <c r="F75" s="6">
        <v>1</v>
      </c>
      <c r="G75" s="55"/>
      <c r="H75" s="55">
        <v>1.55</v>
      </c>
      <c r="I75" s="6"/>
      <c r="J75" s="6"/>
      <c r="K75" s="6">
        <v>9</v>
      </c>
      <c r="L75" s="6"/>
      <c r="M75" s="2" t="s">
        <v>766</v>
      </c>
      <c r="N75" s="51">
        <v>32</v>
      </c>
      <c r="O75" s="2"/>
      <c r="P75" s="52"/>
      <c r="Q75" s="52"/>
      <c r="R75" s="52">
        <v>1004</v>
      </c>
      <c r="S75" s="2">
        <v>0.4</v>
      </c>
      <c r="T75" s="2"/>
      <c r="U75" s="2"/>
      <c r="V75" s="6"/>
      <c r="W75" s="2"/>
      <c r="X75" s="53" t="s">
        <v>814</v>
      </c>
      <c r="Y75" s="2"/>
      <c r="Z75" s="155" t="s">
        <v>815</v>
      </c>
      <c r="AA75" s="158"/>
      <c r="AB75" s="158"/>
      <c r="AC75" s="158"/>
      <c r="AD75" s="154"/>
      <c r="AE75" s="57"/>
      <c r="AF75" s="57"/>
      <c r="AG75" s="57"/>
      <c r="AH75" s="47"/>
      <c r="AI75" s="47"/>
    </row>
    <row r="76" spans="1:35" ht="15.75" customHeight="1">
      <c r="A76" s="2">
        <f t="shared" si="1"/>
        <v>310031</v>
      </c>
      <c r="B76" s="4" t="s">
        <v>629</v>
      </c>
      <c r="C76" s="6">
        <v>-1</v>
      </c>
      <c r="D76" s="6"/>
      <c r="E76" s="6"/>
      <c r="F76" s="6">
        <v>1</v>
      </c>
      <c r="G76" s="55"/>
      <c r="H76" s="55"/>
      <c r="I76" s="6"/>
      <c r="J76" s="6"/>
      <c r="K76" s="6">
        <v>10</v>
      </c>
      <c r="L76" s="6"/>
      <c r="M76" s="2"/>
      <c r="N76" s="51">
        <v>29</v>
      </c>
      <c r="O76" s="2"/>
      <c r="P76" s="52">
        <v>3003</v>
      </c>
      <c r="Q76" s="52">
        <v>0.25</v>
      </c>
      <c r="R76" s="52"/>
      <c r="S76" s="2"/>
      <c r="T76" s="2"/>
      <c r="U76" s="2"/>
      <c r="V76" s="6"/>
      <c r="W76" s="2"/>
      <c r="X76" s="2" t="s">
        <v>767</v>
      </c>
      <c r="Y76" s="2"/>
      <c r="Z76" s="160" t="s">
        <v>816</v>
      </c>
      <c r="AA76" s="158"/>
      <c r="AB76" s="158"/>
      <c r="AC76" s="158"/>
      <c r="AD76" s="154"/>
      <c r="AE76" s="57"/>
      <c r="AF76" s="57"/>
      <c r="AG76" s="57"/>
      <c r="AH76" s="47"/>
      <c r="AI76" s="47"/>
    </row>
    <row r="77" spans="1:35" ht="14.25" customHeight="1">
      <c r="A77" s="2"/>
      <c r="B77" s="7"/>
      <c r="C77" s="45"/>
      <c r="D77" s="45"/>
      <c r="E77" s="45"/>
      <c r="F77" s="45"/>
      <c r="G77" s="45"/>
      <c r="H77" s="45"/>
      <c r="I77" s="45"/>
      <c r="J77" s="45"/>
      <c r="K77" s="45"/>
      <c r="L77" s="45"/>
      <c r="N77" s="46"/>
      <c r="P77" s="47"/>
      <c r="Q77" s="47"/>
      <c r="R77" s="47"/>
      <c r="V77" s="45"/>
      <c r="AG77" s="47"/>
      <c r="AH77" s="47"/>
      <c r="AI77" s="47"/>
    </row>
    <row r="78" spans="1:35" ht="14.25" customHeight="1">
      <c r="A78" s="23" t="s">
        <v>722</v>
      </c>
      <c r="B78" s="5" t="s">
        <v>723</v>
      </c>
      <c r="C78" s="48" t="s">
        <v>724</v>
      </c>
      <c r="D78" s="48" t="s">
        <v>725</v>
      </c>
      <c r="E78" s="48" t="s">
        <v>726</v>
      </c>
      <c r="F78" s="48" t="s">
        <v>782</v>
      </c>
      <c r="G78" s="40" t="s">
        <v>728</v>
      </c>
      <c r="H78" s="40" t="s">
        <v>729</v>
      </c>
      <c r="I78" s="40" t="s">
        <v>691</v>
      </c>
      <c r="J78" s="40" t="s">
        <v>730</v>
      </c>
      <c r="K78" s="40" t="s">
        <v>731</v>
      </c>
      <c r="L78" s="40" t="s">
        <v>732</v>
      </c>
      <c r="M78" s="23" t="s">
        <v>733</v>
      </c>
      <c r="N78" s="49" t="s">
        <v>734</v>
      </c>
      <c r="O78" s="23" t="s">
        <v>735</v>
      </c>
      <c r="P78" s="50" t="s">
        <v>736</v>
      </c>
      <c r="Q78" s="50" t="s">
        <v>737</v>
      </c>
      <c r="R78" s="40" t="s">
        <v>738</v>
      </c>
      <c r="S78" s="40" t="s">
        <v>739</v>
      </c>
      <c r="T78" s="23" t="s">
        <v>740</v>
      </c>
      <c r="U78" s="50" t="s">
        <v>741</v>
      </c>
      <c r="V78" s="6" t="s">
        <v>742</v>
      </c>
      <c r="W78" s="23" t="s">
        <v>743</v>
      </c>
      <c r="X78" s="23" t="s">
        <v>744</v>
      </c>
      <c r="Y78" s="23" t="s">
        <v>745</v>
      </c>
      <c r="Z78" s="153" t="s">
        <v>746</v>
      </c>
      <c r="AA78" s="158"/>
      <c r="AB78" s="158"/>
      <c r="AC78" s="158"/>
      <c r="AD78" s="154"/>
      <c r="AG78" s="47"/>
      <c r="AH78" s="47"/>
      <c r="AI78" s="47"/>
    </row>
    <row r="79" spans="1:35" ht="14.25" customHeight="1">
      <c r="A79" s="2">
        <v>890001</v>
      </c>
      <c r="B79" s="4" t="s">
        <v>83</v>
      </c>
      <c r="C79" s="6">
        <v>1</v>
      </c>
      <c r="D79" s="6"/>
      <c r="E79" s="6"/>
      <c r="F79" s="6"/>
      <c r="G79" s="6">
        <v>3</v>
      </c>
      <c r="H79" s="2"/>
      <c r="I79" s="6"/>
      <c r="J79" s="6"/>
      <c r="K79" s="6"/>
      <c r="L79" s="6"/>
      <c r="M79" s="2" t="s">
        <v>749</v>
      </c>
      <c r="N79" s="51"/>
      <c r="O79" s="2"/>
      <c r="P79" s="52"/>
      <c r="Q79" s="52"/>
      <c r="R79" s="6">
        <v>5002</v>
      </c>
      <c r="S79" s="6">
        <v>0.5</v>
      </c>
      <c r="T79" s="2"/>
      <c r="U79" s="2"/>
      <c r="V79" s="6"/>
      <c r="W79" s="2"/>
      <c r="X79" s="2" t="s">
        <v>773</v>
      </c>
      <c r="Y79" s="2"/>
      <c r="Z79" s="155" t="s">
        <v>817</v>
      </c>
      <c r="AA79" s="158"/>
      <c r="AB79" s="158"/>
      <c r="AC79" s="158"/>
      <c r="AD79" s="154"/>
      <c r="AG79" s="47"/>
      <c r="AH79" s="47"/>
      <c r="AI79" s="47"/>
    </row>
    <row r="80" spans="1:35" ht="14.25" customHeight="1">
      <c r="A80" s="2">
        <v>890002</v>
      </c>
      <c r="B80" s="4" t="s">
        <v>818</v>
      </c>
      <c r="C80" s="6">
        <v>-2</v>
      </c>
      <c r="D80" s="6">
        <v>1</v>
      </c>
      <c r="E80" s="6"/>
      <c r="F80" s="6"/>
      <c r="G80" s="6">
        <v>3</v>
      </c>
      <c r="H80" s="2"/>
      <c r="I80" s="6"/>
      <c r="J80" s="6"/>
      <c r="K80" s="6"/>
      <c r="L80" s="6"/>
      <c r="M80" s="2" t="s">
        <v>768</v>
      </c>
      <c r="N80" s="51"/>
      <c r="O80" s="2"/>
      <c r="P80" s="52"/>
      <c r="Q80" s="52"/>
      <c r="R80" s="6">
        <v>1999</v>
      </c>
      <c r="S80" s="6"/>
      <c r="T80" s="2"/>
      <c r="U80" s="2"/>
      <c r="V80" s="6"/>
      <c r="W80" s="2"/>
      <c r="X80" s="2" t="s">
        <v>790</v>
      </c>
      <c r="Y80" s="2"/>
      <c r="Z80" s="155" t="s">
        <v>819</v>
      </c>
      <c r="AA80" s="158"/>
      <c r="AB80" s="158"/>
      <c r="AC80" s="158"/>
      <c r="AD80" s="154"/>
      <c r="AG80" s="47"/>
      <c r="AH80" s="47"/>
      <c r="AI80" s="47"/>
    </row>
    <row r="81" spans="1:35" ht="14.25" customHeight="1">
      <c r="A81" s="2">
        <v>890003</v>
      </c>
      <c r="B81" s="4" t="s">
        <v>110</v>
      </c>
      <c r="C81" s="6">
        <v>2</v>
      </c>
      <c r="D81" s="6"/>
      <c r="E81" s="6"/>
      <c r="F81" s="6"/>
      <c r="G81" s="6">
        <v>1.65</v>
      </c>
      <c r="H81" s="2"/>
      <c r="I81" s="6"/>
      <c r="J81" s="6"/>
      <c r="K81" s="6"/>
      <c r="L81" s="6"/>
      <c r="M81" s="2" t="s">
        <v>749</v>
      </c>
      <c r="N81" s="51"/>
      <c r="O81" s="2"/>
      <c r="P81" s="52">
        <v>3003</v>
      </c>
      <c r="Q81" s="52"/>
      <c r="R81" s="6"/>
      <c r="S81" s="6"/>
      <c r="T81" s="2"/>
      <c r="U81" s="2"/>
      <c r="V81" s="6"/>
      <c r="W81" s="2"/>
      <c r="X81" s="2" t="s">
        <v>750</v>
      </c>
      <c r="Y81" s="2"/>
      <c r="Z81" s="155" t="s">
        <v>820</v>
      </c>
      <c r="AA81" s="158"/>
      <c r="AB81" s="158"/>
      <c r="AC81" s="158"/>
      <c r="AD81" s="154"/>
      <c r="AG81" s="47"/>
      <c r="AH81" s="47"/>
      <c r="AI81" s="47"/>
    </row>
    <row r="82" spans="1:35" ht="14.25" customHeight="1">
      <c r="A82" s="2">
        <v>890004</v>
      </c>
      <c r="B82" s="4" t="s">
        <v>125</v>
      </c>
      <c r="C82" s="6">
        <v>1</v>
      </c>
      <c r="D82" s="6"/>
      <c r="E82" s="6"/>
      <c r="F82" s="6"/>
      <c r="G82" s="6">
        <v>3.1</v>
      </c>
      <c r="H82" s="2"/>
      <c r="I82" s="6"/>
      <c r="J82" s="6"/>
      <c r="K82" s="6"/>
      <c r="L82" s="6"/>
      <c r="M82" s="2" t="s">
        <v>749</v>
      </c>
      <c r="N82" s="51"/>
      <c r="O82" s="2"/>
      <c r="P82" s="52"/>
      <c r="Q82" s="52"/>
      <c r="R82" s="6">
        <v>4004</v>
      </c>
      <c r="S82" s="6"/>
      <c r="T82" s="2"/>
      <c r="U82" s="2"/>
      <c r="V82" s="6"/>
      <c r="W82" s="2"/>
      <c r="X82" s="2" t="s">
        <v>773</v>
      </c>
      <c r="Y82" s="2"/>
      <c r="Z82" s="155" t="s">
        <v>821</v>
      </c>
      <c r="AA82" s="158"/>
      <c r="AB82" s="158"/>
      <c r="AC82" s="158"/>
      <c r="AD82" s="154"/>
      <c r="AG82" s="47"/>
      <c r="AH82" s="47"/>
      <c r="AI82" s="47"/>
    </row>
    <row r="83" spans="1:35" ht="14.25" customHeight="1">
      <c r="A83" s="2">
        <v>890005</v>
      </c>
      <c r="B83" s="4" t="s">
        <v>140</v>
      </c>
      <c r="C83" s="6">
        <v>5</v>
      </c>
      <c r="D83" s="6"/>
      <c r="E83" s="6"/>
      <c r="F83" s="6"/>
      <c r="G83" s="6"/>
      <c r="H83" s="2">
        <v>0.6</v>
      </c>
      <c r="I83" s="6"/>
      <c r="J83" s="6"/>
      <c r="K83" s="6"/>
      <c r="L83" s="6"/>
      <c r="M83" s="2" t="s">
        <v>756</v>
      </c>
      <c r="N83" s="51"/>
      <c r="O83" s="2"/>
      <c r="P83" s="52"/>
      <c r="Q83" s="52"/>
      <c r="R83" s="6">
        <v>4001</v>
      </c>
      <c r="S83" s="6"/>
      <c r="T83" s="2"/>
      <c r="U83" s="2"/>
      <c r="V83" s="6"/>
      <c r="W83" s="2" t="s">
        <v>764</v>
      </c>
      <c r="X83" s="2" t="s">
        <v>765</v>
      </c>
      <c r="Y83" s="2"/>
      <c r="Z83" s="155" t="s">
        <v>822</v>
      </c>
      <c r="AA83" s="158"/>
      <c r="AB83" s="158"/>
      <c r="AC83" s="158"/>
      <c r="AD83" s="154"/>
      <c r="AG83" s="47"/>
      <c r="AH83" s="47"/>
      <c r="AI83" s="47"/>
    </row>
    <row r="84" spans="1:35" ht="14.25" customHeight="1">
      <c r="A84" s="2">
        <v>890006</v>
      </c>
      <c r="B84" s="4" t="s">
        <v>823</v>
      </c>
      <c r="C84" s="6">
        <v>-2</v>
      </c>
      <c r="D84" s="6">
        <v>1</v>
      </c>
      <c r="E84" s="6"/>
      <c r="F84" s="6"/>
      <c r="G84" s="6"/>
      <c r="H84" s="2">
        <v>3</v>
      </c>
      <c r="I84" s="6"/>
      <c r="J84" s="6"/>
      <c r="K84" s="6"/>
      <c r="L84" s="6"/>
      <c r="M84" s="2" t="s">
        <v>766</v>
      </c>
      <c r="N84" s="51"/>
      <c r="O84" s="2"/>
      <c r="P84" s="52"/>
      <c r="Q84" s="52"/>
      <c r="R84" s="52"/>
      <c r="S84" s="2"/>
      <c r="T84" s="2"/>
      <c r="U84" s="2"/>
      <c r="V84" s="6"/>
      <c r="W84" s="2"/>
      <c r="X84" s="2" t="s">
        <v>766</v>
      </c>
      <c r="Y84" s="2"/>
      <c r="Z84" s="155" t="s">
        <v>824</v>
      </c>
      <c r="AA84" s="158"/>
      <c r="AB84" s="158"/>
      <c r="AC84" s="158"/>
      <c r="AD84" s="154"/>
      <c r="AG84" s="47"/>
      <c r="AH84" s="47"/>
      <c r="AI84" s="47"/>
    </row>
    <row r="85" spans="1:35" ht="14.25" customHeight="1">
      <c r="A85" s="2">
        <v>890007</v>
      </c>
      <c r="B85" s="4" t="s">
        <v>167</v>
      </c>
      <c r="C85" s="6">
        <v>3</v>
      </c>
      <c r="D85" s="6"/>
      <c r="E85" s="6"/>
      <c r="F85" s="6"/>
      <c r="G85" s="6"/>
      <c r="H85" s="6"/>
      <c r="I85" s="6"/>
      <c r="J85" s="6"/>
      <c r="K85" s="6"/>
      <c r="L85" s="6"/>
      <c r="M85" s="2" t="s">
        <v>749</v>
      </c>
      <c r="N85" s="51"/>
      <c r="O85" s="2"/>
      <c r="P85" s="52"/>
      <c r="Q85" s="52"/>
      <c r="R85" s="58" t="str">
        <f>"2002,2002"</f>
        <v>2002,2002</v>
      </c>
      <c r="S85" s="2"/>
      <c r="T85" s="2"/>
      <c r="U85" s="2"/>
      <c r="V85" s="6"/>
      <c r="W85" s="2"/>
      <c r="X85" s="2" t="s">
        <v>750</v>
      </c>
      <c r="Y85" s="2"/>
      <c r="Z85" s="155" t="s">
        <v>168</v>
      </c>
      <c r="AA85" s="158"/>
      <c r="AB85" s="158"/>
      <c r="AC85" s="158"/>
      <c r="AD85" s="154"/>
      <c r="AG85" s="47"/>
      <c r="AH85" s="47"/>
      <c r="AI85" s="47"/>
    </row>
    <row r="86" spans="1:35" ht="14.25" customHeight="1">
      <c r="C86" s="45"/>
      <c r="D86" s="45"/>
      <c r="E86" s="45"/>
      <c r="F86" s="45"/>
      <c r="G86" s="45"/>
      <c r="H86" s="45"/>
      <c r="I86" s="45"/>
      <c r="J86" s="45"/>
      <c r="K86" s="45"/>
      <c r="L86" s="45"/>
      <c r="N86" s="46"/>
      <c r="P86" s="47"/>
      <c r="Q86" s="47"/>
      <c r="R86" s="47"/>
      <c r="V86" s="45"/>
      <c r="Z86" s="157"/>
      <c r="AA86" s="157"/>
      <c r="AB86" s="157"/>
      <c r="AC86" s="157"/>
      <c r="AD86" s="157"/>
      <c r="AG86" s="47"/>
      <c r="AH86" s="47"/>
      <c r="AI86" s="47"/>
    </row>
    <row r="87" spans="1:35" ht="14.25" customHeight="1">
      <c r="A87" s="23" t="s">
        <v>722</v>
      </c>
      <c r="B87" s="5" t="s">
        <v>723</v>
      </c>
      <c r="C87" s="48" t="s">
        <v>724</v>
      </c>
      <c r="D87" s="48" t="s">
        <v>725</v>
      </c>
      <c r="E87" s="48" t="s">
        <v>726</v>
      </c>
      <c r="F87" s="48" t="s">
        <v>782</v>
      </c>
      <c r="G87" s="40" t="s">
        <v>728</v>
      </c>
      <c r="H87" s="40" t="s">
        <v>729</v>
      </c>
      <c r="I87" s="40" t="s">
        <v>691</v>
      </c>
      <c r="J87" s="40" t="s">
        <v>730</v>
      </c>
      <c r="K87" s="40" t="s">
        <v>731</v>
      </c>
      <c r="L87" s="40" t="s">
        <v>732</v>
      </c>
      <c r="M87" s="23" t="s">
        <v>733</v>
      </c>
      <c r="N87" s="49" t="s">
        <v>734</v>
      </c>
      <c r="O87" s="23" t="s">
        <v>735</v>
      </c>
      <c r="P87" s="50" t="s">
        <v>736</v>
      </c>
      <c r="Q87" s="50" t="s">
        <v>737</v>
      </c>
      <c r="R87" s="50" t="s">
        <v>738</v>
      </c>
      <c r="S87" s="50" t="s">
        <v>739</v>
      </c>
      <c r="T87" s="23" t="s">
        <v>740</v>
      </c>
      <c r="U87" s="50" t="s">
        <v>741</v>
      </c>
      <c r="V87" s="6" t="s">
        <v>742</v>
      </c>
      <c r="W87" s="23" t="s">
        <v>743</v>
      </c>
      <c r="X87" s="23" t="s">
        <v>744</v>
      </c>
      <c r="Y87" s="23" t="s">
        <v>745</v>
      </c>
      <c r="Z87" s="153" t="s">
        <v>746</v>
      </c>
      <c r="AA87" s="158"/>
      <c r="AB87" s="158"/>
      <c r="AC87" s="158"/>
      <c r="AD87" s="154"/>
      <c r="AG87" s="47"/>
      <c r="AH87" s="47"/>
      <c r="AI87" s="47"/>
    </row>
    <row r="88" spans="1:35" ht="14.25" customHeight="1">
      <c r="A88" s="2">
        <v>990001</v>
      </c>
      <c r="B88" s="4" t="s">
        <v>825</v>
      </c>
      <c r="C88" s="6">
        <v>-5</v>
      </c>
      <c r="D88" s="6"/>
      <c r="E88" s="2"/>
      <c r="F88" s="6"/>
      <c r="G88" s="6"/>
      <c r="H88" s="6"/>
      <c r="I88" s="6"/>
      <c r="J88" s="6"/>
      <c r="K88" s="6">
        <v>3</v>
      </c>
      <c r="L88" s="6"/>
      <c r="M88" s="2"/>
      <c r="N88" s="51"/>
      <c r="O88" s="2"/>
      <c r="P88" s="52"/>
      <c r="Q88" s="52"/>
      <c r="R88" s="6">
        <v>1001</v>
      </c>
      <c r="S88" s="6"/>
      <c r="T88" s="6"/>
      <c r="U88" s="6"/>
      <c r="V88" s="6"/>
      <c r="W88" s="6"/>
      <c r="X88" s="6" t="s">
        <v>767</v>
      </c>
      <c r="Y88" s="6"/>
      <c r="Z88" s="155" t="s">
        <v>826</v>
      </c>
      <c r="AA88" s="158"/>
      <c r="AB88" s="158"/>
      <c r="AC88" s="158"/>
      <c r="AD88" s="154"/>
      <c r="AG88" s="47"/>
      <c r="AH88" s="47"/>
      <c r="AI88" s="47"/>
    </row>
    <row r="89" spans="1:35" ht="14.25" customHeight="1">
      <c r="A89" s="2">
        <v>990002</v>
      </c>
      <c r="B89" s="4" t="s">
        <v>827</v>
      </c>
      <c r="C89" s="6">
        <v>-5</v>
      </c>
      <c r="D89" s="6"/>
      <c r="E89" s="2"/>
      <c r="F89" s="6"/>
      <c r="G89" s="6"/>
      <c r="H89" s="6"/>
      <c r="I89" s="6"/>
      <c r="J89" s="6"/>
      <c r="K89" s="6">
        <v>3</v>
      </c>
      <c r="L89" s="6"/>
      <c r="M89" s="2"/>
      <c r="N89" s="51"/>
      <c r="O89" s="2"/>
      <c r="P89" s="52"/>
      <c r="Q89" s="52"/>
      <c r="R89" s="6">
        <v>1002</v>
      </c>
      <c r="S89" s="6"/>
      <c r="T89" s="6"/>
      <c r="U89" s="6"/>
      <c r="V89" s="6"/>
      <c r="W89" s="6"/>
      <c r="X89" s="6" t="s">
        <v>767</v>
      </c>
      <c r="Y89" s="6"/>
      <c r="Z89" s="155" t="s">
        <v>828</v>
      </c>
      <c r="AA89" s="158"/>
      <c r="AB89" s="158"/>
      <c r="AC89" s="158"/>
      <c r="AD89" s="154"/>
      <c r="AG89" s="47"/>
      <c r="AH89" s="47"/>
      <c r="AI89" s="47"/>
    </row>
    <row r="90" spans="1:35" ht="14.25" customHeight="1">
      <c r="A90" s="2">
        <v>990003</v>
      </c>
      <c r="B90" s="4" t="s">
        <v>829</v>
      </c>
      <c r="C90" s="6">
        <v>-5</v>
      </c>
      <c r="D90" s="6"/>
      <c r="E90" s="2"/>
      <c r="F90" s="6"/>
      <c r="G90" s="6"/>
      <c r="H90" s="6"/>
      <c r="I90" s="6"/>
      <c r="J90" s="6"/>
      <c r="K90" s="6">
        <v>3</v>
      </c>
      <c r="L90" s="6"/>
      <c r="M90" s="2"/>
      <c r="N90" s="51"/>
      <c r="O90" s="2"/>
      <c r="P90" s="52"/>
      <c r="Q90" s="52"/>
      <c r="R90" s="6">
        <v>1007</v>
      </c>
      <c r="S90" s="6"/>
      <c r="T90" s="6"/>
      <c r="U90" s="6"/>
      <c r="V90" s="6"/>
      <c r="W90" s="6"/>
      <c r="X90" s="6" t="s">
        <v>767</v>
      </c>
      <c r="Y90" s="6"/>
      <c r="Z90" s="155" t="s">
        <v>830</v>
      </c>
      <c r="AA90" s="158"/>
      <c r="AB90" s="158"/>
      <c r="AC90" s="158"/>
      <c r="AD90" s="154"/>
      <c r="AG90" s="47"/>
      <c r="AH90" s="47"/>
      <c r="AI90" s="47"/>
    </row>
    <row r="91" spans="1:35" ht="14.25" customHeight="1">
      <c r="A91" s="2">
        <v>990004</v>
      </c>
      <c r="B91" s="4" t="s">
        <v>831</v>
      </c>
      <c r="C91" s="6">
        <v>-5</v>
      </c>
      <c r="D91" s="6"/>
      <c r="E91" s="2"/>
      <c r="F91" s="6"/>
      <c r="G91" s="6"/>
      <c r="H91" s="6"/>
      <c r="I91" s="6"/>
      <c r="J91" s="6"/>
      <c r="K91" s="6">
        <v>3</v>
      </c>
      <c r="L91" s="6"/>
      <c r="M91" s="2"/>
      <c r="N91" s="51"/>
      <c r="O91" s="2"/>
      <c r="P91" s="52"/>
      <c r="Q91" s="52"/>
      <c r="R91" s="6">
        <v>1005</v>
      </c>
      <c r="S91" s="6"/>
      <c r="T91" s="6"/>
      <c r="U91" s="6"/>
      <c r="V91" s="6"/>
      <c r="W91" s="6"/>
      <c r="X91" s="6" t="s">
        <v>767</v>
      </c>
      <c r="Y91" s="6"/>
      <c r="Z91" s="155" t="s">
        <v>832</v>
      </c>
      <c r="AA91" s="158"/>
      <c r="AB91" s="158"/>
      <c r="AC91" s="158"/>
      <c r="AD91" s="154"/>
      <c r="AG91" s="47"/>
      <c r="AH91" s="47"/>
      <c r="AI91" s="47"/>
    </row>
    <row r="92" spans="1:35" ht="14.25" customHeight="1">
      <c r="A92" s="2">
        <v>990005</v>
      </c>
      <c r="B92" s="4" t="s">
        <v>833</v>
      </c>
      <c r="C92" s="6">
        <v>-5</v>
      </c>
      <c r="D92" s="6"/>
      <c r="E92" s="2"/>
      <c r="F92" s="6"/>
      <c r="G92" s="6"/>
      <c r="H92" s="6"/>
      <c r="I92" s="6"/>
      <c r="J92" s="6"/>
      <c r="K92" s="6">
        <v>3</v>
      </c>
      <c r="L92" s="6"/>
      <c r="M92" s="2"/>
      <c r="N92" s="51"/>
      <c r="O92" s="2"/>
      <c r="P92" s="52"/>
      <c r="Q92" s="52"/>
      <c r="R92" s="6">
        <v>1003</v>
      </c>
      <c r="S92" s="6"/>
      <c r="T92" s="6"/>
      <c r="U92" s="6"/>
      <c r="V92" s="6"/>
      <c r="W92" s="6"/>
      <c r="X92" s="6" t="s">
        <v>767</v>
      </c>
      <c r="Y92" s="6"/>
      <c r="Z92" s="155" t="s">
        <v>834</v>
      </c>
      <c r="AA92" s="158"/>
      <c r="AB92" s="158"/>
      <c r="AC92" s="158"/>
      <c r="AD92" s="154"/>
    </row>
    <row r="93" spans="1:35" ht="14.25" customHeight="1">
      <c r="A93" s="2">
        <v>990006</v>
      </c>
      <c r="B93" s="4" t="s">
        <v>835</v>
      </c>
      <c r="C93" s="6">
        <v>-5</v>
      </c>
      <c r="D93" s="6"/>
      <c r="E93" s="2"/>
      <c r="F93" s="6"/>
      <c r="G93" s="6"/>
      <c r="H93" s="6"/>
      <c r="I93" s="6"/>
      <c r="J93" s="6"/>
      <c r="K93" s="6">
        <v>3</v>
      </c>
      <c r="L93" s="6"/>
      <c r="M93" s="2"/>
      <c r="N93" s="51"/>
      <c r="O93" s="2"/>
      <c r="P93" s="52"/>
      <c r="Q93" s="52"/>
      <c r="R93" s="6">
        <v>1004</v>
      </c>
      <c r="S93" s="6"/>
      <c r="T93" s="6"/>
      <c r="U93" s="6"/>
      <c r="V93" s="6"/>
      <c r="W93" s="6"/>
      <c r="X93" s="6" t="s">
        <v>767</v>
      </c>
      <c r="Y93" s="6"/>
      <c r="Z93" s="155" t="s">
        <v>836</v>
      </c>
      <c r="AA93" s="158"/>
      <c r="AB93" s="158"/>
      <c r="AC93" s="158"/>
      <c r="AD93" s="154"/>
    </row>
    <row r="94" spans="1:35" ht="14.25" customHeight="1">
      <c r="A94" s="2">
        <v>990007</v>
      </c>
      <c r="B94" s="4" t="s">
        <v>169</v>
      </c>
      <c r="C94" s="6">
        <v>-5</v>
      </c>
      <c r="D94" s="6"/>
      <c r="E94" s="2"/>
      <c r="F94" s="6"/>
      <c r="G94" s="6"/>
      <c r="H94" s="6"/>
      <c r="I94" s="6"/>
      <c r="J94" s="6"/>
      <c r="K94" s="6">
        <v>3</v>
      </c>
      <c r="L94" s="6"/>
      <c r="M94" s="2"/>
      <c r="N94" s="51"/>
      <c r="O94" s="2"/>
      <c r="P94" s="52"/>
      <c r="Q94" s="52"/>
      <c r="R94" s="6">
        <v>3020</v>
      </c>
      <c r="S94" s="6"/>
      <c r="T94" s="6"/>
      <c r="U94" s="6"/>
      <c r="V94" s="6"/>
      <c r="W94" s="6"/>
      <c r="X94" s="6" t="s">
        <v>767</v>
      </c>
      <c r="Y94" s="6"/>
      <c r="Z94" s="155" t="s">
        <v>837</v>
      </c>
      <c r="AA94" s="158"/>
      <c r="AB94" s="158"/>
      <c r="AC94" s="158"/>
      <c r="AD94" s="154"/>
    </row>
    <row r="95" spans="1:35" ht="14.25" customHeight="1">
      <c r="C95" s="45"/>
      <c r="D95" s="45"/>
      <c r="E95" s="45"/>
      <c r="F95" s="45"/>
      <c r="G95" s="45"/>
      <c r="H95" s="45"/>
      <c r="I95" s="45"/>
      <c r="J95" s="45"/>
      <c r="K95" s="45"/>
      <c r="L95" s="45"/>
      <c r="N95" s="46"/>
      <c r="P95" s="47"/>
      <c r="Q95" s="47"/>
      <c r="R95" s="47"/>
      <c r="V95" s="45"/>
    </row>
    <row r="96" spans="1:35" ht="14.25" customHeight="1">
      <c r="A96" s="23" t="s">
        <v>722</v>
      </c>
      <c r="B96" s="5" t="s">
        <v>723</v>
      </c>
      <c r="C96" s="48" t="s">
        <v>724</v>
      </c>
      <c r="D96" s="48" t="s">
        <v>725</v>
      </c>
      <c r="E96" s="48" t="s">
        <v>726</v>
      </c>
      <c r="F96" s="48" t="s">
        <v>727</v>
      </c>
      <c r="G96" s="40" t="s">
        <v>728</v>
      </c>
      <c r="H96" s="40" t="s">
        <v>729</v>
      </c>
      <c r="I96" s="40" t="s">
        <v>691</v>
      </c>
      <c r="J96" s="40" t="s">
        <v>730</v>
      </c>
      <c r="K96" s="40" t="s">
        <v>731</v>
      </c>
      <c r="L96" s="40" t="s">
        <v>732</v>
      </c>
      <c r="M96" s="23" t="s">
        <v>733</v>
      </c>
      <c r="N96" s="49" t="s">
        <v>734</v>
      </c>
      <c r="O96" s="23" t="s">
        <v>735</v>
      </c>
      <c r="P96" s="50" t="s">
        <v>736</v>
      </c>
      <c r="Q96" s="50" t="s">
        <v>838</v>
      </c>
      <c r="R96" s="50" t="s">
        <v>738</v>
      </c>
      <c r="S96" s="50" t="s">
        <v>739</v>
      </c>
      <c r="T96" s="23" t="s">
        <v>740</v>
      </c>
      <c r="U96" s="50" t="s">
        <v>741</v>
      </c>
      <c r="V96" s="6" t="s">
        <v>742</v>
      </c>
      <c r="W96" s="23" t="s">
        <v>743</v>
      </c>
      <c r="X96" s="23" t="s">
        <v>744</v>
      </c>
      <c r="Y96" s="23" t="s">
        <v>745</v>
      </c>
      <c r="Z96" s="153" t="s">
        <v>746</v>
      </c>
      <c r="AA96" s="158"/>
      <c r="AB96" s="158"/>
      <c r="AC96" s="158"/>
      <c r="AD96" s="154"/>
    </row>
    <row r="97" spans="1:30" ht="14.25" customHeight="1">
      <c r="A97" s="6">
        <v>211001</v>
      </c>
      <c r="B97" s="4" t="s">
        <v>839</v>
      </c>
      <c r="C97" s="6">
        <v>2</v>
      </c>
      <c r="D97" s="6"/>
      <c r="E97" s="2"/>
      <c r="F97" s="6">
        <v>1</v>
      </c>
      <c r="G97" s="6"/>
      <c r="H97" s="6">
        <v>2.4</v>
      </c>
      <c r="I97" s="6"/>
      <c r="J97" s="6"/>
      <c r="K97" s="6"/>
      <c r="L97" s="6"/>
      <c r="M97" s="2" t="s">
        <v>756</v>
      </c>
      <c r="N97" s="51">
        <v>96</v>
      </c>
      <c r="O97" s="2"/>
      <c r="P97" s="52"/>
      <c r="Q97" s="52"/>
      <c r="R97" s="52">
        <v>4001</v>
      </c>
      <c r="S97" s="52">
        <v>0.5</v>
      </c>
      <c r="T97" s="2"/>
      <c r="U97" s="2"/>
      <c r="V97" s="6"/>
      <c r="W97" s="2" t="s">
        <v>764</v>
      </c>
      <c r="X97" s="2" t="s">
        <v>765</v>
      </c>
      <c r="Y97" s="2"/>
      <c r="Z97" s="155" t="s">
        <v>840</v>
      </c>
      <c r="AA97" s="158"/>
      <c r="AB97" s="158"/>
      <c r="AC97" s="158"/>
      <c r="AD97" s="154"/>
    </row>
    <row r="98" spans="1:30" ht="14.25" customHeight="1">
      <c r="A98" s="6">
        <v>212001</v>
      </c>
      <c r="B98" s="4" t="s">
        <v>841</v>
      </c>
      <c r="C98" s="6">
        <v>4</v>
      </c>
      <c r="D98" s="6"/>
      <c r="E98" s="2"/>
      <c r="F98" s="6">
        <v>1</v>
      </c>
      <c r="G98" s="6"/>
      <c r="H98" s="6">
        <v>2.4</v>
      </c>
      <c r="I98" s="6"/>
      <c r="J98" s="6"/>
      <c r="K98" s="6"/>
      <c r="L98" s="6"/>
      <c r="M98" s="2" t="s">
        <v>756</v>
      </c>
      <c r="N98" s="51">
        <f>N97-4</f>
        <v>92</v>
      </c>
      <c r="O98" s="2"/>
      <c r="P98" s="52"/>
      <c r="Q98" s="52"/>
      <c r="R98" s="52">
        <v>4001</v>
      </c>
      <c r="S98" s="52">
        <v>0.7</v>
      </c>
      <c r="T98" s="2"/>
      <c r="U98" s="2"/>
      <c r="V98" s="6"/>
      <c r="W98" s="2" t="s">
        <v>764</v>
      </c>
      <c r="X98" s="2" t="s">
        <v>765</v>
      </c>
      <c r="Y98" s="2"/>
      <c r="Z98" s="155" t="s">
        <v>842</v>
      </c>
      <c r="AA98" s="158"/>
      <c r="AB98" s="158"/>
      <c r="AC98" s="158"/>
      <c r="AD98" s="154"/>
    </row>
    <row r="99" spans="1:30" ht="14.25" customHeight="1">
      <c r="A99" s="6">
        <v>213001</v>
      </c>
      <c r="B99" s="4" t="s">
        <v>843</v>
      </c>
      <c r="C99" s="6">
        <v>4</v>
      </c>
      <c r="D99" s="6"/>
      <c r="E99" s="2"/>
      <c r="F99" s="6">
        <v>1</v>
      </c>
      <c r="G99" s="6"/>
      <c r="H99" s="6">
        <v>2.4</v>
      </c>
      <c r="I99" s="6"/>
      <c r="J99" s="6"/>
      <c r="K99" s="6"/>
      <c r="L99" s="6"/>
      <c r="M99" s="2" t="s">
        <v>756</v>
      </c>
      <c r="N99" s="51">
        <f>N98-4</f>
        <v>88</v>
      </c>
      <c r="O99" s="2"/>
      <c r="P99" s="52"/>
      <c r="Q99" s="52"/>
      <c r="R99" s="52">
        <v>4001</v>
      </c>
      <c r="S99" s="52">
        <v>0.7</v>
      </c>
      <c r="T99" s="2"/>
      <c r="U99" s="2"/>
      <c r="V99" s="6"/>
      <c r="W99" s="2" t="s">
        <v>764</v>
      </c>
      <c r="X99" s="2" t="s">
        <v>765</v>
      </c>
      <c r="Y99" s="2"/>
      <c r="Z99" s="155" t="s">
        <v>844</v>
      </c>
      <c r="AA99" s="158"/>
      <c r="AB99" s="158"/>
      <c r="AC99" s="158"/>
      <c r="AD99" s="154"/>
    </row>
    <row r="100" spans="1:30" ht="14.25" customHeight="1">
      <c r="A100" s="6">
        <v>214001</v>
      </c>
      <c r="B100" s="4" t="s">
        <v>845</v>
      </c>
      <c r="C100" s="6">
        <v>4</v>
      </c>
      <c r="D100" s="6"/>
      <c r="E100" s="2"/>
      <c r="F100" s="6">
        <v>1</v>
      </c>
      <c r="G100" s="6"/>
      <c r="H100" s="6">
        <v>2.4</v>
      </c>
      <c r="I100" s="6"/>
      <c r="J100" s="6"/>
      <c r="K100" s="6"/>
      <c r="L100" s="6"/>
      <c r="M100" s="2" t="s">
        <v>756</v>
      </c>
      <c r="N100" s="51">
        <f>N99-4</f>
        <v>84</v>
      </c>
      <c r="O100" s="2"/>
      <c r="P100" s="52"/>
      <c r="Q100" s="52"/>
      <c r="R100" s="52">
        <v>4001</v>
      </c>
      <c r="S100" s="2"/>
      <c r="T100" s="2"/>
      <c r="U100" s="2"/>
      <c r="V100" s="6"/>
      <c r="W100" s="2" t="s">
        <v>764</v>
      </c>
      <c r="X100" s="2" t="s">
        <v>765</v>
      </c>
      <c r="Y100" s="2"/>
      <c r="Z100" s="155" t="s">
        <v>846</v>
      </c>
      <c r="AA100" s="158"/>
      <c r="AB100" s="158"/>
      <c r="AC100" s="158"/>
      <c r="AD100" s="154"/>
    </row>
    <row r="101" spans="1:30" ht="14.25" customHeight="1">
      <c r="A101" s="6">
        <v>215001</v>
      </c>
      <c r="B101" s="4" t="s">
        <v>847</v>
      </c>
      <c r="C101" s="6">
        <v>4</v>
      </c>
      <c r="D101" s="6"/>
      <c r="E101" s="2"/>
      <c r="F101" s="6">
        <v>1</v>
      </c>
      <c r="G101" s="6"/>
      <c r="H101" s="6">
        <v>2.4</v>
      </c>
      <c r="I101" s="6"/>
      <c r="J101" s="6"/>
      <c r="K101" s="6"/>
      <c r="L101" s="6"/>
      <c r="M101" s="2" t="s">
        <v>756</v>
      </c>
      <c r="N101" s="51">
        <f>N100-4</f>
        <v>80</v>
      </c>
      <c r="O101" s="2"/>
      <c r="P101" s="52"/>
      <c r="Q101" s="52"/>
      <c r="R101" s="52">
        <v>4001</v>
      </c>
      <c r="S101" s="2"/>
      <c r="T101" s="2"/>
      <c r="U101" s="2">
        <v>1999</v>
      </c>
      <c r="V101" s="6"/>
      <c r="W101" s="2" t="s">
        <v>764</v>
      </c>
      <c r="X101" s="2" t="s">
        <v>765</v>
      </c>
      <c r="Y101" s="2"/>
      <c r="Z101" s="155" t="s">
        <v>848</v>
      </c>
      <c r="AA101" s="158"/>
      <c r="AB101" s="158"/>
      <c r="AC101" s="158"/>
      <c r="AD101" s="154"/>
    </row>
    <row r="102" spans="1:30" ht="15.75" customHeight="1">
      <c r="A102" s="6">
        <f t="shared" ref="A102:A133" si="2">A97+1</f>
        <v>211002</v>
      </c>
      <c r="B102" s="4" t="s">
        <v>849</v>
      </c>
      <c r="C102" s="6">
        <v>2</v>
      </c>
      <c r="D102" s="6">
        <v>1</v>
      </c>
      <c r="E102" s="2"/>
      <c r="F102" s="6">
        <v>1</v>
      </c>
      <c r="G102" s="6"/>
      <c r="H102" s="6">
        <v>2.5</v>
      </c>
      <c r="I102" s="6"/>
      <c r="J102" s="6"/>
      <c r="K102" s="6"/>
      <c r="L102" s="6"/>
      <c r="M102" s="2" t="s">
        <v>756</v>
      </c>
      <c r="N102" s="51">
        <v>95</v>
      </c>
      <c r="O102" s="2"/>
      <c r="P102" s="52"/>
      <c r="Q102" s="52"/>
      <c r="R102" s="52" t="str">
        <f>"4002,2004"</f>
        <v>4002,2004</v>
      </c>
      <c r="S102" s="52">
        <v>0.4</v>
      </c>
      <c r="T102" s="2"/>
      <c r="U102" s="2"/>
      <c r="V102" s="6"/>
      <c r="W102" s="53" t="s">
        <v>757</v>
      </c>
      <c r="X102" s="53" t="s">
        <v>758</v>
      </c>
      <c r="Y102" s="2"/>
      <c r="Z102" s="155" t="s">
        <v>850</v>
      </c>
      <c r="AA102" s="158"/>
      <c r="AB102" s="158"/>
      <c r="AC102" s="158"/>
      <c r="AD102" s="154"/>
    </row>
    <row r="103" spans="1:30" ht="15.75" customHeight="1">
      <c r="A103" s="6">
        <f t="shared" si="2"/>
        <v>212002</v>
      </c>
      <c r="B103" s="4" t="s">
        <v>851</v>
      </c>
      <c r="C103" s="6">
        <v>2</v>
      </c>
      <c r="D103" s="6">
        <v>1</v>
      </c>
      <c r="E103" s="2"/>
      <c r="F103" s="6">
        <v>1</v>
      </c>
      <c r="G103" s="6"/>
      <c r="H103" s="6">
        <v>2.5</v>
      </c>
      <c r="I103" s="6"/>
      <c r="J103" s="6"/>
      <c r="K103" s="6"/>
      <c r="L103" s="6"/>
      <c r="M103" s="2" t="s">
        <v>756</v>
      </c>
      <c r="N103" s="51">
        <f>N102-4</f>
        <v>91</v>
      </c>
      <c r="O103" s="2"/>
      <c r="P103" s="52"/>
      <c r="Q103" s="52"/>
      <c r="R103" s="52" t="str">
        <f>"4002,2004"</f>
        <v>4002,2004</v>
      </c>
      <c r="S103" s="52">
        <v>0.5</v>
      </c>
      <c r="T103" s="2"/>
      <c r="U103" s="2"/>
      <c r="V103" s="6"/>
      <c r="W103" s="53" t="s">
        <v>757</v>
      </c>
      <c r="X103" s="53" t="s">
        <v>758</v>
      </c>
      <c r="Y103" s="2"/>
      <c r="Z103" s="155" t="s">
        <v>852</v>
      </c>
      <c r="AA103" s="158"/>
      <c r="AB103" s="158"/>
      <c r="AC103" s="158"/>
      <c r="AD103" s="154"/>
    </row>
    <row r="104" spans="1:30" ht="15.75" customHeight="1">
      <c r="A104" s="6">
        <f t="shared" si="2"/>
        <v>213002</v>
      </c>
      <c r="B104" s="4" t="s">
        <v>853</v>
      </c>
      <c r="C104" s="6">
        <v>3</v>
      </c>
      <c r="D104" s="6">
        <v>1</v>
      </c>
      <c r="E104" s="2"/>
      <c r="F104" s="6">
        <v>1</v>
      </c>
      <c r="G104" s="6"/>
      <c r="H104" s="6">
        <v>2.5</v>
      </c>
      <c r="I104" s="6"/>
      <c r="J104" s="6"/>
      <c r="K104" s="6"/>
      <c r="L104" s="6"/>
      <c r="M104" s="2" t="s">
        <v>756</v>
      </c>
      <c r="N104" s="51">
        <f>N103-4</f>
        <v>87</v>
      </c>
      <c r="O104" s="2"/>
      <c r="P104" s="52"/>
      <c r="Q104" s="52"/>
      <c r="R104" s="52" t="str">
        <f>"4002,2004"</f>
        <v>4002,2004</v>
      </c>
      <c r="S104" s="52">
        <v>0.5</v>
      </c>
      <c r="T104" s="2"/>
      <c r="U104" s="2"/>
      <c r="V104" s="6"/>
      <c r="W104" s="53" t="s">
        <v>757</v>
      </c>
      <c r="X104" s="53" t="s">
        <v>758</v>
      </c>
      <c r="Y104" s="2"/>
      <c r="Z104" s="155" t="s">
        <v>854</v>
      </c>
      <c r="AA104" s="158"/>
      <c r="AB104" s="158"/>
      <c r="AC104" s="158"/>
      <c r="AD104" s="154"/>
    </row>
    <row r="105" spans="1:30" ht="15.75" customHeight="1">
      <c r="A105" s="6">
        <f t="shared" si="2"/>
        <v>214002</v>
      </c>
      <c r="B105" s="4" t="s">
        <v>855</v>
      </c>
      <c r="C105" s="6">
        <v>3</v>
      </c>
      <c r="D105" s="6">
        <v>1</v>
      </c>
      <c r="E105" s="2"/>
      <c r="F105" s="6">
        <v>1</v>
      </c>
      <c r="G105" s="6"/>
      <c r="H105" s="6">
        <v>2.5</v>
      </c>
      <c r="I105" s="6"/>
      <c r="J105" s="6"/>
      <c r="K105" s="6"/>
      <c r="L105" s="6"/>
      <c r="M105" s="2" t="s">
        <v>756</v>
      </c>
      <c r="N105" s="51">
        <f>N104-4</f>
        <v>83</v>
      </c>
      <c r="O105" s="2"/>
      <c r="P105" s="52"/>
      <c r="Q105" s="52"/>
      <c r="R105" s="52" t="str">
        <f>"4002,2004,5003"</f>
        <v>4002,2004,5003</v>
      </c>
      <c r="S105" s="52">
        <v>0.5</v>
      </c>
      <c r="T105" s="2"/>
      <c r="U105" s="2"/>
      <c r="V105" s="6"/>
      <c r="W105" s="53" t="s">
        <v>757</v>
      </c>
      <c r="X105" s="53" t="s">
        <v>758</v>
      </c>
      <c r="Y105" s="2"/>
      <c r="Z105" s="155" t="s">
        <v>856</v>
      </c>
      <c r="AA105" s="158"/>
      <c r="AB105" s="158"/>
      <c r="AC105" s="158"/>
      <c r="AD105" s="154"/>
    </row>
    <row r="106" spans="1:30" ht="15.75" customHeight="1">
      <c r="A106" s="6">
        <f t="shared" si="2"/>
        <v>215002</v>
      </c>
      <c r="B106" s="4" t="s">
        <v>857</v>
      </c>
      <c r="C106" s="6">
        <v>3</v>
      </c>
      <c r="D106" s="6">
        <v>1</v>
      </c>
      <c r="E106" s="2"/>
      <c r="F106" s="6">
        <v>1</v>
      </c>
      <c r="G106" s="6"/>
      <c r="H106" s="6">
        <v>2.5</v>
      </c>
      <c r="I106" s="6"/>
      <c r="J106" s="6"/>
      <c r="K106" s="6"/>
      <c r="L106" s="6"/>
      <c r="M106" s="2" t="s">
        <v>756</v>
      </c>
      <c r="N106" s="51">
        <f>N105-4</f>
        <v>79</v>
      </c>
      <c r="O106" s="2"/>
      <c r="P106" s="52"/>
      <c r="Q106" s="52"/>
      <c r="R106" s="52" t="str">
        <f>"4002,2004,5003"</f>
        <v>4002,2004,5003</v>
      </c>
      <c r="S106" s="52">
        <v>0.8</v>
      </c>
      <c r="T106" s="2"/>
      <c r="U106" s="2"/>
      <c r="V106" s="6"/>
      <c r="W106" s="53" t="s">
        <v>757</v>
      </c>
      <c r="X106" s="53" t="s">
        <v>758</v>
      </c>
      <c r="Y106" s="2"/>
      <c r="Z106" s="155" t="s">
        <v>858</v>
      </c>
      <c r="AA106" s="158"/>
      <c r="AB106" s="158"/>
      <c r="AC106" s="158"/>
      <c r="AD106" s="154"/>
    </row>
    <row r="107" spans="1:30" ht="15.75" customHeight="1">
      <c r="A107" s="6">
        <f t="shared" si="2"/>
        <v>211003</v>
      </c>
      <c r="B107" s="4" t="s">
        <v>859</v>
      </c>
      <c r="C107" s="6">
        <v>-2</v>
      </c>
      <c r="D107" s="6"/>
      <c r="E107" s="2"/>
      <c r="F107" s="6">
        <v>1</v>
      </c>
      <c r="G107" s="6"/>
      <c r="H107" s="6">
        <v>2.4</v>
      </c>
      <c r="I107" s="6"/>
      <c r="J107" s="6"/>
      <c r="K107" s="6"/>
      <c r="L107" s="6"/>
      <c r="M107" s="2" t="s">
        <v>766</v>
      </c>
      <c r="N107" s="51">
        <v>48</v>
      </c>
      <c r="O107" s="2"/>
      <c r="P107" s="52"/>
      <c r="Q107" s="52"/>
      <c r="R107" s="52" t="str">
        <f>"2002,2002"</f>
        <v>2002,2002</v>
      </c>
      <c r="S107" s="2"/>
      <c r="T107" s="2"/>
      <c r="U107" s="2"/>
      <c r="V107" s="6"/>
      <c r="W107" s="53" t="s">
        <v>757</v>
      </c>
      <c r="X107" s="53" t="s">
        <v>758</v>
      </c>
      <c r="Y107" s="2"/>
      <c r="Z107" s="155" t="s">
        <v>860</v>
      </c>
      <c r="AA107" s="158"/>
      <c r="AB107" s="158"/>
      <c r="AC107" s="158"/>
      <c r="AD107" s="154"/>
    </row>
    <row r="108" spans="1:30" ht="15.75" customHeight="1">
      <c r="A108" s="6">
        <f t="shared" si="2"/>
        <v>212003</v>
      </c>
      <c r="B108" s="4" t="s">
        <v>861</v>
      </c>
      <c r="C108" s="6">
        <v>-2</v>
      </c>
      <c r="D108" s="6"/>
      <c r="E108" s="2"/>
      <c r="F108" s="6">
        <v>1</v>
      </c>
      <c r="G108" s="6"/>
      <c r="H108" s="6">
        <v>2.4</v>
      </c>
      <c r="I108" s="6"/>
      <c r="J108" s="6"/>
      <c r="K108" s="6"/>
      <c r="L108" s="6"/>
      <c r="M108" s="2" t="s">
        <v>766</v>
      </c>
      <c r="N108" s="51">
        <f>N107-4</f>
        <v>44</v>
      </c>
      <c r="O108" s="2"/>
      <c r="P108" s="52"/>
      <c r="Q108" s="52"/>
      <c r="R108" s="52" t="str">
        <f>"2002,2002"</f>
        <v>2002,2002</v>
      </c>
      <c r="S108" s="2"/>
      <c r="T108" s="2" t="str">
        <f>"4001"</f>
        <v>4001</v>
      </c>
      <c r="U108" s="2"/>
      <c r="V108" s="6"/>
      <c r="W108" s="53" t="s">
        <v>757</v>
      </c>
      <c r="X108" s="53" t="s">
        <v>758</v>
      </c>
      <c r="Y108" s="2"/>
      <c r="Z108" s="155" t="s">
        <v>862</v>
      </c>
      <c r="AA108" s="158"/>
      <c r="AB108" s="158"/>
      <c r="AC108" s="158"/>
      <c r="AD108" s="154"/>
    </row>
    <row r="109" spans="1:30" ht="15.75" customHeight="1">
      <c r="A109" s="6">
        <f t="shared" si="2"/>
        <v>213003</v>
      </c>
      <c r="B109" s="4" t="s">
        <v>863</v>
      </c>
      <c r="C109" s="6">
        <v>-2</v>
      </c>
      <c r="D109" s="6"/>
      <c r="E109" s="2"/>
      <c r="F109" s="6">
        <v>1</v>
      </c>
      <c r="G109" s="6"/>
      <c r="H109" s="6">
        <v>2.4</v>
      </c>
      <c r="I109" s="6"/>
      <c r="J109" s="6"/>
      <c r="K109" s="6"/>
      <c r="L109" s="6"/>
      <c r="M109" s="2" t="s">
        <v>766</v>
      </c>
      <c r="N109" s="51">
        <f>N108-4</f>
        <v>40</v>
      </c>
      <c r="O109" s="2"/>
      <c r="P109" s="52"/>
      <c r="Q109" s="52"/>
      <c r="R109" s="52" t="str">
        <f>"2002,2002"</f>
        <v>2002,2002</v>
      </c>
      <c r="S109" s="2"/>
      <c r="T109" s="2" t="str">
        <f>"4001"</f>
        <v>4001</v>
      </c>
      <c r="U109" s="2"/>
      <c r="V109" s="6"/>
      <c r="W109" s="53" t="s">
        <v>757</v>
      </c>
      <c r="X109" s="53" t="s">
        <v>758</v>
      </c>
      <c r="Y109" s="2"/>
      <c r="Z109" s="155" t="s">
        <v>864</v>
      </c>
      <c r="AA109" s="158"/>
      <c r="AB109" s="158"/>
      <c r="AC109" s="158"/>
      <c r="AD109" s="154"/>
    </row>
    <row r="110" spans="1:30" ht="15.75" customHeight="1">
      <c r="A110" s="6">
        <f t="shared" si="2"/>
        <v>214003</v>
      </c>
      <c r="B110" s="4" t="s">
        <v>865</v>
      </c>
      <c r="C110" s="6">
        <v>-4</v>
      </c>
      <c r="D110" s="6"/>
      <c r="E110" s="2"/>
      <c r="F110" s="6">
        <v>1</v>
      </c>
      <c r="G110" s="6"/>
      <c r="H110" s="6">
        <v>2.4</v>
      </c>
      <c r="I110" s="6"/>
      <c r="J110" s="6"/>
      <c r="K110" s="6"/>
      <c r="L110" s="6"/>
      <c r="M110" s="2" t="s">
        <v>766</v>
      </c>
      <c r="N110" s="51">
        <f>N109-4</f>
        <v>36</v>
      </c>
      <c r="O110" s="2"/>
      <c r="P110" s="52"/>
      <c r="Q110" s="52"/>
      <c r="R110" s="52" t="str">
        <f>"2002,2002"</f>
        <v>2002,2002</v>
      </c>
      <c r="S110" s="2"/>
      <c r="T110" s="2" t="str">
        <f>"4001"</f>
        <v>4001</v>
      </c>
      <c r="U110" s="2"/>
      <c r="V110" s="6"/>
      <c r="W110" s="53" t="s">
        <v>757</v>
      </c>
      <c r="X110" s="53" t="s">
        <v>758</v>
      </c>
      <c r="Y110" s="2"/>
      <c r="Z110" s="155" t="s">
        <v>866</v>
      </c>
      <c r="AA110" s="158"/>
      <c r="AB110" s="158"/>
      <c r="AC110" s="158"/>
      <c r="AD110" s="154"/>
    </row>
    <row r="111" spans="1:30" ht="15.75" customHeight="1">
      <c r="A111" s="6">
        <f t="shared" si="2"/>
        <v>215003</v>
      </c>
      <c r="B111" s="4" t="s">
        <v>867</v>
      </c>
      <c r="C111" s="6">
        <v>-4</v>
      </c>
      <c r="D111" s="6"/>
      <c r="E111" s="2"/>
      <c r="F111" s="6">
        <v>1</v>
      </c>
      <c r="G111" s="6"/>
      <c r="H111" s="6">
        <v>2.4</v>
      </c>
      <c r="I111" s="6"/>
      <c r="J111" s="6"/>
      <c r="K111" s="6"/>
      <c r="L111" s="6"/>
      <c r="M111" s="2" t="s">
        <v>766</v>
      </c>
      <c r="N111" s="51">
        <f>N110-4</f>
        <v>32</v>
      </c>
      <c r="O111" s="2"/>
      <c r="P111" s="52"/>
      <c r="Q111" s="52"/>
      <c r="R111" s="52" t="str">
        <f>"2002,2002"</f>
        <v>2002,2002</v>
      </c>
      <c r="S111" s="2"/>
      <c r="T111" s="59" t="str">
        <f>"4001,4002,4003,4004,4005,5001,5002,5003,5004"</f>
        <v>4001,4002,4003,4004,4005,5001,5002,5003,5004</v>
      </c>
      <c r="U111" s="2"/>
      <c r="V111" s="6"/>
      <c r="W111" s="53" t="s">
        <v>757</v>
      </c>
      <c r="X111" s="53" t="s">
        <v>758</v>
      </c>
      <c r="Y111" s="2"/>
      <c r="Z111" s="155" t="s">
        <v>868</v>
      </c>
      <c r="AA111" s="158"/>
      <c r="AB111" s="158"/>
      <c r="AC111" s="158"/>
      <c r="AD111" s="154"/>
    </row>
    <row r="112" spans="1:30" ht="14.25" customHeight="1">
      <c r="A112" s="6">
        <f t="shared" si="2"/>
        <v>211004</v>
      </c>
      <c r="B112" s="4" t="s">
        <v>869</v>
      </c>
      <c r="C112" s="6">
        <v>4</v>
      </c>
      <c r="D112" s="6">
        <v>1</v>
      </c>
      <c r="E112" s="2"/>
      <c r="F112" s="6">
        <v>1</v>
      </c>
      <c r="G112" s="6">
        <v>1.25</v>
      </c>
      <c r="H112" s="6"/>
      <c r="I112" s="6"/>
      <c r="J112" s="6"/>
      <c r="K112" s="6"/>
      <c r="L112" s="6"/>
      <c r="M112" s="2" t="s">
        <v>749</v>
      </c>
      <c r="N112" s="51">
        <v>47</v>
      </c>
      <c r="O112" s="2"/>
      <c r="P112" s="52"/>
      <c r="Q112" s="52"/>
      <c r="R112" s="52" t="str">
        <f>"2001,2005,2005"</f>
        <v>2001,2005,2005</v>
      </c>
      <c r="S112" s="2"/>
      <c r="T112" s="2"/>
      <c r="U112" s="2"/>
      <c r="V112" s="6"/>
      <c r="W112" s="2"/>
      <c r="X112" s="2" t="s">
        <v>750</v>
      </c>
      <c r="Y112" s="2"/>
      <c r="Z112" s="155" t="s">
        <v>870</v>
      </c>
      <c r="AA112" s="158"/>
      <c r="AB112" s="158"/>
      <c r="AC112" s="158"/>
      <c r="AD112" s="154"/>
    </row>
    <row r="113" spans="1:30" ht="14.25" customHeight="1">
      <c r="A113" s="6">
        <f t="shared" si="2"/>
        <v>212004</v>
      </c>
      <c r="B113" s="4" t="s">
        <v>871</v>
      </c>
      <c r="C113" s="6">
        <v>5</v>
      </c>
      <c r="D113" s="6">
        <v>1</v>
      </c>
      <c r="E113" s="2"/>
      <c r="F113" s="6">
        <v>1</v>
      </c>
      <c r="G113" s="6">
        <v>1.25</v>
      </c>
      <c r="H113" s="6"/>
      <c r="I113" s="6"/>
      <c r="J113" s="6"/>
      <c r="K113" s="6"/>
      <c r="L113" s="6"/>
      <c r="M113" s="2" t="s">
        <v>749</v>
      </c>
      <c r="N113" s="51">
        <f>N112-4</f>
        <v>43</v>
      </c>
      <c r="O113" s="2"/>
      <c r="P113" s="52"/>
      <c r="Q113" s="52"/>
      <c r="R113" s="52" t="str">
        <f>"2001,2005,2005"</f>
        <v>2001,2005,2005</v>
      </c>
      <c r="S113" s="2"/>
      <c r="T113" s="2"/>
      <c r="U113" s="2"/>
      <c r="V113" s="6"/>
      <c r="W113" s="2"/>
      <c r="X113" s="2" t="s">
        <v>750</v>
      </c>
      <c r="Y113" s="2"/>
      <c r="Z113" s="155" t="s">
        <v>872</v>
      </c>
      <c r="AA113" s="158"/>
      <c r="AB113" s="158"/>
      <c r="AC113" s="158"/>
      <c r="AD113" s="154"/>
    </row>
    <row r="114" spans="1:30" ht="14.25" customHeight="1">
      <c r="A114" s="6">
        <f t="shared" si="2"/>
        <v>213004</v>
      </c>
      <c r="B114" s="4" t="s">
        <v>873</v>
      </c>
      <c r="C114" s="6">
        <v>5</v>
      </c>
      <c r="D114" s="6">
        <v>1</v>
      </c>
      <c r="E114" s="2"/>
      <c r="F114" s="6">
        <v>1</v>
      </c>
      <c r="G114" s="6">
        <v>1.25</v>
      </c>
      <c r="H114" s="6"/>
      <c r="I114" s="6"/>
      <c r="J114" s="6"/>
      <c r="K114" s="6"/>
      <c r="L114" s="6"/>
      <c r="M114" s="2" t="s">
        <v>749</v>
      </c>
      <c r="N114" s="51">
        <f>N113-4</f>
        <v>39</v>
      </c>
      <c r="O114" s="2"/>
      <c r="P114" s="52"/>
      <c r="Q114" s="52"/>
      <c r="R114" s="52" t="str">
        <f>"2001,2001,2004,2004,2005,2005"</f>
        <v>2001,2001,2004,2004,2005,2005</v>
      </c>
      <c r="S114" s="2"/>
      <c r="T114" s="2"/>
      <c r="U114" s="2"/>
      <c r="V114" s="6"/>
      <c r="W114" s="2"/>
      <c r="X114" s="2" t="s">
        <v>750</v>
      </c>
      <c r="Y114" s="2"/>
      <c r="Z114" s="155" t="s">
        <v>874</v>
      </c>
      <c r="AA114" s="158"/>
      <c r="AB114" s="158"/>
      <c r="AC114" s="158"/>
      <c r="AD114" s="154"/>
    </row>
    <row r="115" spans="1:30" ht="14.25" customHeight="1">
      <c r="A115" s="6">
        <f t="shared" si="2"/>
        <v>214004</v>
      </c>
      <c r="B115" s="4" t="s">
        <v>875</v>
      </c>
      <c r="C115" s="6">
        <v>5</v>
      </c>
      <c r="D115" s="6">
        <v>1</v>
      </c>
      <c r="E115" s="2"/>
      <c r="F115" s="6">
        <v>1</v>
      </c>
      <c r="G115" s="6">
        <v>1.25</v>
      </c>
      <c r="H115" s="6"/>
      <c r="I115" s="6"/>
      <c r="J115" s="6"/>
      <c r="K115" s="6"/>
      <c r="L115" s="6"/>
      <c r="M115" s="2" t="s">
        <v>749</v>
      </c>
      <c r="N115" s="51">
        <f>N114-4</f>
        <v>35</v>
      </c>
      <c r="O115" s="2"/>
      <c r="P115" s="52"/>
      <c r="Q115" s="52"/>
      <c r="R115" s="52" t="str">
        <f>"2001,2001,2004,2004,2005,2005,2007,2007"</f>
        <v>2001,2001,2004,2004,2005,2005,2007,2007</v>
      </c>
      <c r="S115" s="2"/>
      <c r="T115" s="2"/>
      <c r="U115" s="2"/>
      <c r="V115" s="6"/>
      <c r="W115" s="2"/>
      <c r="X115" s="2" t="s">
        <v>750</v>
      </c>
      <c r="Y115" s="2"/>
      <c r="Z115" s="155" t="s">
        <v>876</v>
      </c>
      <c r="AA115" s="158"/>
      <c r="AB115" s="158"/>
      <c r="AC115" s="158"/>
      <c r="AD115" s="154"/>
    </row>
    <row r="116" spans="1:30" ht="14.25" customHeight="1">
      <c r="A116" s="6">
        <f t="shared" si="2"/>
        <v>215004</v>
      </c>
      <c r="B116" s="4" t="s">
        <v>877</v>
      </c>
      <c r="C116" s="6">
        <v>5</v>
      </c>
      <c r="D116" s="6">
        <v>1</v>
      </c>
      <c r="E116" s="2"/>
      <c r="F116" s="6">
        <v>1</v>
      </c>
      <c r="G116" s="6">
        <v>1.25</v>
      </c>
      <c r="H116" s="6"/>
      <c r="I116" s="6"/>
      <c r="J116" s="6"/>
      <c r="K116" s="6"/>
      <c r="L116" s="6"/>
      <c r="M116" s="2" t="s">
        <v>749</v>
      </c>
      <c r="N116" s="51">
        <f>N115-4</f>
        <v>31</v>
      </c>
      <c r="O116" s="2"/>
      <c r="P116" s="52"/>
      <c r="Q116" s="52"/>
      <c r="R116" s="52" t="str">
        <f>"2001,2001,2004,2004,2005,2005,2007,2007"</f>
        <v>2001,2001,2004,2004,2005,2005,2007,2007</v>
      </c>
      <c r="S116" s="2"/>
      <c r="T116" s="52" t="str">
        <f>"1001,1002,1003,1004,1005,1006,1007,1008,1009,1010"</f>
        <v>1001,1002,1003,1004,1005,1006,1007,1008,1009,1010</v>
      </c>
      <c r="U116" s="2"/>
      <c r="V116" s="6"/>
      <c r="W116" s="2"/>
      <c r="X116" s="2" t="s">
        <v>750</v>
      </c>
      <c r="Y116" s="2"/>
      <c r="Z116" s="155" t="s">
        <v>878</v>
      </c>
      <c r="AA116" s="158"/>
      <c r="AB116" s="158"/>
      <c r="AC116" s="158"/>
      <c r="AD116" s="154"/>
    </row>
    <row r="117" spans="1:30" ht="14.25" customHeight="1">
      <c r="A117" s="6">
        <f t="shared" si="2"/>
        <v>211005</v>
      </c>
      <c r="B117" s="4" t="s">
        <v>879</v>
      </c>
      <c r="C117" s="6">
        <v>1</v>
      </c>
      <c r="D117" s="6">
        <v>1</v>
      </c>
      <c r="E117" s="2"/>
      <c r="F117" s="6">
        <v>1</v>
      </c>
      <c r="G117" s="6">
        <v>5</v>
      </c>
      <c r="H117" s="6"/>
      <c r="I117" s="6"/>
      <c r="J117" s="6"/>
      <c r="K117" s="6"/>
      <c r="L117" s="6"/>
      <c r="M117" s="2" t="s">
        <v>749</v>
      </c>
      <c r="N117" s="51">
        <v>49</v>
      </c>
      <c r="O117" s="2"/>
      <c r="P117" s="52">
        <v>1005</v>
      </c>
      <c r="R117" s="52">
        <v>2008</v>
      </c>
      <c r="S117" s="2"/>
      <c r="T117" s="2"/>
      <c r="U117" s="2"/>
      <c r="V117" s="6"/>
      <c r="W117" s="2"/>
      <c r="X117" s="2" t="s">
        <v>750</v>
      </c>
      <c r="Y117" s="2"/>
      <c r="Z117" s="155" t="s">
        <v>880</v>
      </c>
      <c r="AA117" s="158"/>
      <c r="AB117" s="158"/>
      <c r="AC117" s="158"/>
      <c r="AD117" s="154"/>
    </row>
    <row r="118" spans="1:30" ht="14.25" customHeight="1">
      <c r="A118" s="6">
        <f t="shared" si="2"/>
        <v>212005</v>
      </c>
      <c r="B118" s="4" t="s">
        <v>881</v>
      </c>
      <c r="C118" s="6">
        <v>1</v>
      </c>
      <c r="D118" s="6">
        <v>1</v>
      </c>
      <c r="E118" s="2"/>
      <c r="F118" s="6">
        <v>1</v>
      </c>
      <c r="G118" s="6">
        <v>5</v>
      </c>
      <c r="H118" s="6"/>
      <c r="I118" s="6"/>
      <c r="J118" s="6"/>
      <c r="K118" s="6"/>
      <c r="L118" s="6"/>
      <c r="M118" s="2" t="s">
        <v>749</v>
      </c>
      <c r="N118" s="51">
        <f>N117-4</f>
        <v>45</v>
      </c>
      <c r="O118" s="2"/>
      <c r="P118" s="52" t="str">
        <f>"1005,3003"</f>
        <v>1005,3003</v>
      </c>
      <c r="Q118" s="52"/>
      <c r="R118" s="52">
        <v>2008</v>
      </c>
      <c r="S118" s="2"/>
      <c r="T118" s="2"/>
      <c r="U118" s="2"/>
      <c r="V118" s="6"/>
      <c r="W118" s="2"/>
      <c r="X118" s="2" t="s">
        <v>750</v>
      </c>
      <c r="Y118" s="2"/>
      <c r="Z118" s="155" t="s">
        <v>882</v>
      </c>
      <c r="AA118" s="158"/>
      <c r="AB118" s="158"/>
      <c r="AC118" s="158"/>
      <c r="AD118" s="154"/>
    </row>
    <row r="119" spans="1:30" ht="14.25" customHeight="1">
      <c r="A119" s="6">
        <f t="shared" si="2"/>
        <v>213005</v>
      </c>
      <c r="B119" s="4" t="s">
        <v>883</v>
      </c>
      <c r="C119" s="6">
        <v>1</v>
      </c>
      <c r="D119" s="6">
        <v>1</v>
      </c>
      <c r="E119" s="2"/>
      <c r="F119" s="6">
        <v>1</v>
      </c>
      <c r="G119" s="6">
        <v>5</v>
      </c>
      <c r="H119" s="6"/>
      <c r="I119" s="6"/>
      <c r="J119" s="6"/>
      <c r="K119" s="6"/>
      <c r="L119" s="6"/>
      <c r="M119" s="2" t="s">
        <v>749</v>
      </c>
      <c r="N119" s="51">
        <f>N118-4</f>
        <v>41</v>
      </c>
      <c r="O119" s="2"/>
      <c r="P119" s="52" t="str">
        <f>"1005,3003,3010"</f>
        <v>1005,3003,3010</v>
      </c>
      <c r="R119" s="52">
        <v>2008</v>
      </c>
      <c r="S119" s="2"/>
      <c r="T119" s="2"/>
      <c r="U119" s="2"/>
      <c r="V119" s="6"/>
      <c r="W119" s="2"/>
      <c r="X119" s="2" t="s">
        <v>750</v>
      </c>
      <c r="Y119" s="2"/>
      <c r="Z119" s="155" t="s">
        <v>884</v>
      </c>
      <c r="AA119" s="158"/>
      <c r="AB119" s="158"/>
      <c r="AC119" s="158"/>
      <c r="AD119" s="154"/>
    </row>
    <row r="120" spans="1:30" ht="14.25" customHeight="1">
      <c r="A120" s="6">
        <f t="shared" si="2"/>
        <v>214005</v>
      </c>
      <c r="B120" s="4" t="s">
        <v>885</v>
      </c>
      <c r="C120" s="6">
        <v>1</v>
      </c>
      <c r="D120" s="6">
        <v>1</v>
      </c>
      <c r="E120" s="2"/>
      <c r="F120" s="6">
        <v>1</v>
      </c>
      <c r="G120" s="6">
        <v>5</v>
      </c>
      <c r="H120" s="6"/>
      <c r="I120" s="6"/>
      <c r="J120" s="6"/>
      <c r="K120" s="6"/>
      <c r="L120" s="6"/>
      <c r="M120" s="2" t="s">
        <v>749</v>
      </c>
      <c r="N120" s="51">
        <f>N119-4</f>
        <v>37</v>
      </c>
      <c r="O120" s="2"/>
      <c r="P120" s="52" t="str">
        <f>"1005,3003,3010"</f>
        <v>1005,3003,3010</v>
      </c>
      <c r="Q120" s="52"/>
      <c r="R120" s="52">
        <v>2008</v>
      </c>
      <c r="S120" s="2"/>
      <c r="T120" s="2"/>
      <c r="U120" s="2"/>
      <c r="V120" s="6"/>
      <c r="W120" s="2"/>
      <c r="X120" s="2" t="s">
        <v>750</v>
      </c>
      <c r="Y120" s="2"/>
      <c r="Z120" s="155" t="s">
        <v>884</v>
      </c>
      <c r="AA120" s="158"/>
      <c r="AB120" s="158"/>
      <c r="AC120" s="158"/>
      <c r="AD120" s="154"/>
    </row>
    <row r="121" spans="1:30" ht="14.25" customHeight="1">
      <c r="A121" s="6">
        <f t="shared" si="2"/>
        <v>215005</v>
      </c>
      <c r="B121" s="4" t="s">
        <v>886</v>
      </c>
      <c r="C121" s="6">
        <v>1</v>
      </c>
      <c r="D121" s="6">
        <v>1</v>
      </c>
      <c r="E121" s="2"/>
      <c r="F121" s="6">
        <v>1</v>
      </c>
      <c r="G121" s="6">
        <v>5</v>
      </c>
      <c r="H121" s="6"/>
      <c r="I121" s="6"/>
      <c r="J121" s="6"/>
      <c r="K121" s="6"/>
      <c r="L121" s="6"/>
      <c r="M121" s="2" t="s">
        <v>749</v>
      </c>
      <c r="N121" s="51">
        <f>N120-4</f>
        <v>33</v>
      </c>
      <c r="O121" s="2"/>
      <c r="P121" s="52" t="str">
        <f>"1005,3003,3010,3011"</f>
        <v>1005,3003,3010,3011</v>
      </c>
      <c r="Q121" s="52"/>
      <c r="R121" s="52">
        <v>1005</v>
      </c>
      <c r="S121" s="2"/>
      <c r="T121" s="2"/>
      <c r="U121" s="2"/>
      <c r="V121" s="6"/>
      <c r="W121" s="2"/>
      <c r="X121" s="2" t="s">
        <v>750</v>
      </c>
      <c r="Y121" s="2"/>
      <c r="Z121" s="155" t="s">
        <v>887</v>
      </c>
      <c r="AA121" s="158"/>
      <c r="AB121" s="158"/>
      <c r="AC121" s="158"/>
      <c r="AD121" s="154"/>
    </row>
    <row r="122" spans="1:30" ht="15.75" customHeight="1">
      <c r="A122" s="6">
        <f t="shared" si="2"/>
        <v>211006</v>
      </c>
      <c r="B122" s="4" t="s">
        <v>888</v>
      </c>
      <c r="C122" s="6">
        <v>-2</v>
      </c>
      <c r="D122" s="6">
        <v>1</v>
      </c>
      <c r="E122" s="2"/>
      <c r="F122" s="6">
        <v>1</v>
      </c>
      <c r="G122" s="6"/>
      <c r="H122" s="6"/>
      <c r="I122" s="6"/>
      <c r="J122" s="6"/>
      <c r="K122" s="6"/>
      <c r="L122" s="6"/>
      <c r="M122" s="2"/>
      <c r="N122" s="51">
        <v>80</v>
      </c>
      <c r="O122" s="2"/>
      <c r="P122" s="52">
        <v>3001</v>
      </c>
      <c r="Q122" s="52"/>
      <c r="R122" s="52">
        <v>1996</v>
      </c>
      <c r="S122" s="2"/>
      <c r="T122" s="2"/>
      <c r="U122" s="2"/>
      <c r="V122" s="6"/>
      <c r="W122" s="2"/>
      <c r="X122" s="53" t="s">
        <v>767</v>
      </c>
      <c r="Y122" s="2"/>
      <c r="Z122" s="155" t="s">
        <v>889</v>
      </c>
      <c r="AA122" s="158"/>
      <c r="AB122" s="158"/>
      <c r="AC122" s="158"/>
      <c r="AD122" s="154"/>
    </row>
    <row r="123" spans="1:30" ht="15.75" customHeight="1">
      <c r="A123" s="6">
        <f t="shared" si="2"/>
        <v>212006</v>
      </c>
      <c r="B123" s="4" t="s">
        <v>890</v>
      </c>
      <c r="C123" s="6">
        <v>-2</v>
      </c>
      <c r="D123" s="6">
        <v>1</v>
      </c>
      <c r="E123" s="2"/>
      <c r="F123" s="6">
        <v>1</v>
      </c>
      <c r="G123" s="6"/>
      <c r="H123" s="6"/>
      <c r="I123" s="6"/>
      <c r="J123" s="6"/>
      <c r="K123" s="6"/>
      <c r="L123" s="6"/>
      <c r="M123" s="2"/>
      <c r="N123" s="51">
        <f>N122-4</f>
        <v>76</v>
      </c>
      <c r="O123" s="2"/>
      <c r="P123" s="52" t="str">
        <f>"3001,1012"</f>
        <v>3001,1012</v>
      </c>
      <c r="Q123" s="52"/>
      <c r="R123" s="52">
        <v>1996</v>
      </c>
      <c r="S123" s="2"/>
      <c r="T123" s="2"/>
      <c r="U123" s="2"/>
      <c r="V123" s="6"/>
      <c r="W123" s="2"/>
      <c r="X123" s="53" t="s">
        <v>767</v>
      </c>
      <c r="Y123" s="2"/>
      <c r="Z123" s="155" t="s">
        <v>891</v>
      </c>
      <c r="AA123" s="158"/>
      <c r="AB123" s="158"/>
      <c r="AC123" s="158"/>
      <c r="AD123" s="154"/>
    </row>
    <row r="124" spans="1:30" ht="15.75" customHeight="1">
      <c r="A124" s="6">
        <f t="shared" si="2"/>
        <v>213006</v>
      </c>
      <c r="B124" s="4" t="s">
        <v>892</v>
      </c>
      <c r="C124" s="6">
        <v>-3</v>
      </c>
      <c r="D124" s="6">
        <v>1</v>
      </c>
      <c r="E124" s="2"/>
      <c r="F124" s="6">
        <v>1</v>
      </c>
      <c r="G124" s="6"/>
      <c r="H124" s="6"/>
      <c r="I124" s="6"/>
      <c r="J124" s="6"/>
      <c r="K124" s="6"/>
      <c r="L124" s="6"/>
      <c r="M124" s="2"/>
      <c r="N124" s="51">
        <f>N123-4</f>
        <v>72</v>
      </c>
      <c r="O124" s="2"/>
      <c r="P124" s="52" t="str">
        <f>"3001,1012"</f>
        <v>3001,1012</v>
      </c>
      <c r="Q124" s="52"/>
      <c r="R124" s="52">
        <v>1996</v>
      </c>
      <c r="S124" s="2"/>
      <c r="T124" s="2"/>
      <c r="U124" s="2"/>
      <c r="V124" s="6"/>
      <c r="W124" s="2"/>
      <c r="X124" s="53" t="s">
        <v>767</v>
      </c>
      <c r="Y124" s="2"/>
      <c r="Z124" s="155" t="s">
        <v>893</v>
      </c>
      <c r="AA124" s="158"/>
      <c r="AB124" s="158"/>
      <c r="AC124" s="158"/>
      <c r="AD124" s="154"/>
    </row>
    <row r="125" spans="1:30" ht="15.75" customHeight="1">
      <c r="A125" s="6">
        <f t="shared" si="2"/>
        <v>214006</v>
      </c>
      <c r="B125" s="4" t="s">
        <v>894</v>
      </c>
      <c r="C125" s="6">
        <v>-3</v>
      </c>
      <c r="D125" s="6">
        <v>1</v>
      </c>
      <c r="E125" s="2"/>
      <c r="F125" s="6">
        <v>1</v>
      </c>
      <c r="G125" s="6"/>
      <c r="H125" s="6"/>
      <c r="I125" s="6"/>
      <c r="J125" s="6"/>
      <c r="K125" s="6"/>
      <c r="L125" s="6"/>
      <c r="M125" s="2"/>
      <c r="N125" s="51">
        <f>N124-4</f>
        <v>68</v>
      </c>
      <c r="O125" s="2"/>
      <c r="P125" s="52" t="str">
        <f>"3001,1012,1012"</f>
        <v>3001,1012,1012</v>
      </c>
      <c r="Q125" s="52"/>
      <c r="R125" s="52">
        <v>1996</v>
      </c>
      <c r="S125" s="2"/>
      <c r="T125" s="2"/>
      <c r="U125" s="2"/>
      <c r="V125" s="6"/>
      <c r="W125" s="2"/>
      <c r="X125" s="53" t="s">
        <v>767</v>
      </c>
      <c r="Y125" s="2"/>
      <c r="Z125" s="155" t="s">
        <v>895</v>
      </c>
      <c r="AA125" s="158"/>
      <c r="AB125" s="158"/>
      <c r="AC125" s="158"/>
      <c r="AD125" s="154"/>
    </row>
    <row r="126" spans="1:30" ht="15.75" customHeight="1">
      <c r="A126" s="6">
        <f t="shared" si="2"/>
        <v>215006</v>
      </c>
      <c r="B126" s="4" t="s">
        <v>896</v>
      </c>
      <c r="C126" s="6">
        <v>-3</v>
      </c>
      <c r="D126" s="6">
        <v>1</v>
      </c>
      <c r="E126" s="2"/>
      <c r="F126" s="6">
        <v>1</v>
      </c>
      <c r="G126" s="6"/>
      <c r="H126" s="6"/>
      <c r="I126" s="6"/>
      <c r="J126" s="6"/>
      <c r="K126" s="6"/>
      <c r="L126" s="6"/>
      <c r="M126" s="2"/>
      <c r="N126" s="51">
        <f>N125-4</f>
        <v>64</v>
      </c>
      <c r="O126" s="2"/>
      <c r="P126" s="52" t="str">
        <f>"3001,1012,1012"</f>
        <v>3001,1012,1012</v>
      </c>
      <c r="Q126" s="52"/>
      <c r="R126" s="52">
        <v>1996</v>
      </c>
      <c r="S126" s="2"/>
      <c r="T126" s="2"/>
      <c r="U126" s="2">
        <v>4002</v>
      </c>
      <c r="V126" s="6"/>
      <c r="W126" s="2"/>
      <c r="X126" s="53" t="s">
        <v>767</v>
      </c>
      <c r="Y126" s="2"/>
      <c r="Z126" s="155" t="s">
        <v>897</v>
      </c>
      <c r="AA126" s="158"/>
      <c r="AB126" s="158"/>
      <c r="AC126" s="158"/>
      <c r="AD126" s="154"/>
    </row>
    <row r="127" spans="1:30" ht="15.75" customHeight="1">
      <c r="A127" s="6">
        <f t="shared" si="2"/>
        <v>211007</v>
      </c>
      <c r="B127" s="4" t="s">
        <v>898</v>
      </c>
      <c r="C127" s="6">
        <v>-2</v>
      </c>
      <c r="D127" s="6"/>
      <c r="E127" s="2"/>
      <c r="F127" s="6">
        <v>1</v>
      </c>
      <c r="G127" s="6"/>
      <c r="H127" s="6">
        <v>2.5</v>
      </c>
      <c r="I127" s="6"/>
      <c r="J127" s="6"/>
      <c r="K127" s="6"/>
      <c r="L127" s="6"/>
      <c r="M127" s="2" t="s">
        <v>768</v>
      </c>
      <c r="N127" s="51">
        <v>48</v>
      </c>
      <c r="O127" s="2"/>
      <c r="P127" s="52"/>
      <c r="Q127" s="52"/>
      <c r="R127" s="52" t="str">
        <f>"1999,1996"</f>
        <v>1999,1996</v>
      </c>
      <c r="S127" s="2"/>
      <c r="T127" s="2"/>
      <c r="U127" s="2"/>
      <c r="V127" s="6"/>
      <c r="W127" s="2"/>
      <c r="X127" s="53" t="s">
        <v>767</v>
      </c>
      <c r="Y127" s="2"/>
      <c r="Z127" s="155" t="s">
        <v>899</v>
      </c>
      <c r="AA127" s="158"/>
      <c r="AB127" s="158"/>
      <c r="AC127" s="158"/>
      <c r="AD127" s="154"/>
    </row>
    <row r="128" spans="1:30" ht="15.75" customHeight="1">
      <c r="A128" s="6">
        <f t="shared" si="2"/>
        <v>212007</v>
      </c>
      <c r="B128" s="4" t="s">
        <v>900</v>
      </c>
      <c r="C128" s="6">
        <v>-2</v>
      </c>
      <c r="D128" s="6"/>
      <c r="E128" s="2"/>
      <c r="F128" s="6">
        <v>1</v>
      </c>
      <c r="G128" s="6"/>
      <c r="H128" s="6">
        <v>2.5</v>
      </c>
      <c r="I128" s="6"/>
      <c r="J128" s="6"/>
      <c r="K128" s="6"/>
      <c r="L128" s="6"/>
      <c r="M128" s="2" t="s">
        <v>768</v>
      </c>
      <c r="N128" s="51">
        <f>N127-4</f>
        <v>44</v>
      </c>
      <c r="O128" s="2"/>
      <c r="P128" s="52">
        <v>3003</v>
      </c>
      <c r="Q128" s="52"/>
      <c r="R128" s="52" t="str">
        <f>"1999,1996"</f>
        <v>1999,1996</v>
      </c>
      <c r="S128" s="2"/>
      <c r="T128" s="2"/>
      <c r="U128" s="2"/>
      <c r="V128" s="6"/>
      <c r="W128" s="2"/>
      <c r="X128" s="53" t="s">
        <v>767</v>
      </c>
      <c r="Y128" s="2"/>
      <c r="Z128" s="155" t="s">
        <v>901</v>
      </c>
      <c r="AA128" s="158"/>
      <c r="AB128" s="158"/>
      <c r="AC128" s="158"/>
      <c r="AD128" s="154"/>
    </row>
    <row r="129" spans="1:30" ht="15.75" customHeight="1">
      <c r="A129" s="6">
        <f t="shared" si="2"/>
        <v>213007</v>
      </c>
      <c r="B129" s="4" t="s">
        <v>902</v>
      </c>
      <c r="C129" s="6">
        <v>-2</v>
      </c>
      <c r="D129" s="6"/>
      <c r="E129" s="2"/>
      <c r="F129" s="6">
        <v>1</v>
      </c>
      <c r="G129" s="6"/>
      <c r="H129" s="6">
        <v>2.5</v>
      </c>
      <c r="I129" s="6"/>
      <c r="J129" s="6"/>
      <c r="K129" s="6"/>
      <c r="L129" s="6"/>
      <c r="M129" s="2" t="s">
        <v>768</v>
      </c>
      <c r="N129" s="51">
        <f>N128-4</f>
        <v>40</v>
      </c>
      <c r="O129" s="2"/>
      <c r="P129" s="52" t="str">
        <f>"3003,1997"</f>
        <v>3003,1997</v>
      </c>
      <c r="Q129" s="52"/>
      <c r="R129" s="52" t="str">
        <f>"1999,1996"</f>
        <v>1999,1996</v>
      </c>
      <c r="S129" s="2"/>
      <c r="T129" s="2"/>
      <c r="U129" s="2"/>
      <c r="V129" s="6"/>
      <c r="W129" s="2"/>
      <c r="X129" s="53" t="s">
        <v>767</v>
      </c>
      <c r="Y129" s="2"/>
      <c r="Z129" s="155" t="s">
        <v>903</v>
      </c>
      <c r="AA129" s="158"/>
      <c r="AB129" s="158"/>
      <c r="AC129" s="158"/>
      <c r="AD129" s="154"/>
    </row>
    <row r="130" spans="1:30" ht="15.75" customHeight="1">
      <c r="A130" s="6">
        <f t="shared" si="2"/>
        <v>214007</v>
      </c>
      <c r="B130" s="4" t="s">
        <v>904</v>
      </c>
      <c r="C130" s="6">
        <v>-2</v>
      </c>
      <c r="D130" s="6"/>
      <c r="E130" s="2"/>
      <c r="F130" s="6">
        <v>1</v>
      </c>
      <c r="G130" s="6"/>
      <c r="H130" s="6">
        <v>2.5</v>
      </c>
      <c r="I130" s="6"/>
      <c r="J130" s="6"/>
      <c r="K130" s="6"/>
      <c r="L130" s="6"/>
      <c r="M130" s="2" t="s">
        <v>768</v>
      </c>
      <c r="N130" s="51">
        <f>N129-4</f>
        <v>36</v>
      </c>
      <c r="O130" s="2"/>
      <c r="P130" s="52" t="str">
        <f>"3003,1997"</f>
        <v>3003,1997</v>
      </c>
      <c r="Q130" s="52"/>
      <c r="R130" s="52" t="str">
        <f>"1999,1996,1002,1004"</f>
        <v>1999,1996,1002,1004</v>
      </c>
      <c r="S130" s="2"/>
      <c r="T130" s="2"/>
      <c r="U130" s="2"/>
      <c r="V130" s="6"/>
      <c r="W130" s="2"/>
      <c r="X130" s="53" t="s">
        <v>767</v>
      </c>
      <c r="Y130" s="2"/>
      <c r="Z130" s="155" t="s">
        <v>905</v>
      </c>
      <c r="AA130" s="158"/>
      <c r="AB130" s="158"/>
      <c r="AC130" s="158"/>
      <c r="AD130" s="154"/>
    </row>
    <row r="131" spans="1:30" ht="15.75" customHeight="1">
      <c r="A131" s="6">
        <f t="shared" si="2"/>
        <v>215007</v>
      </c>
      <c r="B131" s="4" t="s">
        <v>906</v>
      </c>
      <c r="C131" s="6">
        <v>-3</v>
      </c>
      <c r="D131" s="6"/>
      <c r="E131" s="2"/>
      <c r="F131" s="6">
        <v>1</v>
      </c>
      <c r="G131" s="6"/>
      <c r="H131" s="6">
        <v>2.5</v>
      </c>
      <c r="I131" s="6"/>
      <c r="J131" s="6"/>
      <c r="K131" s="6"/>
      <c r="L131" s="6"/>
      <c r="M131" s="2" t="s">
        <v>768</v>
      </c>
      <c r="N131" s="51">
        <f>N130-4</f>
        <v>32</v>
      </c>
      <c r="O131" s="2"/>
      <c r="P131" s="52" t="str">
        <f>"3003,1997"</f>
        <v>3003,1997</v>
      </c>
      <c r="Q131" s="52"/>
      <c r="R131" s="52" t="str">
        <f>"1999,1996,1002,1004"</f>
        <v>1999,1996,1002,1004</v>
      </c>
      <c r="S131" s="2"/>
      <c r="T131" s="2"/>
      <c r="U131" s="2"/>
      <c r="V131" s="6"/>
      <c r="W131" s="2"/>
      <c r="X131" s="53" t="s">
        <v>767</v>
      </c>
      <c r="Y131" s="2"/>
      <c r="Z131" s="155" t="s">
        <v>907</v>
      </c>
      <c r="AA131" s="158"/>
      <c r="AB131" s="158"/>
      <c r="AC131" s="158"/>
      <c r="AD131" s="154"/>
    </row>
    <row r="132" spans="1:30" ht="15.75" customHeight="1">
      <c r="A132" s="6">
        <f t="shared" si="2"/>
        <v>211008</v>
      </c>
      <c r="B132" s="54" t="s">
        <v>908</v>
      </c>
      <c r="C132" s="6">
        <v>1</v>
      </c>
      <c r="D132" s="55"/>
      <c r="E132" s="2"/>
      <c r="F132" s="6">
        <v>1</v>
      </c>
      <c r="G132" s="55"/>
      <c r="H132" s="55">
        <v>4.8</v>
      </c>
      <c r="I132" s="6"/>
      <c r="J132" s="6"/>
      <c r="K132" s="6"/>
      <c r="L132" s="6"/>
      <c r="M132" s="2" t="s">
        <v>756</v>
      </c>
      <c r="N132" s="51">
        <v>96</v>
      </c>
      <c r="O132" s="54"/>
      <c r="P132" s="56">
        <v>1003</v>
      </c>
      <c r="Q132" s="56"/>
      <c r="R132" s="56">
        <v>4001</v>
      </c>
      <c r="S132" s="54">
        <v>0.5</v>
      </c>
      <c r="T132" s="54"/>
      <c r="U132" s="54"/>
      <c r="V132" s="55"/>
      <c r="W132" s="53" t="s">
        <v>757</v>
      </c>
      <c r="X132" s="53" t="s">
        <v>758</v>
      </c>
      <c r="Y132" s="53"/>
      <c r="Z132" s="155" t="s">
        <v>909</v>
      </c>
      <c r="AA132" s="158"/>
      <c r="AB132" s="158"/>
      <c r="AC132" s="158"/>
      <c r="AD132" s="154"/>
    </row>
    <row r="133" spans="1:30" ht="15.75" customHeight="1">
      <c r="A133" s="6">
        <f t="shared" si="2"/>
        <v>212008</v>
      </c>
      <c r="B133" s="54" t="s">
        <v>910</v>
      </c>
      <c r="C133" s="6">
        <v>1</v>
      </c>
      <c r="D133" s="55"/>
      <c r="E133" s="2"/>
      <c r="F133" s="6">
        <v>1</v>
      </c>
      <c r="G133" s="55"/>
      <c r="H133" s="55">
        <v>4.8</v>
      </c>
      <c r="I133" s="6"/>
      <c r="J133" s="6"/>
      <c r="K133" s="6"/>
      <c r="L133" s="6"/>
      <c r="M133" s="2" t="s">
        <v>756</v>
      </c>
      <c r="N133" s="51">
        <f>N132-4</f>
        <v>92</v>
      </c>
      <c r="O133" s="54"/>
      <c r="P133" s="56"/>
      <c r="Q133" s="56"/>
      <c r="R133" s="56">
        <v>4001</v>
      </c>
      <c r="S133" s="54"/>
      <c r="T133" s="54"/>
      <c r="U133" s="54"/>
      <c r="V133" s="55"/>
      <c r="W133" s="53" t="s">
        <v>757</v>
      </c>
      <c r="X133" s="53" t="s">
        <v>758</v>
      </c>
      <c r="Y133" s="53"/>
      <c r="Z133" s="155" t="s">
        <v>911</v>
      </c>
      <c r="AA133" s="158"/>
      <c r="AB133" s="158"/>
      <c r="AC133" s="158"/>
      <c r="AD133" s="154"/>
    </row>
    <row r="134" spans="1:30" ht="15.75" customHeight="1">
      <c r="A134" s="6">
        <f t="shared" ref="A134:A156" si="3">A129+1</f>
        <v>213008</v>
      </c>
      <c r="B134" s="54" t="s">
        <v>912</v>
      </c>
      <c r="C134" s="6">
        <v>2</v>
      </c>
      <c r="D134" s="55"/>
      <c r="E134" s="2"/>
      <c r="F134" s="6">
        <v>1</v>
      </c>
      <c r="G134" s="55"/>
      <c r="H134" s="55">
        <v>4.8</v>
      </c>
      <c r="I134" s="6"/>
      <c r="J134" s="6"/>
      <c r="K134" s="6"/>
      <c r="L134" s="6"/>
      <c r="M134" s="2" t="s">
        <v>756</v>
      </c>
      <c r="N134" s="51">
        <f>N133-4</f>
        <v>88</v>
      </c>
      <c r="O134" s="54"/>
      <c r="P134" s="56"/>
      <c r="Q134" s="56"/>
      <c r="R134" s="56">
        <v>4001</v>
      </c>
      <c r="S134" s="54"/>
      <c r="T134" s="54"/>
      <c r="U134" s="54"/>
      <c r="V134" s="55"/>
      <c r="W134" s="53" t="s">
        <v>757</v>
      </c>
      <c r="X134" s="53" t="s">
        <v>758</v>
      </c>
      <c r="Y134" s="53"/>
      <c r="Z134" s="155" t="s">
        <v>913</v>
      </c>
      <c r="AA134" s="158"/>
      <c r="AB134" s="158"/>
      <c r="AC134" s="158"/>
      <c r="AD134" s="154"/>
    </row>
    <row r="135" spans="1:30" ht="15.75" customHeight="1">
      <c r="A135" s="6">
        <f t="shared" si="3"/>
        <v>214008</v>
      </c>
      <c r="B135" s="54" t="s">
        <v>914</v>
      </c>
      <c r="C135" s="6">
        <v>2</v>
      </c>
      <c r="D135" s="55"/>
      <c r="E135" s="2"/>
      <c r="F135" s="6">
        <v>1</v>
      </c>
      <c r="G135" s="55"/>
      <c r="H135" s="55">
        <v>4.8</v>
      </c>
      <c r="I135" s="6"/>
      <c r="J135" s="6"/>
      <c r="K135" s="6"/>
      <c r="L135" s="6"/>
      <c r="M135" s="2" t="s">
        <v>756</v>
      </c>
      <c r="N135" s="51">
        <f>N134-4</f>
        <v>84</v>
      </c>
      <c r="O135" s="54"/>
      <c r="P135" s="56">
        <v>3003</v>
      </c>
      <c r="Q135" s="56"/>
      <c r="R135" s="56">
        <v>4001</v>
      </c>
      <c r="S135" s="54"/>
      <c r="T135" s="54"/>
      <c r="U135" s="54"/>
      <c r="V135" s="55"/>
      <c r="W135" s="53" t="s">
        <v>757</v>
      </c>
      <c r="X135" s="53" t="s">
        <v>758</v>
      </c>
      <c r="Y135" s="53"/>
      <c r="Z135" s="155" t="s">
        <v>915</v>
      </c>
      <c r="AA135" s="158"/>
      <c r="AB135" s="158"/>
      <c r="AC135" s="158"/>
      <c r="AD135" s="154"/>
    </row>
    <row r="136" spans="1:30" ht="15.75" customHeight="1">
      <c r="A136" s="6">
        <f t="shared" si="3"/>
        <v>215008</v>
      </c>
      <c r="B136" s="54" t="s">
        <v>916</v>
      </c>
      <c r="C136" s="6">
        <v>3</v>
      </c>
      <c r="D136" s="55"/>
      <c r="E136" s="2"/>
      <c r="F136" s="6">
        <v>1</v>
      </c>
      <c r="G136" s="55"/>
      <c r="H136" s="55">
        <v>4.8</v>
      </c>
      <c r="I136" s="6"/>
      <c r="J136" s="6"/>
      <c r="K136" s="6"/>
      <c r="L136" s="6"/>
      <c r="M136" s="2" t="s">
        <v>756</v>
      </c>
      <c r="N136" s="51">
        <f>N135-4</f>
        <v>80</v>
      </c>
      <c r="O136" s="54"/>
      <c r="P136" s="56">
        <v>3003</v>
      </c>
      <c r="Q136" s="56"/>
      <c r="R136" s="56">
        <v>4001</v>
      </c>
      <c r="S136" s="54"/>
      <c r="T136" s="54"/>
      <c r="U136" s="54"/>
      <c r="V136" s="55"/>
      <c r="W136" s="53" t="s">
        <v>757</v>
      </c>
      <c r="X136" s="53" t="s">
        <v>758</v>
      </c>
      <c r="Y136" s="53"/>
      <c r="Z136" s="155" t="s">
        <v>917</v>
      </c>
      <c r="AA136" s="158"/>
      <c r="AB136" s="158"/>
      <c r="AC136" s="158"/>
      <c r="AD136" s="154"/>
    </row>
    <row r="137" spans="1:30" ht="15.75" customHeight="1">
      <c r="A137" s="6">
        <f t="shared" si="3"/>
        <v>211009</v>
      </c>
      <c r="B137" s="54" t="s">
        <v>918</v>
      </c>
      <c r="C137" s="6">
        <v>1</v>
      </c>
      <c r="D137" s="55"/>
      <c r="E137" s="2"/>
      <c r="F137" s="6">
        <v>1</v>
      </c>
      <c r="G137" s="55">
        <v>4.8</v>
      </c>
      <c r="H137" s="55"/>
      <c r="I137" s="6"/>
      <c r="J137" s="6"/>
      <c r="K137" s="6"/>
      <c r="L137" s="6"/>
      <c r="M137" s="2" t="s">
        <v>749</v>
      </c>
      <c r="N137" s="51">
        <v>96</v>
      </c>
      <c r="O137" s="54"/>
      <c r="P137" s="56" t="str">
        <f>"1005,3003"</f>
        <v>1005,3003</v>
      </c>
      <c r="Q137" s="56"/>
      <c r="R137" s="56"/>
      <c r="S137" s="54"/>
      <c r="T137" s="54"/>
      <c r="U137" s="54"/>
      <c r="V137" s="55"/>
      <c r="W137" s="53" t="s">
        <v>757</v>
      </c>
      <c r="X137" s="53" t="s">
        <v>758</v>
      </c>
      <c r="Y137" s="53"/>
      <c r="Z137" s="155" t="s">
        <v>919</v>
      </c>
      <c r="AA137" s="158"/>
      <c r="AB137" s="158"/>
      <c r="AC137" s="158"/>
      <c r="AD137" s="154"/>
    </row>
    <row r="138" spans="1:30" ht="15.75" customHeight="1">
      <c r="A138" s="6">
        <f t="shared" si="3"/>
        <v>212009</v>
      </c>
      <c r="B138" s="54" t="s">
        <v>920</v>
      </c>
      <c r="C138" s="6">
        <v>1</v>
      </c>
      <c r="D138" s="55"/>
      <c r="E138" s="2"/>
      <c r="F138" s="6">
        <v>1</v>
      </c>
      <c r="G138" s="55">
        <v>4.8</v>
      </c>
      <c r="H138" s="55"/>
      <c r="I138" s="6"/>
      <c r="J138" s="6"/>
      <c r="K138" s="6"/>
      <c r="L138" s="6"/>
      <c r="M138" s="2" t="s">
        <v>749</v>
      </c>
      <c r="N138" s="51">
        <f>N137-4</f>
        <v>92</v>
      </c>
      <c r="O138" s="54"/>
      <c r="P138" s="56" t="str">
        <f>"1005,3003,1007"</f>
        <v>1005,3003,1007</v>
      </c>
      <c r="Q138" s="56"/>
      <c r="R138" s="56"/>
      <c r="S138" s="54"/>
      <c r="T138" s="54"/>
      <c r="U138" s="54"/>
      <c r="V138" s="55"/>
      <c r="W138" s="53" t="s">
        <v>757</v>
      </c>
      <c r="X138" s="53" t="s">
        <v>758</v>
      </c>
      <c r="Y138" s="53"/>
      <c r="Z138" s="155" t="s">
        <v>921</v>
      </c>
      <c r="AA138" s="158"/>
      <c r="AB138" s="158"/>
      <c r="AC138" s="158"/>
      <c r="AD138" s="154"/>
    </row>
    <row r="139" spans="1:30" ht="15.75" customHeight="1">
      <c r="A139" s="6">
        <f t="shared" si="3"/>
        <v>213009</v>
      </c>
      <c r="B139" s="54" t="s">
        <v>920</v>
      </c>
      <c r="C139" s="6">
        <v>1</v>
      </c>
      <c r="D139" s="55"/>
      <c r="E139" s="2"/>
      <c r="F139" s="6">
        <v>1</v>
      </c>
      <c r="G139" s="55">
        <v>4.8</v>
      </c>
      <c r="H139" s="55"/>
      <c r="I139" s="6"/>
      <c r="J139" s="6"/>
      <c r="K139" s="6"/>
      <c r="L139" s="6"/>
      <c r="M139" s="2" t="s">
        <v>749</v>
      </c>
      <c r="N139" s="51">
        <f>N138-4</f>
        <v>88</v>
      </c>
      <c r="O139" s="54"/>
      <c r="P139" s="56" t="str">
        <f>"1005,3003,1007,1006"</f>
        <v>1005,3003,1007,1006</v>
      </c>
      <c r="Q139" s="56"/>
      <c r="R139" s="56"/>
      <c r="S139" s="54"/>
      <c r="T139" s="54"/>
      <c r="U139" s="54"/>
      <c r="V139" s="55"/>
      <c r="W139" s="53" t="s">
        <v>757</v>
      </c>
      <c r="X139" s="53" t="s">
        <v>758</v>
      </c>
      <c r="Y139" s="53"/>
      <c r="Z139" s="155" t="s">
        <v>922</v>
      </c>
      <c r="AA139" s="158"/>
      <c r="AB139" s="158"/>
      <c r="AC139" s="158"/>
      <c r="AD139" s="154"/>
    </row>
    <row r="140" spans="1:30" ht="15.75" customHeight="1">
      <c r="A140" s="6">
        <f t="shared" si="3"/>
        <v>214009</v>
      </c>
      <c r="B140" s="54" t="s">
        <v>920</v>
      </c>
      <c r="C140" s="6">
        <v>2</v>
      </c>
      <c r="D140" s="55"/>
      <c r="E140" s="2"/>
      <c r="F140" s="6">
        <v>1</v>
      </c>
      <c r="G140" s="55">
        <v>4.8</v>
      </c>
      <c r="H140" s="55"/>
      <c r="I140" s="6"/>
      <c r="J140" s="6"/>
      <c r="K140" s="6"/>
      <c r="L140" s="6"/>
      <c r="M140" s="2" t="s">
        <v>749</v>
      </c>
      <c r="N140" s="51">
        <f>N139-4</f>
        <v>84</v>
      </c>
      <c r="O140" s="54"/>
      <c r="P140" s="56" t="str">
        <f>"1005,3003,1007,1006"</f>
        <v>1005,3003,1007,1006</v>
      </c>
      <c r="Q140" s="56"/>
      <c r="R140" s="56"/>
      <c r="S140" s="54"/>
      <c r="T140" s="54"/>
      <c r="U140" s="54"/>
      <c r="V140" s="55"/>
      <c r="W140" s="53" t="s">
        <v>757</v>
      </c>
      <c r="X140" s="53" t="s">
        <v>758</v>
      </c>
      <c r="Y140" s="53"/>
      <c r="Z140" s="155" t="s">
        <v>923</v>
      </c>
      <c r="AA140" s="158"/>
      <c r="AB140" s="158"/>
      <c r="AC140" s="158"/>
      <c r="AD140" s="154"/>
    </row>
    <row r="141" spans="1:30" ht="15.75" customHeight="1">
      <c r="A141" s="6">
        <f t="shared" si="3"/>
        <v>215009</v>
      </c>
      <c r="B141" s="54" t="s">
        <v>924</v>
      </c>
      <c r="C141" s="6">
        <v>2</v>
      </c>
      <c r="D141" s="55"/>
      <c r="E141" s="2"/>
      <c r="F141" s="6">
        <v>1</v>
      </c>
      <c r="G141" s="55">
        <v>4.8</v>
      </c>
      <c r="H141" s="55"/>
      <c r="I141" s="6"/>
      <c r="J141" s="6"/>
      <c r="K141" s="6"/>
      <c r="L141" s="6"/>
      <c r="M141" s="2" t="s">
        <v>749</v>
      </c>
      <c r="N141" s="51">
        <f>N140-4</f>
        <v>80</v>
      </c>
      <c r="O141" s="54"/>
      <c r="P141" s="56" t="str">
        <f>"3003,1005,1005,1006,1006,1007,1007"</f>
        <v>3003,1005,1005,1006,1006,1007,1007</v>
      </c>
      <c r="Q141" s="56"/>
      <c r="R141" s="56"/>
      <c r="S141" s="54"/>
      <c r="T141" s="54"/>
      <c r="U141" s="54"/>
      <c r="V141" s="55"/>
      <c r="W141" s="53" t="s">
        <v>757</v>
      </c>
      <c r="X141" s="53" t="s">
        <v>758</v>
      </c>
      <c r="Y141" s="53"/>
      <c r="Z141" s="155" t="s">
        <v>925</v>
      </c>
      <c r="AA141" s="158"/>
      <c r="AB141" s="158"/>
      <c r="AC141" s="158"/>
      <c r="AD141" s="154"/>
    </row>
    <row r="142" spans="1:30" ht="15.75" customHeight="1">
      <c r="A142" s="6">
        <f t="shared" si="3"/>
        <v>211010</v>
      </c>
      <c r="B142" s="54" t="s">
        <v>926</v>
      </c>
      <c r="C142" s="55">
        <v>1</v>
      </c>
      <c r="D142" s="55"/>
      <c r="E142" s="2"/>
      <c r="F142" s="6">
        <v>1</v>
      </c>
      <c r="G142" s="55">
        <v>4.8</v>
      </c>
      <c r="H142" s="55"/>
      <c r="I142" s="6"/>
      <c r="J142" s="6"/>
      <c r="K142" s="6"/>
      <c r="L142" s="6"/>
      <c r="M142" s="2" t="s">
        <v>749</v>
      </c>
      <c r="N142" s="51">
        <v>48</v>
      </c>
      <c r="O142" s="54"/>
      <c r="P142" s="56"/>
      <c r="Q142" s="56"/>
      <c r="R142" s="56" t="str">
        <f>"4003,4004"</f>
        <v>4003,4004</v>
      </c>
      <c r="S142" s="54">
        <v>0.4</v>
      </c>
      <c r="T142" s="54"/>
      <c r="U142" s="54"/>
      <c r="V142" s="6"/>
      <c r="W142" s="53"/>
      <c r="X142" s="2" t="s">
        <v>750</v>
      </c>
      <c r="Y142" s="53"/>
      <c r="Z142" s="155" t="s">
        <v>927</v>
      </c>
      <c r="AA142" s="158"/>
      <c r="AB142" s="158"/>
      <c r="AC142" s="158"/>
      <c r="AD142" s="154"/>
    </row>
    <row r="143" spans="1:30" ht="15.75" customHeight="1">
      <c r="A143" s="6">
        <f t="shared" si="3"/>
        <v>212010</v>
      </c>
      <c r="B143" s="54" t="s">
        <v>928</v>
      </c>
      <c r="C143" s="55">
        <v>1</v>
      </c>
      <c r="D143" s="55"/>
      <c r="E143" s="2"/>
      <c r="F143" s="6">
        <v>1</v>
      </c>
      <c r="G143" s="55">
        <v>4.8</v>
      </c>
      <c r="H143" s="55"/>
      <c r="I143" s="6"/>
      <c r="J143" s="6"/>
      <c r="K143" s="6"/>
      <c r="L143" s="6"/>
      <c r="M143" s="2" t="s">
        <v>749</v>
      </c>
      <c r="N143" s="51">
        <f>N142-4</f>
        <v>44</v>
      </c>
      <c r="O143" s="54"/>
      <c r="P143" s="56"/>
      <c r="Q143" s="56"/>
      <c r="R143" s="56" t="str">
        <f>"4003,4004,4001"</f>
        <v>4003,4004,4001</v>
      </c>
      <c r="S143" s="54">
        <v>0.4</v>
      </c>
      <c r="T143" s="54"/>
      <c r="U143" s="54"/>
      <c r="V143" s="6"/>
      <c r="W143" s="53"/>
      <c r="X143" s="2" t="s">
        <v>750</v>
      </c>
      <c r="Y143" s="53"/>
      <c r="Z143" s="155" t="s">
        <v>929</v>
      </c>
      <c r="AA143" s="158"/>
      <c r="AB143" s="158"/>
      <c r="AC143" s="158"/>
      <c r="AD143" s="154"/>
    </row>
    <row r="144" spans="1:30" ht="15.75" customHeight="1">
      <c r="A144" s="6">
        <f t="shared" si="3"/>
        <v>213010</v>
      </c>
      <c r="B144" s="54" t="s">
        <v>930</v>
      </c>
      <c r="C144" s="55">
        <v>1</v>
      </c>
      <c r="D144" s="55"/>
      <c r="E144" s="2"/>
      <c r="F144" s="6">
        <v>1</v>
      </c>
      <c r="G144" s="55">
        <v>4.8</v>
      </c>
      <c r="H144" s="55"/>
      <c r="I144" s="6"/>
      <c r="J144" s="6"/>
      <c r="K144" s="6"/>
      <c r="L144" s="6"/>
      <c r="M144" s="2" t="s">
        <v>749</v>
      </c>
      <c r="N144" s="51">
        <f>N143-4</f>
        <v>40</v>
      </c>
      <c r="O144" s="54"/>
      <c r="P144" s="56"/>
      <c r="Q144" s="56"/>
      <c r="R144" s="56" t="str">
        <f>"4003,4004,4001,4002"</f>
        <v>4003,4004,4001,4002</v>
      </c>
      <c r="S144" s="54">
        <v>0.4</v>
      </c>
      <c r="T144" s="54"/>
      <c r="U144" s="54"/>
      <c r="V144" s="6"/>
      <c r="W144" s="53"/>
      <c r="X144" s="2" t="s">
        <v>750</v>
      </c>
      <c r="Y144" s="53"/>
      <c r="Z144" s="155" t="s">
        <v>931</v>
      </c>
      <c r="AA144" s="158"/>
      <c r="AB144" s="158"/>
      <c r="AC144" s="158"/>
      <c r="AD144" s="154"/>
    </row>
    <row r="145" spans="1:30" ht="15.75" customHeight="1">
      <c r="A145" s="6">
        <f t="shared" si="3"/>
        <v>214010</v>
      </c>
      <c r="B145" s="54" t="s">
        <v>932</v>
      </c>
      <c r="C145" s="55">
        <v>1</v>
      </c>
      <c r="D145" s="55"/>
      <c r="E145" s="2"/>
      <c r="F145" s="6">
        <v>1</v>
      </c>
      <c r="G145" s="55">
        <v>4.8</v>
      </c>
      <c r="H145" s="55"/>
      <c r="I145" s="6"/>
      <c r="J145" s="6"/>
      <c r="K145" s="6"/>
      <c r="L145" s="6"/>
      <c r="M145" s="2" t="s">
        <v>749</v>
      </c>
      <c r="N145" s="51">
        <f>N144-4</f>
        <v>36</v>
      </c>
      <c r="O145" s="54"/>
      <c r="P145" s="56"/>
      <c r="Q145" s="56"/>
      <c r="R145" s="56" t="str">
        <f>"4003,4004,4001,4002"</f>
        <v>4003,4004,4001,4002</v>
      </c>
      <c r="S145" s="54">
        <v>0.5</v>
      </c>
      <c r="T145" s="54"/>
      <c r="U145" s="54"/>
      <c r="V145" s="6"/>
      <c r="W145" s="53"/>
      <c r="X145" s="2" t="s">
        <v>750</v>
      </c>
      <c r="Y145" s="53"/>
      <c r="Z145" s="155" t="s">
        <v>933</v>
      </c>
      <c r="AA145" s="158"/>
      <c r="AB145" s="158"/>
      <c r="AC145" s="158"/>
      <c r="AD145" s="154"/>
    </row>
    <row r="146" spans="1:30" ht="15.75" customHeight="1">
      <c r="A146" s="6">
        <f t="shared" si="3"/>
        <v>215010</v>
      </c>
      <c r="B146" s="54" t="s">
        <v>934</v>
      </c>
      <c r="C146" s="55">
        <v>1</v>
      </c>
      <c r="D146" s="55"/>
      <c r="E146" s="2"/>
      <c r="F146" s="6">
        <v>1</v>
      </c>
      <c r="G146" s="55">
        <v>4.8</v>
      </c>
      <c r="H146" s="55"/>
      <c r="I146" s="6"/>
      <c r="J146" s="6"/>
      <c r="K146" s="6"/>
      <c r="L146" s="6"/>
      <c r="M146" s="2" t="s">
        <v>749</v>
      </c>
      <c r="N146" s="51">
        <f>N145-4</f>
        <v>32</v>
      </c>
      <c r="O146" s="54"/>
      <c r="P146" s="56"/>
      <c r="Q146" s="56"/>
      <c r="R146" s="56" t="str">
        <f>"4003,4004,4001,4002"</f>
        <v>4003,4004,4001,4002</v>
      </c>
      <c r="S146" s="54">
        <v>0.8</v>
      </c>
      <c r="T146" s="54"/>
      <c r="U146" s="54"/>
      <c r="V146" s="6"/>
      <c r="W146" s="53"/>
      <c r="X146" s="2" t="s">
        <v>750</v>
      </c>
      <c r="Y146" s="53"/>
      <c r="Z146" s="155" t="s">
        <v>935</v>
      </c>
      <c r="AA146" s="158"/>
      <c r="AB146" s="158"/>
      <c r="AC146" s="158"/>
      <c r="AD146" s="154"/>
    </row>
    <row r="147" spans="1:30" ht="15.75" customHeight="1">
      <c r="A147" s="6">
        <f t="shared" si="3"/>
        <v>211011</v>
      </c>
      <c r="B147" s="54" t="s">
        <v>936</v>
      </c>
      <c r="C147" s="55">
        <v>-2</v>
      </c>
      <c r="D147" s="55"/>
      <c r="E147" s="2"/>
      <c r="F147" s="6">
        <v>1</v>
      </c>
      <c r="G147" s="55">
        <v>2.4</v>
      </c>
      <c r="H147" s="55"/>
      <c r="I147" s="6"/>
      <c r="J147" s="6"/>
      <c r="K147" s="6"/>
      <c r="L147" s="6"/>
      <c r="M147" s="2" t="s">
        <v>749</v>
      </c>
      <c r="N147" s="51">
        <v>48</v>
      </c>
      <c r="O147" s="54"/>
      <c r="P147" s="56"/>
      <c r="Q147" s="56"/>
      <c r="R147" s="56" t="str">
        <f>"1999,3002"</f>
        <v>1999,3002</v>
      </c>
      <c r="S147" s="54"/>
      <c r="T147" s="54"/>
      <c r="U147" s="54"/>
      <c r="V147" s="6"/>
      <c r="W147" s="53"/>
      <c r="X147" s="53" t="s">
        <v>767</v>
      </c>
      <c r="Y147" s="53"/>
      <c r="Z147" s="155" t="s">
        <v>937</v>
      </c>
      <c r="AA147" s="158"/>
      <c r="AB147" s="158"/>
      <c r="AC147" s="158"/>
      <c r="AD147" s="154"/>
    </row>
    <row r="148" spans="1:30" ht="15.75" customHeight="1">
      <c r="A148" s="6">
        <f t="shared" si="3"/>
        <v>212011</v>
      </c>
      <c r="B148" s="54" t="s">
        <v>928</v>
      </c>
      <c r="C148" s="55">
        <v>-2</v>
      </c>
      <c r="D148" s="55"/>
      <c r="E148" s="2"/>
      <c r="F148" s="6">
        <v>1</v>
      </c>
      <c r="G148" s="55">
        <v>2.4</v>
      </c>
      <c r="H148" s="55"/>
      <c r="I148" s="6"/>
      <c r="J148" s="6"/>
      <c r="K148" s="6"/>
      <c r="L148" s="6"/>
      <c r="M148" s="2" t="s">
        <v>749</v>
      </c>
      <c r="N148" s="51">
        <f>N147-4</f>
        <v>44</v>
      </c>
      <c r="O148" s="54"/>
      <c r="P148" s="56"/>
      <c r="Q148" s="56"/>
      <c r="R148" s="56" t="str">
        <f>"1999,3002,1998"</f>
        <v>1999,3002,1998</v>
      </c>
      <c r="S148" s="54"/>
      <c r="T148" s="54"/>
      <c r="U148" s="54"/>
      <c r="V148" s="6"/>
      <c r="W148" s="53"/>
      <c r="X148" s="53" t="s">
        <v>767</v>
      </c>
      <c r="Y148" s="53"/>
      <c r="Z148" s="155" t="s">
        <v>938</v>
      </c>
      <c r="AA148" s="158"/>
      <c r="AB148" s="158"/>
      <c r="AC148" s="158"/>
      <c r="AD148" s="154"/>
    </row>
    <row r="149" spans="1:30" ht="15.75" customHeight="1">
      <c r="A149" s="6">
        <f t="shared" si="3"/>
        <v>213011</v>
      </c>
      <c r="B149" s="54" t="s">
        <v>930</v>
      </c>
      <c r="C149" s="55">
        <v>-2</v>
      </c>
      <c r="D149" s="55"/>
      <c r="E149" s="2"/>
      <c r="F149" s="6">
        <v>1</v>
      </c>
      <c r="G149" s="55">
        <v>2.4</v>
      </c>
      <c r="H149" s="55"/>
      <c r="I149" s="6"/>
      <c r="J149" s="6"/>
      <c r="K149" s="6"/>
      <c r="L149" s="6"/>
      <c r="M149" s="2" t="s">
        <v>749</v>
      </c>
      <c r="N149" s="51">
        <f>N148-4</f>
        <v>40</v>
      </c>
      <c r="O149" s="54"/>
      <c r="P149" s="56"/>
      <c r="Q149" s="56"/>
      <c r="R149" s="56" t="str">
        <f>"1999,3002,1998,3013"</f>
        <v>1999,3002,1998,3013</v>
      </c>
      <c r="S149" s="54"/>
      <c r="T149" s="54"/>
      <c r="U149" s="54"/>
      <c r="V149" s="6"/>
      <c r="W149" s="53"/>
      <c r="X149" s="53" t="s">
        <v>767</v>
      </c>
      <c r="Y149" s="53"/>
      <c r="Z149" s="155" t="s">
        <v>939</v>
      </c>
      <c r="AA149" s="158"/>
      <c r="AB149" s="158"/>
      <c r="AC149" s="158"/>
      <c r="AD149" s="154"/>
    </row>
    <row r="150" spans="1:30" ht="15.75" customHeight="1">
      <c r="A150" s="6">
        <f t="shared" si="3"/>
        <v>214011</v>
      </c>
      <c r="B150" s="54" t="s">
        <v>932</v>
      </c>
      <c r="C150" s="55">
        <v>-2</v>
      </c>
      <c r="D150" s="55"/>
      <c r="E150" s="2"/>
      <c r="F150" s="6">
        <v>1</v>
      </c>
      <c r="G150" s="55">
        <v>2.4</v>
      </c>
      <c r="H150" s="55"/>
      <c r="I150" s="6"/>
      <c r="J150" s="6"/>
      <c r="K150" s="6"/>
      <c r="L150" s="6"/>
      <c r="M150" s="2" t="s">
        <v>749</v>
      </c>
      <c r="N150" s="51">
        <f>N149-4</f>
        <v>36</v>
      </c>
      <c r="O150" s="54"/>
      <c r="P150" s="56"/>
      <c r="Q150" s="56"/>
      <c r="R150" s="56" t="str">
        <f>"1999,3002,1998,3013"</f>
        <v>1999,3002,1998,3013</v>
      </c>
      <c r="S150" s="54"/>
      <c r="T150" s="54"/>
      <c r="U150" s="54"/>
      <c r="V150" s="6"/>
      <c r="W150" s="53"/>
      <c r="X150" s="53" t="s">
        <v>767</v>
      </c>
      <c r="Y150" s="53"/>
      <c r="Z150" s="155" t="s">
        <v>939</v>
      </c>
      <c r="AA150" s="158"/>
      <c r="AB150" s="158"/>
      <c r="AC150" s="158"/>
      <c r="AD150" s="154"/>
    </row>
    <row r="151" spans="1:30" ht="15.75" customHeight="1">
      <c r="A151" s="6">
        <f t="shared" si="3"/>
        <v>215011</v>
      </c>
      <c r="B151" s="54" t="s">
        <v>940</v>
      </c>
      <c r="C151" s="55">
        <v>-2</v>
      </c>
      <c r="D151" s="55"/>
      <c r="E151" s="2"/>
      <c r="F151" s="6">
        <v>1</v>
      </c>
      <c r="G151" s="55">
        <v>2.4</v>
      </c>
      <c r="H151" s="55"/>
      <c r="I151" s="6"/>
      <c r="J151" s="6"/>
      <c r="K151" s="6"/>
      <c r="L151" s="6"/>
      <c r="M151" s="2" t="s">
        <v>749</v>
      </c>
      <c r="N151" s="51">
        <f>N150-4</f>
        <v>32</v>
      </c>
      <c r="O151" s="54"/>
      <c r="P151" s="56"/>
      <c r="Q151" s="56"/>
      <c r="R151" s="56" t="str">
        <f>"1999,3002,1998,3014"</f>
        <v>1999,3002,1998,3014</v>
      </c>
      <c r="S151" s="54"/>
      <c r="T151" s="54"/>
      <c r="U151" s="54"/>
      <c r="V151" s="6"/>
      <c r="W151" s="53"/>
      <c r="X151" s="53" t="s">
        <v>767</v>
      </c>
      <c r="Y151" s="53"/>
      <c r="Z151" s="155" t="s">
        <v>941</v>
      </c>
      <c r="AA151" s="158"/>
      <c r="AB151" s="158"/>
      <c r="AC151" s="158"/>
      <c r="AD151" s="154"/>
    </row>
    <row r="152" spans="1:30" ht="15.75" customHeight="1">
      <c r="A152" s="6">
        <f t="shared" si="3"/>
        <v>211012</v>
      </c>
      <c r="B152" s="54" t="s">
        <v>942</v>
      </c>
      <c r="C152" s="55">
        <v>-2</v>
      </c>
      <c r="D152" s="55">
        <v>1</v>
      </c>
      <c r="E152" s="2"/>
      <c r="F152" s="6">
        <v>1</v>
      </c>
      <c r="G152" s="55"/>
      <c r="H152" s="55">
        <v>2.5</v>
      </c>
      <c r="I152" s="6"/>
      <c r="J152" s="6"/>
      <c r="K152" s="6"/>
      <c r="L152" s="6"/>
      <c r="M152" s="2" t="s">
        <v>756</v>
      </c>
      <c r="N152" s="51">
        <v>99</v>
      </c>
      <c r="O152" s="54">
        <v>50</v>
      </c>
      <c r="P152" s="56"/>
      <c r="Q152" s="56"/>
      <c r="R152" s="56">
        <v>3004</v>
      </c>
      <c r="S152" s="54">
        <v>0.3</v>
      </c>
      <c r="T152" s="54"/>
      <c r="U152" s="54"/>
      <c r="V152" s="6"/>
      <c r="W152" s="53"/>
      <c r="X152" s="2" t="s">
        <v>766</v>
      </c>
      <c r="Y152" s="53"/>
      <c r="Z152" s="155" t="s">
        <v>462</v>
      </c>
      <c r="AA152" s="158"/>
      <c r="AB152" s="158"/>
      <c r="AC152" s="158"/>
      <c r="AD152" s="154"/>
    </row>
    <row r="153" spans="1:30" ht="15.75" customHeight="1">
      <c r="A153" s="6">
        <f t="shared" si="3"/>
        <v>212012</v>
      </c>
      <c r="B153" s="54" t="s">
        <v>943</v>
      </c>
      <c r="C153" s="55">
        <v>-3</v>
      </c>
      <c r="D153" s="55">
        <v>1</v>
      </c>
      <c r="E153" s="2"/>
      <c r="F153" s="6">
        <v>1</v>
      </c>
      <c r="G153" s="55"/>
      <c r="H153" s="55">
        <v>2.5</v>
      </c>
      <c r="I153" s="6"/>
      <c r="J153" s="6"/>
      <c r="K153" s="6"/>
      <c r="L153" s="6"/>
      <c r="M153" s="2" t="s">
        <v>756</v>
      </c>
      <c r="N153" s="51">
        <f>N152-4</f>
        <v>95</v>
      </c>
      <c r="O153" s="54"/>
      <c r="P153" s="56"/>
      <c r="Q153" s="56"/>
      <c r="R153" s="56">
        <v>3004</v>
      </c>
      <c r="S153" s="54">
        <v>0.3</v>
      </c>
      <c r="T153" s="54"/>
      <c r="U153" s="54"/>
      <c r="V153" s="6"/>
      <c r="W153" s="53"/>
      <c r="X153" s="2" t="s">
        <v>766</v>
      </c>
      <c r="Y153" s="53"/>
      <c r="Z153" s="155" t="s">
        <v>462</v>
      </c>
      <c r="AA153" s="158"/>
      <c r="AB153" s="158"/>
      <c r="AC153" s="158"/>
      <c r="AD153" s="154"/>
    </row>
    <row r="154" spans="1:30" ht="15.75" customHeight="1">
      <c r="A154" s="6">
        <f t="shared" si="3"/>
        <v>213012</v>
      </c>
      <c r="B154" s="54" t="s">
        <v>944</v>
      </c>
      <c r="C154" s="55">
        <v>-3</v>
      </c>
      <c r="D154" s="55">
        <v>1</v>
      </c>
      <c r="E154" s="2"/>
      <c r="F154" s="6">
        <v>1</v>
      </c>
      <c r="G154" s="55"/>
      <c r="H154" s="55">
        <v>2.5</v>
      </c>
      <c r="I154" s="6"/>
      <c r="J154" s="6"/>
      <c r="K154" s="6"/>
      <c r="L154" s="6"/>
      <c r="M154" s="2" t="s">
        <v>756</v>
      </c>
      <c r="N154" s="51">
        <f>N153-4</f>
        <v>91</v>
      </c>
      <c r="O154" s="54"/>
      <c r="P154" s="56"/>
      <c r="Q154" s="56"/>
      <c r="R154" s="56" t="str">
        <f>"3004,3015"</f>
        <v>3004,3015</v>
      </c>
      <c r="S154" s="54">
        <v>0.4</v>
      </c>
      <c r="T154" s="54"/>
      <c r="U154" s="54"/>
      <c r="V154" s="6"/>
      <c r="W154" s="53"/>
      <c r="X154" s="2" t="s">
        <v>766</v>
      </c>
      <c r="Y154" s="53"/>
      <c r="Z154" s="155" t="s">
        <v>462</v>
      </c>
      <c r="AA154" s="158"/>
      <c r="AB154" s="158"/>
      <c r="AC154" s="158"/>
      <c r="AD154" s="154"/>
    </row>
    <row r="155" spans="1:30" ht="15.75" customHeight="1">
      <c r="A155" s="6">
        <f t="shared" si="3"/>
        <v>214012</v>
      </c>
      <c r="B155" s="54" t="s">
        <v>945</v>
      </c>
      <c r="C155" s="55">
        <v>-4</v>
      </c>
      <c r="D155" s="55">
        <v>1</v>
      </c>
      <c r="E155" s="2"/>
      <c r="F155" s="6">
        <v>1</v>
      </c>
      <c r="G155" s="55"/>
      <c r="H155" s="55">
        <v>2.5</v>
      </c>
      <c r="I155" s="6"/>
      <c r="J155" s="6"/>
      <c r="K155" s="6"/>
      <c r="L155" s="6"/>
      <c r="M155" s="2" t="s">
        <v>756</v>
      </c>
      <c r="N155" s="51">
        <f>N154-4</f>
        <v>87</v>
      </c>
      <c r="O155" s="54"/>
      <c r="P155" s="56"/>
      <c r="Q155" s="56"/>
      <c r="R155" s="56" t="str">
        <f>"3004,3015"</f>
        <v>3004,3015</v>
      </c>
      <c r="S155" s="54">
        <v>0.4</v>
      </c>
      <c r="T155" s="54"/>
      <c r="U155" s="54"/>
      <c r="V155" s="6"/>
      <c r="W155" s="53"/>
      <c r="X155" s="2" t="s">
        <v>766</v>
      </c>
      <c r="Y155" s="53"/>
      <c r="Z155" s="155" t="s">
        <v>462</v>
      </c>
      <c r="AA155" s="158"/>
      <c r="AB155" s="158"/>
      <c r="AC155" s="158"/>
      <c r="AD155" s="154"/>
    </row>
    <row r="156" spans="1:30" ht="15.75" customHeight="1">
      <c r="A156" s="6">
        <f t="shared" si="3"/>
        <v>215012</v>
      </c>
      <c r="B156" s="54" t="s">
        <v>946</v>
      </c>
      <c r="C156" s="55">
        <v>-4</v>
      </c>
      <c r="D156" s="55">
        <v>1</v>
      </c>
      <c r="E156" s="2"/>
      <c r="F156" s="6">
        <v>1</v>
      </c>
      <c r="G156" s="55"/>
      <c r="H156" s="55">
        <v>2.5</v>
      </c>
      <c r="I156" s="6"/>
      <c r="J156" s="6"/>
      <c r="K156" s="6"/>
      <c r="L156" s="6"/>
      <c r="M156" s="2" t="s">
        <v>756</v>
      </c>
      <c r="N156" s="51">
        <f>N155-4</f>
        <v>83</v>
      </c>
      <c r="O156" s="54"/>
      <c r="P156" s="56"/>
      <c r="Q156" s="56"/>
      <c r="R156" s="56" t="str">
        <f>"3004,3015,3016"</f>
        <v>3004,3015,3016</v>
      </c>
      <c r="S156" s="54">
        <v>0.5</v>
      </c>
      <c r="T156" s="54"/>
      <c r="U156" s="54"/>
      <c r="V156" s="6"/>
      <c r="W156" s="53"/>
      <c r="X156" s="2" t="s">
        <v>766</v>
      </c>
      <c r="Y156" s="53"/>
      <c r="Z156" s="155" t="s">
        <v>462</v>
      </c>
      <c r="AA156" s="158"/>
      <c r="AB156" s="158"/>
      <c r="AC156" s="158"/>
      <c r="AD156" s="154"/>
    </row>
    <row r="157" spans="1:30" ht="15.75" customHeight="1">
      <c r="A157" s="6"/>
      <c r="B157" s="54"/>
      <c r="C157" s="55"/>
      <c r="D157" s="55"/>
      <c r="E157" s="2"/>
      <c r="F157" s="6"/>
      <c r="G157" s="55"/>
      <c r="H157" s="55"/>
      <c r="I157" s="6"/>
      <c r="J157" s="6"/>
      <c r="K157" s="6"/>
      <c r="L157" s="6"/>
      <c r="M157" s="2"/>
      <c r="N157" s="51"/>
      <c r="O157" s="54"/>
      <c r="P157" s="56"/>
      <c r="Q157" s="56"/>
      <c r="R157" s="56"/>
      <c r="S157" s="54"/>
      <c r="T157" s="54"/>
      <c r="U157" s="54"/>
      <c r="V157" s="6"/>
      <c r="W157" s="53"/>
      <c r="X157" s="2"/>
      <c r="Y157" s="53"/>
      <c r="Z157" s="160"/>
      <c r="AA157" s="158"/>
      <c r="AB157" s="158"/>
      <c r="AC157" s="158"/>
      <c r="AD157" s="154"/>
    </row>
    <row r="158" spans="1:30" ht="15.75" customHeight="1">
      <c r="A158" s="6"/>
      <c r="B158" s="54"/>
      <c r="C158" s="55"/>
      <c r="D158" s="55"/>
      <c r="E158" s="2"/>
      <c r="F158" s="6"/>
      <c r="G158" s="55"/>
      <c r="H158" s="55"/>
      <c r="I158" s="6"/>
      <c r="J158" s="6"/>
      <c r="K158" s="6"/>
      <c r="L158" s="6"/>
      <c r="M158" s="2"/>
      <c r="N158" s="51"/>
      <c r="O158" s="54"/>
      <c r="P158" s="56"/>
      <c r="Q158" s="56"/>
      <c r="R158" s="56"/>
      <c r="S158" s="54"/>
      <c r="T158" s="54"/>
      <c r="U158" s="54"/>
      <c r="V158" s="6"/>
      <c r="W158" s="53"/>
      <c r="X158" s="2"/>
      <c r="Y158" s="53"/>
      <c r="Z158" s="160"/>
      <c r="AA158" s="158"/>
      <c r="AB158" s="158"/>
      <c r="AC158" s="158"/>
      <c r="AD158" s="154"/>
    </row>
    <row r="159" spans="1:30" ht="15.75" customHeight="1">
      <c r="A159" s="6"/>
      <c r="B159" s="54"/>
      <c r="C159" s="55"/>
      <c r="D159" s="55"/>
      <c r="E159" s="2"/>
      <c r="F159" s="6"/>
      <c r="G159" s="55"/>
      <c r="H159" s="55"/>
      <c r="I159" s="6"/>
      <c r="J159" s="6"/>
      <c r="K159" s="6"/>
      <c r="L159" s="6"/>
      <c r="M159" s="2"/>
      <c r="N159" s="51"/>
      <c r="O159" s="54"/>
      <c r="P159" s="56"/>
      <c r="Q159" s="56"/>
      <c r="R159" s="56"/>
      <c r="S159" s="54"/>
      <c r="T159" s="54"/>
      <c r="U159" s="54"/>
      <c r="V159" s="6"/>
      <c r="W159" s="53"/>
      <c r="X159" s="2"/>
      <c r="Y159" s="53"/>
      <c r="Z159" s="160"/>
      <c r="AA159" s="158"/>
      <c r="AB159" s="158"/>
      <c r="AC159" s="158"/>
      <c r="AD159" s="154"/>
    </row>
    <row r="160" spans="1:30" ht="15.75" customHeight="1">
      <c r="A160" s="6"/>
      <c r="B160" s="54"/>
      <c r="C160" s="55"/>
      <c r="D160" s="55"/>
      <c r="E160" s="2"/>
      <c r="F160" s="6"/>
      <c r="G160" s="55"/>
      <c r="H160" s="55"/>
      <c r="I160" s="6"/>
      <c r="J160" s="6"/>
      <c r="K160" s="6"/>
      <c r="L160" s="6"/>
      <c r="M160" s="2"/>
      <c r="N160" s="51"/>
      <c r="O160" s="54"/>
      <c r="P160" s="56"/>
      <c r="Q160" s="56"/>
      <c r="R160" s="56"/>
      <c r="S160" s="54"/>
      <c r="T160" s="54"/>
      <c r="U160" s="54"/>
      <c r="V160" s="6"/>
      <c r="W160" s="53"/>
      <c r="X160" s="2"/>
      <c r="Y160" s="53"/>
      <c r="Z160" s="160"/>
      <c r="AA160" s="158"/>
      <c r="AB160" s="158"/>
      <c r="AC160" s="158"/>
      <c r="AD160" s="154"/>
    </row>
    <row r="161" spans="1:35" ht="15.75" customHeight="1">
      <c r="A161" s="6"/>
      <c r="B161" s="54"/>
      <c r="C161" s="55"/>
      <c r="D161" s="55"/>
      <c r="E161" s="2"/>
      <c r="F161" s="6"/>
      <c r="G161" s="55"/>
      <c r="H161" s="55"/>
      <c r="I161" s="6"/>
      <c r="J161" s="6"/>
      <c r="K161" s="6"/>
      <c r="L161" s="6"/>
      <c r="M161" s="2"/>
      <c r="N161" s="51"/>
      <c r="O161" s="54"/>
      <c r="P161" s="56"/>
      <c r="Q161" s="56"/>
      <c r="R161" s="56"/>
      <c r="S161" s="54"/>
      <c r="T161" s="54"/>
      <c r="U161" s="54"/>
      <c r="V161" s="6"/>
      <c r="W161" s="53"/>
      <c r="X161" s="2"/>
      <c r="Y161" s="53"/>
      <c r="Z161" s="160"/>
      <c r="AA161" s="158"/>
      <c r="AB161" s="158"/>
      <c r="AC161" s="158"/>
      <c r="AD161" s="154"/>
    </row>
    <row r="162" spans="1:35" ht="15.75" customHeight="1">
      <c r="A162" s="6"/>
      <c r="B162" s="2"/>
      <c r="C162" s="6"/>
      <c r="D162" s="6"/>
      <c r="E162" s="2"/>
      <c r="F162" s="6"/>
      <c r="G162" s="6"/>
      <c r="H162" s="6"/>
      <c r="I162" s="6"/>
      <c r="J162" s="6"/>
      <c r="K162" s="6"/>
      <c r="L162" s="6"/>
      <c r="M162" s="2"/>
      <c r="N162" s="51"/>
      <c r="O162" s="2"/>
      <c r="P162" s="52"/>
      <c r="Q162" s="52"/>
      <c r="R162" s="52"/>
      <c r="S162" s="2"/>
      <c r="T162" s="2"/>
      <c r="U162" s="2"/>
      <c r="V162" s="6"/>
      <c r="W162" s="53"/>
      <c r="X162" s="53"/>
      <c r="Y162" s="2"/>
      <c r="Z162" s="2"/>
      <c r="AA162" s="2"/>
      <c r="AB162" s="2"/>
      <c r="AC162" s="2"/>
      <c r="AD162" s="2"/>
    </row>
    <row r="163" spans="1:35" ht="14.25" customHeight="1">
      <c r="A163" s="23" t="s">
        <v>722</v>
      </c>
      <c r="B163" s="5" t="s">
        <v>723</v>
      </c>
      <c r="C163" s="48" t="s">
        <v>724</v>
      </c>
      <c r="D163" s="48" t="s">
        <v>725</v>
      </c>
      <c r="E163" s="48" t="s">
        <v>726</v>
      </c>
      <c r="F163" s="48" t="s">
        <v>727</v>
      </c>
      <c r="G163" s="40" t="s">
        <v>728</v>
      </c>
      <c r="H163" s="40" t="s">
        <v>729</v>
      </c>
      <c r="I163" s="40" t="s">
        <v>691</v>
      </c>
      <c r="J163" s="40" t="s">
        <v>730</v>
      </c>
      <c r="K163" s="40" t="s">
        <v>731</v>
      </c>
      <c r="L163" s="40" t="s">
        <v>732</v>
      </c>
      <c r="M163" s="23" t="s">
        <v>733</v>
      </c>
      <c r="N163" s="49" t="s">
        <v>734</v>
      </c>
      <c r="O163" s="23" t="s">
        <v>735</v>
      </c>
      <c r="P163" s="50" t="s">
        <v>736</v>
      </c>
      <c r="Q163" s="50" t="s">
        <v>838</v>
      </c>
      <c r="R163" s="50" t="s">
        <v>738</v>
      </c>
      <c r="S163" s="50" t="s">
        <v>739</v>
      </c>
      <c r="T163" s="23" t="s">
        <v>740</v>
      </c>
      <c r="U163" s="50" t="s">
        <v>741</v>
      </c>
      <c r="V163" s="6" t="s">
        <v>742</v>
      </c>
      <c r="W163" s="23" t="s">
        <v>743</v>
      </c>
      <c r="X163" s="23" t="s">
        <v>744</v>
      </c>
      <c r="Y163" s="23" t="s">
        <v>745</v>
      </c>
      <c r="Z163" s="153" t="s">
        <v>746</v>
      </c>
      <c r="AA163" s="158"/>
      <c r="AB163" s="158"/>
      <c r="AC163" s="158"/>
      <c r="AD163" s="154"/>
    </row>
    <row r="164" spans="1:35" ht="14.25" customHeight="1">
      <c r="A164" s="6">
        <v>311001</v>
      </c>
      <c r="B164" s="4" t="s">
        <v>947</v>
      </c>
      <c r="C164" s="6">
        <v>5</v>
      </c>
      <c r="D164" s="6"/>
      <c r="E164" s="6"/>
      <c r="F164" s="6">
        <v>1</v>
      </c>
      <c r="G164" s="6"/>
      <c r="H164" s="6">
        <v>1</v>
      </c>
      <c r="I164" s="6"/>
      <c r="J164" s="6"/>
      <c r="K164" s="6">
        <v>7</v>
      </c>
      <c r="L164" s="6"/>
      <c r="M164" s="2" t="s">
        <v>756</v>
      </c>
      <c r="N164" s="51">
        <v>103</v>
      </c>
      <c r="O164" s="2"/>
      <c r="P164" s="52"/>
      <c r="Q164" s="52"/>
      <c r="R164" s="52">
        <v>4001</v>
      </c>
      <c r="S164" s="2"/>
      <c r="T164" s="2"/>
      <c r="U164" s="2"/>
      <c r="V164" s="6"/>
      <c r="W164" s="2" t="s">
        <v>764</v>
      </c>
      <c r="X164" s="2" t="s">
        <v>765</v>
      </c>
      <c r="Y164" s="2"/>
      <c r="Z164" s="155" t="s">
        <v>783</v>
      </c>
      <c r="AA164" s="158"/>
      <c r="AB164" s="158"/>
      <c r="AC164" s="158"/>
      <c r="AD164" s="154"/>
    </row>
    <row r="165" spans="1:35" ht="14.25" customHeight="1">
      <c r="A165" s="6">
        <v>312001</v>
      </c>
      <c r="B165" s="4" t="s">
        <v>948</v>
      </c>
      <c r="C165" s="6">
        <v>5</v>
      </c>
      <c r="D165" s="6"/>
      <c r="E165" s="6"/>
      <c r="F165" s="6">
        <v>1</v>
      </c>
      <c r="G165" s="6"/>
      <c r="H165" s="6">
        <v>1</v>
      </c>
      <c r="I165" s="6"/>
      <c r="J165" s="6"/>
      <c r="K165" s="6">
        <f>K164</f>
        <v>7</v>
      </c>
      <c r="L165" s="6"/>
      <c r="M165" s="2" t="s">
        <v>756</v>
      </c>
      <c r="N165" s="51">
        <f>N164-4</f>
        <v>99</v>
      </c>
      <c r="O165" s="2"/>
      <c r="P165" s="52">
        <v>3008</v>
      </c>
      <c r="Q165" s="52"/>
      <c r="R165" s="52">
        <v>4001</v>
      </c>
      <c r="S165" s="2"/>
      <c r="T165" s="2"/>
      <c r="U165" s="2"/>
      <c r="V165" s="6"/>
      <c r="W165" s="2" t="s">
        <v>764</v>
      </c>
      <c r="X165" s="2" t="s">
        <v>765</v>
      </c>
      <c r="Y165" s="2"/>
      <c r="Z165" s="155" t="s">
        <v>949</v>
      </c>
      <c r="AA165" s="158"/>
      <c r="AB165" s="158"/>
      <c r="AC165" s="158"/>
      <c r="AD165" s="154"/>
    </row>
    <row r="166" spans="1:35" ht="14.25" customHeight="1">
      <c r="A166" s="6">
        <v>313001</v>
      </c>
      <c r="B166" s="4" t="s">
        <v>950</v>
      </c>
      <c r="C166" s="6">
        <v>5</v>
      </c>
      <c r="D166" s="6"/>
      <c r="E166" s="6"/>
      <c r="F166" s="6">
        <v>1</v>
      </c>
      <c r="G166" s="6"/>
      <c r="H166" s="6">
        <v>1</v>
      </c>
      <c r="I166" s="6"/>
      <c r="J166" s="6"/>
      <c r="K166" s="6">
        <f>K164-1</f>
        <v>6</v>
      </c>
      <c r="L166" s="6"/>
      <c r="M166" s="2" t="s">
        <v>756</v>
      </c>
      <c r="N166" s="51">
        <f>N165-4</f>
        <v>95</v>
      </c>
      <c r="O166" s="2"/>
      <c r="P166" s="52"/>
      <c r="Q166" s="52"/>
      <c r="R166" s="52">
        <v>4001</v>
      </c>
      <c r="S166" s="2"/>
      <c r="T166" s="2"/>
      <c r="U166" s="2"/>
      <c r="V166" s="6"/>
      <c r="W166" s="2" t="s">
        <v>764</v>
      </c>
      <c r="X166" s="2" t="s">
        <v>765</v>
      </c>
      <c r="Y166" s="2"/>
      <c r="Z166" s="155" t="s">
        <v>783</v>
      </c>
      <c r="AA166" s="158"/>
      <c r="AB166" s="158"/>
      <c r="AC166" s="158"/>
      <c r="AD166" s="154"/>
    </row>
    <row r="167" spans="1:35" ht="14.25" customHeight="1">
      <c r="A167" s="6">
        <v>314001</v>
      </c>
      <c r="B167" s="4" t="s">
        <v>951</v>
      </c>
      <c r="C167" s="6">
        <v>5</v>
      </c>
      <c r="D167" s="6"/>
      <c r="E167" s="6"/>
      <c r="F167" s="6">
        <v>1</v>
      </c>
      <c r="G167" s="6"/>
      <c r="H167" s="6">
        <v>1</v>
      </c>
      <c r="I167" s="6"/>
      <c r="J167" s="6"/>
      <c r="K167" s="6">
        <f>K166-1</f>
        <v>5</v>
      </c>
      <c r="L167" s="6"/>
      <c r="M167" s="2" t="s">
        <v>756</v>
      </c>
      <c r="N167" s="51">
        <f>N166-4</f>
        <v>91</v>
      </c>
      <c r="O167" s="2"/>
      <c r="P167" s="52"/>
      <c r="Q167" s="52"/>
      <c r="R167" s="52">
        <v>4001</v>
      </c>
      <c r="S167" s="2"/>
      <c r="T167" s="2"/>
      <c r="U167" s="2"/>
      <c r="V167" s="6"/>
      <c r="W167" s="2" t="s">
        <v>764</v>
      </c>
      <c r="X167" s="2" t="s">
        <v>765</v>
      </c>
      <c r="Y167" s="2"/>
      <c r="Z167" s="155" t="s">
        <v>783</v>
      </c>
      <c r="AA167" s="158"/>
      <c r="AB167" s="158"/>
      <c r="AC167" s="158"/>
      <c r="AD167" s="154"/>
    </row>
    <row r="168" spans="1:35" ht="14.25" customHeight="1">
      <c r="A168" s="6">
        <v>315001</v>
      </c>
      <c r="B168" s="4" t="s">
        <v>952</v>
      </c>
      <c r="C168" s="6">
        <v>5</v>
      </c>
      <c r="D168" s="6"/>
      <c r="E168" s="6"/>
      <c r="F168" s="6">
        <v>1</v>
      </c>
      <c r="G168" s="6"/>
      <c r="H168" s="6">
        <v>1</v>
      </c>
      <c r="I168" s="6"/>
      <c r="J168" s="6"/>
      <c r="K168" s="6">
        <f>K167</f>
        <v>5</v>
      </c>
      <c r="L168" s="6"/>
      <c r="M168" s="2" t="s">
        <v>756</v>
      </c>
      <c r="N168" s="51">
        <f>N167-4</f>
        <v>87</v>
      </c>
      <c r="O168" s="2"/>
      <c r="P168" s="52">
        <v>3009</v>
      </c>
      <c r="Q168" s="52"/>
      <c r="R168" s="52">
        <v>4001</v>
      </c>
      <c r="S168" s="2"/>
      <c r="T168" s="2"/>
      <c r="U168" s="2"/>
      <c r="V168" s="6"/>
      <c r="W168" s="2" t="s">
        <v>764</v>
      </c>
      <c r="X168" s="2" t="s">
        <v>765</v>
      </c>
      <c r="Y168" s="2"/>
      <c r="Z168" s="155" t="s">
        <v>953</v>
      </c>
      <c r="AA168" s="158"/>
      <c r="AB168" s="158"/>
      <c r="AC168" s="158"/>
      <c r="AD168" s="154"/>
    </row>
    <row r="169" spans="1:35" ht="15.75" customHeight="1">
      <c r="A169" s="6">
        <f t="shared" ref="A169:A200" si="4">A164+1</f>
        <v>311002</v>
      </c>
      <c r="B169" s="4" t="s">
        <v>954</v>
      </c>
      <c r="C169" s="6">
        <v>3</v>
      </c>
      <c r="D169" s="6"/>
      <c r="E169" s="6"/>
      <c r="F169" s="6">
        <v>1</v>
      </c>
      <c r="G169" s="6"/>
      <c r="H169" s="6">
        <v>1.6</v>
      </c>
      <c r="I169" s="6"/>
      <c r="J169" s="6"/>
      <c r="K169" s="6">
        <v>8</v>
      </c>
      <c r="L169" s="6"/>
      <c r="M169" s="2" t="s">
        <v>756</v>
      </c>
      <c r="N169" s="51">
        <v>96</v>
      </c>
      <c r="O169" s="2"/>
      <c r="P169" s="52"/>
      <c r="Q169" s="52"/>
      <c r="R169" s="52">
        <v>2004</v>
      </c>
      <c r="S169" s="2"/>
      <c r="T169" s="2"/>
      <c r="U169" s="2"/>
      <c r="V169" s="6"/>
      <c r="W169" s="53" t="s">
        <v>955</v>
      </c>
      <c r="X169" s="53" t="s">
        <v>956</v>
      </c>
      <c r="Y169" s="2"/>
      <c r="Z169" s="155" t="s">
        <v>784</v>
      </c>
      <c r="AA169" s="158"/>
      <c r="AB169" s="158"/>
      <c r="AC169" s="158"/>
      <c r="AD169" s="154"/>
    </row>
    <row r="170" spans="1:35" ht="15.75" customHeight="1">
      <c r="A170" s="6">
        <f t="shared" si="4"/>
        <v>312002</v>
      </c>
      <c r="B170" s="4" t="s">
        <v>957</v>
      </c>
      <c r="C170" s="6">
        <v>3</v>
      </c>
      <c r="D170" s="6"/>
      <c r="E170" s="6"/>
      <c r="F170" s="6">
        <v>1</v>
      </c>
      <c r="G170" s="6"/>
      <c r="H170" s="6">
        <v>1.6</v>
      </c>
      <c r="I170" s="6"/>
      <c r="J170" s="6"/>
      <c r="K170" s="6">
        <f>K169</f>
        <v>8</v>
      </c>
      <c r="L170" s="6"/>
      <c r="M170" s="2" t="s">
        <v>756</v>
      </c>
      <c r="N170" s="51">
        <f>N169-4</f>
        <v>92</v>
      </c>
      <c r="O170" s="2"/>
      <c r="P170" s="52"/>
      <c r="Q170" s="52"/>
      <c r="R170" s="52" t="str">
        <f>"2004,2004,2004"</f>
        <v>2004,2004,2004</v>
      </c>
      <c r="S170" s="2"/>
      <c r="T170" s="2"/>
      <c r="U170" s="2"/>
      <c r="V170" s="6"/>
      <c r="W170" s="53" t="s">
        <v>955</v>
      </c>
      <c r="X170" s="53" t="s">
        <v>956</v>
      </c>
      <c r="Y170" s="2"/>
      <c r="Z170" s="155" t="s">
        <v>958</v>
      </c>
      <c r="AA170" s="158"/>
      <c r="AB170" s="158"/>
      <c r="AC170" s="158"/>
      <c r="AD170" s="154"/>
    </row>
    <row r="171" spans="1:35" ht="15.75" customHeight="1">
      <c r="A171" s="6">
        <f t="shared" si="4"/>
        <v>313002</v>
      </c>
      <c r="B171" s="4" t="s">
        <v>959</v>
      </c>
      <c r="C171" s="6">
        <v>3</v>
      </c>
      <c r="D171" s="6"/>
      <c r="E171" s="6"/>
      <c r="F171" s="6">
        <v>1</v>
      </c>
      <c r="G171" s="6"/>
      <c r="H171" s="6">
        <v>1.6</v>
      </c>
      <c r="I171" s="6"/>
      <c r="J171" s="6"/>
      <c r="K171" s="6">
        <f>K169-1</f>
        <v>7</v>
      </c>
      <c r="L171" s="6"/>
      <c r="M171" s="2" t="s">
        <v>756</v>
      </c>
      <c r="N171" s="51">
        <f>N170-4</f>
        <v>88</v>
      </c>
      <c r="O171" s="2"/>
      <c r="P171" s="52"/>
      <c r="Q171" s="52"/>
      <c r="R171" s="52" t="str">
        <f>"2004,2004,2004,4002"</f>
        <v>2004,2004,2004,4002</v>
      </c>
      <c r="S171" s="2"/>
      <c r="T171" s="2"/>
      <c r="U171" s="2"/>
      <c r="V171" s="6"/>
      <c r="W171" s="53" t="s">
        <v>955</v>
      </c>
      <c r="X171" s="53" t="s">
        <v>956</v>
      </c>
      <c r="Y171" s="2"/>
      <c r="Z171" s="155" t="s">
        <v>958</v>
      </c>
      <c r="AA171" s="158"/>
      <c r="AB171" s="158"/>
      <c r="AC171" s="158"/>
      <c r="AD171" s="154"/>
    </row>
    <row r="172" spans="1:35" ht="15.75" customHeight="1">
      <c r="A172" s="6">
        <f t="shared" si="4"/>
        <v>314002</v>
      </c>
      <c r="B172" s="4" t="s">
        <v>960</v>
      </c>
      <c r="C172" s="6">
        <v>3</v>
      </c>
      <c r="D172" s="6"/>
      <c r="E172" s="6"/>
      <c r="F172" s="6">
        <v>1</v>
      </c>
      <c r="G172" s="6"/>
      <c r="H172" s="6">
        <v>1.6</v>
      </c>
      <c r="I172" s="6"/>
      <c r="J172" s="6"/>
      <c r="K172" s="6">
        <f>K171-1</f>
        <v>6</v>
      </c>
      <c r="L172" s="6"/>
      <c r="M172" s="2" t="s">
        <v>756</v>
      </c>
      <c r="N172" s="51">
        <f>N171-4</f>
        <v>84</v>
      </c>
      <c r="O172" s="2"/>
      <c r="P172" s="52"/>
      <c r="Q172" s="52"/>
      <c r="R172" s="52" t="str">
        <f>"2004,2004,2004,4002"</f>
        <v>2004,2004,2004,4002</v>
      </c>
      <c r="S172" s="2"/>
      <c r="T172" s="2"/>
      <c r="U172" s="2"/>
      <c r="V172" s="6"/>
      <c r="W172" s="53" t="s">
        <v>955</v>
      </c>
      <c r="X172" s="53" t="s">
        <v>956</v>
      </c>
      <c r="Y172" s="2"/>
      <c r="Z172" s="155" t="s">
        <v>958</v>
      </c>
      <c r="AA172" s="158"/>
      <c r="AB172" s="158"/>
      <c r="AC172" s="158"/>
      <c r="AD172" s="154"/>
    </row>
    <row r="173" spans="1:35" ht="15.75" customHeight="1">
      <c r="A173" s="6">
        <f t="shared" si="4"/>
        <v>315002</v>
      </c>
      <c r="B173" s="4" t="s">
        <v>961</v>
      </c>
      <c r="C173" s="6">
        <v>3</v>
      </c>
      <c r="D173" s="6"/>
      <c r="E173" s="6"/>
      <c r="F173" s="6">
        <v>1</v>
      </c>
      <c r="G173" s="6"/>
      <c r="H173" s="6">
        <v>1.6</v>
      </c>
      <c r="I173" s="6"/>
      <c r="J173" s="6"/>
      <c r="K173" s="6">
        <f>K172</f>
        <v>6</v>
      </c>
      <c r="L173" s="6"/>
      <c r="M173" s="2" t="s">
        <v>756</v>
      </c>
      <c r="N173" s="51">
        <f>N172-4</f>
        <v>80</v>
      </c>
      <c r="O173" s="2"/>
      <c r="P173" s="52"/>
      <c r="Q173" s="52"/>
      <c r="R173" s="52" t="str">
        <f>"2004,2004,2004,4002,4002,4002"</f>
        <v>2004,2004,2004,4002,4002,4002</v>
      </c>
      <c r="S173" s="2"/>
      <c r="T173" s="2"/>
      <c r="U173" s="2"/>
      <c r="V173" s="6"/>
      <c r="W173" s="53" t="s">
        <v>955</v>
      </c>
      <c r="X173" s="53" t="s">
        <v>956</v>
      </c>
      <c r="Y173" s="2"/>
      <c r="Z173" s="155" t="s">
        <v>962</v>
      </c>
      <c r="AA173" s="158"/>
      <c r="AB173" s="158"/>
      <c r="AC173" s="158"/>
      <c r="AD173" s="154"/>
    </row>
    <row r="174" spans="1:35" ht="14.25" customHeight="1">
      <c r="A174" s="6">
        <f t="shared" si="4"/>
        <v>311003</v>
      </c>
      <c r="B174" s="4" t="s">
        <v>963</v>
      </c>
      <c r="C174" s="6">
        <v>-5</v>
      </c>
      <c r="D174" s="6"/>
      <c r="E174" s="6"/>
      <c r="F174" s="6">
        <v>1</v>
      </c>
      <c r="G174" s="6"/>
      <c r="H174" s="6">
        <v>1</v>
      </c>
      <c r="I174" s="6"/>
      <c r="J174" s="6"/>
      <c r="K174" s="6">
        <v>6</v>
      </c>
      <c r="L174" s="6"/>
      <c r="M174" s="2" t="s">
        <v>766</v>
      </c>
      <c r="N174" s="51">
        <v>49</v>
      </c>
      <c r="O174" s="2"/>
      <c r="P174" s="52"/>
      <c r="Q174" s="52"/>
      <c r="R174" s="52"/>
      <c r="S174" s="2"/>
      <c r="T174" s="2"/>
      <c r="U174" s="2"/>
      <c r="V174" s="6"/>
      <c r="W174" s="2"/>
      <c r="X174" s="2" t="s">
        <v>766</v>
      </c>
      <c r="Y174" s="2"/>
      <c r="Z174" s="155" t="s">
        <v>785</v>
      </c>
      <c r="AA174" s="158"/>
      <c r="AB174" s="158"/>
      <c r="AC174" s="158"/>
      <c r="AD174" s="154"/>
    </row>
    <row r="175" spans="1:35" ht="14.25" customHeight="1">
      <c r="A175" s="6">
        <f t="shared" si="4"/>
        <v>312003</v>
      </c>
      <c r="B175" s="4" t="s">
        <v>964</v>
      </c>
      <c r="C175" s="6">
        <v>-5</v>
      </c>
      <c r="D175" s="6"/>
      <c r="E175" s="6"/>
      <c r="F175" s="6">
        <v>1</v>
      </c>
      <c r="G175" s="6"/>
      <c r="H175" s="6">
        <v>1</v>
      </c>
      <c r="I175" s="6"/>
      <c r="J175" s="6"/>
      <c r="K175" s="6">
        <f>K174</f>
        <v>6</v>
      </c>
      <c r="L175" s="6"/>
      <c r="M175" s="2" t="s">
        <v>766</v>
      </c>
      <c r="N175" s="51">
        <f>N174-4</f>
        <v>45</v>
      </c>
      <c r="O175" s="2"/>
      <c r="P175" s="52"/>
      <c r="Q175" s="52"/>
      <c r="R175" s="52" t="str">
        <f>"1001,1001,1003,1003"</f>
        <v>1001,1001,1003,1003</v>
      </c>
      <c r="S175" s="2"/>
      <c r="T175" s="2"/>
      <c r="U175" s="2"/>
      <c r="V175" s="6"/>
      <c r="W175" s="2"/>
      <c r="X175" s="2" t="s">
        <v>766</v>
      </c>
      <c r="Y175" s="2"/>
      <c r="Z175" s="155" t="s">
        <v>965</v>
      </c>
      <c r="AA175" s="158"/>
      <c r="AB175" s="158"/>
      <c r="AC175" s="158"/>
      <c r="AD175" s="154"/>
      <c r="AF175" s="57"/>
      <c r="AG175" s="57"/>
      <c r="AH175" s="47"/>
      <c r="AI175" s="57"/>
    </row>
    <row r="176" spans="1:35" ht="14.25" customHeight="1">
      <c r="A176" s="6">
        <f t="shared" si="4"/>
        <v>313003</v>
      </c>
      <c r="B176" s="4" t="s">
        <v>966</v>
      </c>
      <c r="C176" s="6">
        <v>-5</v>
      </c>
      <c r="D176" s="6"/>
      <c r="E176" s="6"/>
      <c r="F176" s="6">
        <v>1</v>
      </c>
      <c r="G176" s="6"/>
      <c r="H176" s="6">
        <v>1</v>
      </c>
      <c r="I176" s="6"/>
      <c r="J176" s="6"/>
      <c r="K176" s="6">
        <f>K174-1</f>
        <v>5</v>
      </c>
      <c r="L176" s="6"/>
      <c r="M176" s="2" t="s">
        <v>766</v>
      </c>
      <c r="N176" s="51">
        <f>N175-4</f>
        <v>41</v>
      </c>
      <c r="O176" s="2"/>
      <c r="P176" s="52"/>
      <c r="Q176" s="52"/>
      <c r="R176" s="52" t="str">
        <f>"1001,1001,1003,1003"</f>
        <v>1001,1001,1003,1003</v>
      </c>
      <c r="S176" s="2"/>
      <c r="T176" s="2"/>
      <c r="U176" s="2"/>
      <c r="V176" s="6"/>
      <c r="W176" s="2"/>
      <c r="X176" s="2" t="s">
        <v>766</v>
      </c>
      <c r="Y176" s="2"/>
      <c r="Z176" s="155" t="s">
        <v>965</v>
      </c>
      <c r="AA176" s="158"/>
      <c r="AB176" s="158"/>
      <c r="AC176" s="158"/>
      <c r="AD176" s="154"/>
      <c r="AF176" s="57"/>
      <c r="AG176" s="57"/>
      <c r="AH176" s="47"/>
      <c r="AI176" s="57"/>
    </row>
    <row r="177" spans="1:35" ht="14.25" customHeight="1">
      <c r="A177" s="6">
        <f t="shared" si="4"/>
        <v>314003</v>
      </c>
      <c r="B177" s="4" t="s">
        <v>967</v>
      </c>
      <c r="C177" s="6">
        <v>-5</v>
      </c>
      <c r="D177" s="6"/>
      <c r="E177" s="6"/>
      <c r="F177" s="6">
        <v>1</v>
      </c>
      <c r="G177" s="6"/>
      <c r="H177" s="6">
        <v>1</v>
      </c>
      <c r="I177" s="6"/>
      <c r="J177" s="6"/>
      <c r="K177" s="6">
        <f>K176-1</f>
        <v>4</v>
      </c>
      <c r="L177" s="6"/>
      <c r="M177" s="2" t="s">
        <v>766</v>
      </c>
      <c r="N177" s="51">
        <f>N176-4</f>
        <v>37</v>
      </c>
      <c r="O177" s="2"/>
      <c r="P177" s="52"/>
      <c r="Q177" s="52"/>
      <c r="R177" s="52" t="str">
        <f>"1001,1001,1003,1003"</f>
        <v>1001,1001,1003,1003</v>
      </c>
      <c r="S177" s="2"/>
      <c r="T177" s="2"/>
      <c r="U177" s="2"/>
      <c r="V177" s="6"/>
      <c r="W177" s="2"/>
      <c r="X177" s="2" t="s">
        <v>766</v>
      </c>
      <c r="Y177" s="2"/>
      <c r="Z177" s="155" t="s">
        <v>965</v>
      </c>
      <c r="AA177" s="158"/>
      <c r="AB177" s="158"/>
      <c r="AC177" s="158"/>
      <c r="AD177" s="154"/>
      <c r="AF177" s="57"/>
      <c r="AG177" s="57"/>
      <c r="AH177" s="47"/>
      <c r="AI177" s="57"/>
    </row>
    <row r="178" spans="1:35" ht="14.25" customHeight="1">
      <c r="A178" s="6">
        <f t="shared" si="4"/>
        <v>315003</v>
      </c>
      <c r="B178" s="4" t="s">
        <v>968</v>
      </c>
      <c r="C178" s="6">
        <v>-5</v>
      </c>
      <c r="D178" s="6"/>
      <c r="E178" s="6"/>
      <c r="F178" s="6">
        <v>1</v>
      </c>
      <c r="G178" s="6"/>
      <c r="H178" s="6">
        <v>1</v>
      </c>
      <c r="I178" s="6"/>
      <c r="J178" s="6"/>
      <c r="K178" s="6">
        <f>K177</f>
        <v>4</v>
      </c>
      <c r="L178" s="6"/>
      <c r="M178" s="2" t="s">
        <v>766</v>
      </c>
      <c r="N178" s="51">
        <f>N177-4</f>
        <v>33</v>
      </c>
      <c r="O178" s="2"/>
      <c r="P178" s="52"/>
      <c r="Q178" s="52"/>
      <c r="R178" s="52" t="str">
        <f>"1001,1001,1003,1003,1005,1007"</f>
        <v>1001,1001,1003,1003,1005,1007</v>
      </c>
      <c r="S178" s="2"/>
      <c r="T178" s="2"/>
      <c r="U178" s="2"/>
      <c r="V178" s="6"/>
      <c r="W178" s="2"/>
      <c r="X178" s="2" t="s">
        <v>766</v>
      </c>
      <c r="Y178" s="2"/>
      <c r="Z178" s="155" t="s">
        <v>969</v>
      </c>
      <c r="AA178" s="158"/>
      <c r="AB178" s="158"/>
      <c r="AC178" s="158"/>
      <c r="AD178" s="154"/>
      <c r="AF178" s="57"/>
      <c r="AG178" s="57"/>
      <c r="AH178" s="47"/>
      <c r="AI178" s="57"/>
    </row>
    <row r="179" spans="1:35" ht="14.25" customHeight="1">
      <c r="A179" s="6">
        <f t="shared" si="4"/>
        <v>311004</v>
      </c>
      <c r="B179" s="1" t="s">
        <v>970</v>
      </c>
      <c r="C179" s="6">
        <v>3</v>
      </c>
      <c r="D179" s="6"/>
      <c r="E179" s="6"/>
      <c r="F179" s="6">
        <v>1</v>
      </c>
      <c r="G179" s="6">
        <v>1.6</v>
      </c>
      <c r="H179" s="6"/>
      <c r="I179" s="6"/>
      <c r="J179" s="6"/>
      <c r="K179" s="6">
        <v>7</v>
      </c>
      <c r="L179" s="6"/>
      <c r="M179" s="2" t="s">
        <v>749</v>
      </c>
      <c r="N179" s="51">
        <v>48</v>
      </c>
      <c r="O179" s="2"/>
      <c r="P179" s="52">
        <v>3003</v>
      </c>
      <c r="Q179" s="52"/>
      <c r="R179" s="52"/>
      <c r="S179" s="2"/>
      <c r="T179" s="2"/>
      <c r="U179" s="2"/>
      <c r="V179" s="6"/>
      <c r="W179" s="2"/>
      <c r="X179" s="2" t="s">
        <v>773</v>
      </c>
      <c r="Y179" s="2"/>
      <c r="Z179" s="155" t="s">
        <v>786</v>
      </c>
      <c r="AA179" s="158"/>
      <c r="AB179" s="158"/>
      <c r="AC179" s="158"/>
      <c r="AD179" s="154"/>
    </row>
    <row r="180" spans="1:35" ht="14.25" customHeight="1">
      <c r="A180" s="6">
        <f t="shared" si="4"/>
        <v>312004</v>
      </c>
      <c r="B180" s="1" t="s">
        <v>971</v>
      </c>
      <c r="C180" s="6">
        <v>3</v>
      </c>
      <c r="D180" s="6"/>
      <c r="E180" s="6"/>
      <c r="F180" s="6">
        <v>1</v>
      </c>
      <c r="G180" s="6">
        <v>1.6</v>
      </c>
      <c r="H180" s="6"/>
      <c r="I180" s="6"/>
      <c r="J180" s="6"/>
      <c r="K180" s="6">
        <f>K179</f>
        <v>7</v>
      </c>
      <c r="L180" s="6"/>
      <c r="M180" s="2" t="s">
        <v>749</v>
      </c>
      <c r="N180" s="51">
        <f>N179-4</f>
        <v>44</v>
      </c>
      <c r="O180" s="2"/>
      <c r="P180" s="52">
        <v>3003</v>
      </c>
      <c r="Q180" s="52"/>
      <c r="R180" s="52"/>
      <c r="S180" s="2"/>
      <c r="T180" s="2"/>
      <c r="U180" s="2"/>
      <c r="V180" s="6"/>
      <c r="W180" s="2"/>
      <c r="X180" s="2" t="s">
        <v>773</v>
      </c>
      <c r="Y180" s="2"/>
      <c r="Z180" s="155" t="s">
        <v>786</v>
      </c>
      <c r="AA180" s="158"/>
      <c r="AB180" s="158"/>
      <c r="AC180" s="158"/>
      <c r="AD180" s="154"/>
      <c r="AF180" s="57"/>
      <c r="AG180" s="57"/>
      <c r="AH180" s="47"/>
      <c r="AI180" s="57"/>
    </row>
    <row r="181" spans="1:35" ht="14.25" customHeight="1">
      <c r="A181" s="6">
        <f t="shared" si="4"/>
        <v>313004</v>
      </c>
      <c r="B181" s="1" t="s">
        <v>972</v>
      </c>
      <c r="C181" s="6">
        <v>3</v>
      </c>
      <c r="D181" s="6"/>
      <c r="E181" s="6"/>
      <c r="F181" s="6">
        <v>1</v>
      </c>
      <c r="G181" s="6">
        <v>1.6</v>
      </c>
      <c r="H181" s="6"/>
      <c r="I181" s="6"/>
      <c r="J181" s="6"/>
      <c r="K181" s="6">
        <f>K179-1</f>
        <v>6</v>
      </c>
      <c r="L181" s="6"/>
      <c r="M181" s="2" t="s">
        <v>749</v>
      </c>
      <c r="N181" s="51">
        <f>N180-4</f>
        <v>40</v>
      </c>
      <c r="O181" s="2"/>
      <c r="P181" s="52">
        <v>3003</v>
      </c>
      <c r="Q181" s="52"/>
      <c r="R181" s="52">
        <v>5001</v>
      </c>
      <c r="S181" s="2"/>
      <c r="T181" s="2"/>
      <c r="U181" s="2"/>
      <c r="V181" s="6"/>
      <c r="W181" s="2"/>
      <c r="X181" s="2" t="s">
        <v>773</v>
      </c>
      <c r="Y181" s="2"/>
      <c r="Z181" s="155" t="s">
        <v>973</v>
      </c>
      <c r="AA181" s="158"/>
      <c r="AB181" s="158"/>
      <c r="AC181" s="158"/>
      <c r="AD181" s="154"/>
      <c r="AF181" s="57"/>
      <c r="AG181" s="57"/>
      <c r="AH181" s="47"/>
      <c r="AI181" s="57"/>
    </row>
    <row r="182" spans="1:35" ht="14.25" customHeight="1">
      <c r="A182" s="6">
        <f t="shared" si="4"/>
        <v>314004</v>
      </c>
      <c r="B182" s="1" t="s">
        <v>974</v>
      </c>
      <c r="C182" s="6">
        <v>3</v>
      </c>
      <c r="D182" s="6"/>
      <c r="E182" s="6"/>
      <c r="F182" s="6">
        <v>1</v>
      </c>
      <c r="G182" s="6">
        <v>1.6</v>
      </c>
      <c r="H182" s="6"/>
      <c r="I182" s="6"/>
      <c r="J182" s="6"/>
      <c r="K182" s="6">
        <f>K181-1</f>
        <v>5</v>
      </c>
      <c r="L182" s="6"/>
      <c r="M182" s="2" t="s">
        <v>749</v>
      </c>
      <c r="N182" s="51">
        <f>N181-4</f>
        <v>36</v>
      </c>
      <c r="O182" s="2"/>
      <c r="P182" s="52">
        <v>3003</v>
      </c>
      <c r="Q182" s="52"/>
      <c r="R182" s="52">
        <v>5001</v>
      </c>
      <c r="S182" s="2"/>
      <c r="T182" s="2"/>
      <c r="U182" s="2"/>
      <c r="V182" s="6"/>
      <c r="W182" s="2"/>
      <c r="X182" s="2" t="s">
        <v>773</v>
      </c>
      <c r="Y182" s="2"/>
      <c r="Z182" s="155" t="s">
        <v>973</v>
      </c>
      <c r="AA182" s="158"/>
      <c r="AB182" s="158"/>
      <c r="AC182" s="158"/>
      <c r="AD182" s="154"/>
      <c r="AF182" s="57"/>
      <c r="AG182" s="57"/>
      <c r="AH182" s="47"/>
      <c r="AI182" s="57"/>
    </row>
    <row r="183" spans="1:35" ht="14.25" customHeight="1">
      <c r="A183" s="6">
        <f t="shared" si="4"/>
        <v>315004</v>
      </c>
      <c r="B183" s="1" t="s">
        <v>975</v>
      </c>
      <c r="C183" s="6">
        <v>3</v>
      </c>
      <c r="D183" s="6"/>
      <c r="E183" s="6"/>
      <c r="F183" s="6">
        <v>1</v>
      </c>
      <c r="G183" s="6">
        <v>1.6</v>
      </c>
      <c r="H183" s="6"/>
      <c r="I183" s="6"/>
      <c r="J183" s="6"/>
      <c r="K183" s="6">
        <f>K182</f>
        <v>5</v>
      </c>
      <c r="L183" s="6"/>
      <c r="M183" s="2" t="s">
        <v>749</v>
      </c>
      <c r="N183" s="51">
        <f>N182-4</f>
        <v>32</v>
      </c>
      <c r="O183" s="2"/>
      <c r="P183" s="52">
        <v>3003</v>
      </c>
      <c r="Q183" s="52"/>
      <c r="R183" s="52">
        <v>5001</v>
      </c>
      <c r="S183" s="2"/>
      <c r="T183" s="2"/>
      <c r="U183" s="2"/>
      <c r="V183" s="6"/>
      <c r="W183" s="2"/>
      <c r="X183" s="2" t="s">
        <v>773</v>
      </c>
      <c r="Y183" s="2"/>
      <c r="Z183" s="155" t="s">
        <v>973</v>
      </c>
      <c r="AA183" s="158"/>
      <c r="AB183" s="158"/>
      <c r="AC183" s="158"/>
      <c r="AD183" s="154"/>
      <c r="AF183" s="57"/>
      <c r="AG183" s="57"/>
      <c r="AH183" s="47"/>
      <c r="AI183" s="57"/>
    </row>
    <row r="184" spans="1:35" ht="14.25" customHeight="1">
      <c r="A184" s="6">
        <f t="shared" si="4"/>
        <v>311005</v>
      </c>
      <c r="B184" s="4" t="s">
        <v>976</v>
      </c>
      <c r="C184" s="6">
        <v>1</v>
      </c>
      <c r="D184" s="6"/>
      <c r="E184" s="6"/>
      <c r="F184" s="6">
        <v>1</v>
      </c>
      <c r="G184" s="6">
        <v>4.8</v>
      </c>
      <c r="H184" s="6"/>
      <c r="I184" s="6"/>
      <c r="J184" s="6"/>
      <c r="K184" s="6">
        <v>6</v>
      </c>
      <c r="L184" s="6"/>
      <c r="M184" s="2" t="s">
        <v>749</v>
      </c>
      <c r="N184" s="51">
        <v>48</v>
      </c>
      <c r="O184" s="2"/>
      <c r="P184" s="52">
        <v>3007</v>
      </c>
      <c r="Q184" s="52"/>
      <c r="R184" s="52"/>
      <c r="S184" s="2"/>
      <c r="T184" s="2"/>
      <c r="U184" s="2"/>
      <c r="V184" s="6"/>
      <c r="W184" s="2"/>
      <c r="X184" s="2" t="s">
        <v>788</v>
      </c>
      <c r="Y184" s="2"/>
      <c r="Z184" s="155" t="s">
        <v>977</v>
      </c>
      <c r="AA184" s="158"/>
      <c r="AB184" s="158"/>
      <c r="AC184" s="158"/>
      <c r="AD184" s="154"/>
    </row>
    <row r="185" spans="1:35" ht="14.25" customHeight="1">
      <c r="A185" s="6">
        <f t="shared" si="4"/>
        <v>312005</v>
      </c>
      <c r="B185" s="4" t="s">
        <v>978</v>
      </c>
      <c r="C185" s="6">
        <v>1</v>
      </c>
      <c r="D185" s="6"/>
      <c r="E185" s="6"/>
      <c r="F185" s="6">
        <v>1</v>
      </c>
      <c r="G185" s="6">
        <v>4.8</v>
      </c>
      <c r="H185" s="6"/>
      <c r="I185" s="6"/>
      <c r="J185" s="6"/>
      <c r="K185" s="6">
        <f>K184</f>
        <v>6</v>
      </c>
      <c r="L185" s="6"/>
      <c r="M185" s="2" t="s">
        <v>749</v>
      </c>
      <c r="N185" s="51">
        <f>N184-4</f>
        <v>44</v>
      </c>
      <c r="O185" s="2"/>
      <c r="P185" s="52">
        <v>3007</v>
      </c>
      <c r="Q185" s="52"/>
      <c r="R185" s="52"/>
      <c r="S185" s="2"/>
      <c r="T185" s="2"/>
      <c r="U185" s="2"/>
      <c r="V185" s="6"/>
      <c r="W185" s="2"/>
      <c r="X185" s="2" t="s">
        <v>788</v>
      </c>
      <c r="Y185" s="2"/>
      <c r="Z185" s="155" t="s">
        <v>977</v>
      </c>
      <c r="AA185" s="158"/>
      <c r="AB185" s="158"/>
      <c r="AC185" s="158"/>
      <c r="AD185" s="154"/>
      <c r="AF185" s="57"/>
      <c r="AG185" s="57"/>
      <c r="AH185" s="47"/>
      <c r="AI185" s="47"/>
    </row>
    <row r="186" spans="1:35" ht="14.25" customHeight="1">
      <c r="A186" s="6">
        <f t="shared" si="4"/>
        <v>313005</v>
      </c>
      <c r="B186" s="4" t="s">
        <v>979</v>
      </c>
      <c r="C186" s="6">
        <v>1</v>
      </c>
      <c r="D186" s="6"/>
      <c r="E186" s="6"/>
      <c r="F186" s="6">
        <v>1</v>
      </c>
      <c r="G186" s="6">
        <v>4.8</v>
      </c>
      <c r="H186" s="6"/>
      <c r="I186" s="6"/>
      <c r="J186" s="6"/>
      <c r="K186" s="6">
        <f>K184-1</f>
        <v>5</v>
      </c>
      <c r="L186" s="6"/>
      <c r="M186" s="2" t="s">
        <v>749</v>
      </c>
      <c r="N186" s="51">
        <f>N185-4</f>
        <v>40</v>
      </c>
      <c r="O186" s="2"/>
      <c r="P186" s="52" t="str">
        <f>"3007,3012"</f>
        <v>3007,3012</v>
      </c>
      <c r="Q186" s="52"/>
      <c r="R186" s="52"/>
      <c r="S186" s="2"/>
      <c r="T186" s="2"/>
      <c r="U186" s="2"/>
      <c r="V186" s="6"/>
      <c r="W186" s="2"/>
      <c r="X186" s="2" t="s">
        <v>788</v>
      </c>
      <c r="Y186" s="2"/>
      <c r="Z186" s="155" t="s">
        <v>980</v>
      </c>
      <c r="AA186" s="158"/>
      <c r="AB186" s="158"/>
      <c r="AC186" s="158"/>
      <c r="AD186" s="154"/>
      <c r="AF186" s="57"/>
      <c r="AG186" s="57"/>
      <c r="AH186" s="47"/>
      <c r="AI186" s="47"/>
    </row>
    <row r="187" spans="1:35" ht="14.25" customHeight="1">
      <c r="A187" s="6">
        <f t="shared" si="4"/>
        <v>314005</v>
      </c>
      <c r="B187" s="4" t="s">
        <v>981</v>
      </c>
      <c r="C187" s="6">
        <v>1</v>
      </c>
      <c r="D187" s="6"/>
      <c r="E187" s="6"/>
      <c r="F187" s="6">
        <v>1</v>
      </c>
      <c r="G187" s="6">
        <v>4.8</v>
      </c>
      <c r="H187" s="6"/>
      <c r="I187" s="6"/>
      <c r="J187" s="6"/>
      <c r="K187" s="6">
        <f>K186-1</f>
        <v>4</v>
      </c>
      <c r="L187" s="6"/>
      <c r="M187" s="2" t="s">
        <v>749</v>
      </c>
      <c r="N187" s="51">
        <f>N186-4</f>
        <v>36</v>
      </c>
      <c r="O187" s="2"/>
      <c r="P187" s="52" t="str">
        <f>"3007,3012"</f>
        <v>3007,3012</v>
      </c>
      <c r="Q187" s="52"/>
      <c r="R187" s="52"/>
      <c r="S187" s="2"/>
      <c r="T187" s="2"/>
      <c r="U187" s="2"/>
      <c r="V187" s="6"/>
      <c r="W187" s="2"/>
      <c r="X187" s="2" t="s">
        <v>788</v>
      </c>
      <c r="Y187" s="2"/>
      <c r="Z187" s="155" t="s">
        <v>980</v>
      </c>
      <c r="AA187" s="158"/>
      <c r="AB187" s="158"/>
      <c r="AC187" s="158"/>
      <c r="AD187" s="154"/>
      <c r="AF187" s="57"/>
      <c r="AG187" s="57"/>
      <c r="AH187" s="47"/>
      <c r="AI187" s="47"/>
    </row>
    <row r="188" spans="1:35" ht="14.25" customHeight="1">
      <c r="A188" s="6">
        <f t="shared" si="4"/>
        <v>315005</v>
      </c>
      <c r="B188" s="4" t="s">
        <v>982</v>
      </c>
      <c r="C188" s="6">
        <v>1</v>
      </c>
      <c r="D188" s="6"/>
      <c r="E188" s="6"/>
      <c r="F188" s="6">
        <v>1</v>
      </c>
      <c r="G188" s="6">
        <v>4.8</v>
      </c>
      <c r="H188" s="6"/>
      <c r="I188" s="6"/>
      <c r="J188" s="6"/>
      <c r="K188" s="6">
        <f>K187</f>
        <v>4</v>
      </c>
      <c r="L188" s="6"/>
      <c r="M188" s="2" t="s">
        <v>749</v>
      </c>
      <c r="N188" s="51">
        <f>N187-4</f>
        <v>32</v>
      </c>
      <c r="O188" s="2"/>
      <c r="P188" s="52" t="str">
        <f>"3007,3012"</f>
        <v>3007,3012</v>
      </c>
      <c r="Q188" s="52"/>
      <c r="R188" s="52"/>
      <c r="S188" s="2"/>
      <c r="T188" s="2"/>
      <c r="U188" s="2"/>
      <c r="V188" s="6"/>
      <c r="W188" s="2"/>
      <c r="X188" s="2" t="s">
        <v>788</v>
      </c>
      <c r="Y188" s="2"/>
      <c r="Z188" s="155" t="s">
        <v>980</v>
      </c>
      <c r="AA188" s="158"/>
      <c r="AB188" s="158"/>
      <c r="AC188" s="158"/>
      <c r="AD188" s="154"/>
    </row>
    <row r="189" spans="1:35" ht="14.25" customHeight="1">
      <c r="A189" s="6">
        <f t="shared" si="4"/>
        <v>311006</v>
      </c>
      <c r="B189" s="4" t="s">
        <v>983</v>
      </c>
      <c r="C189" s="6">
        <v>-5</v>
      </c>
      <c r="D189" s="6"/>
      <c r="E189" s="6"/>
      <c r="F189" s="6">
        <v>1</v>
      </c>
      <c r="G189" s="6"/>
      <c r="H189" s="6">
        <v>1</v>
      </c>
      <c r="I189" s="6"/>
      <c r="J189" s="6"/>
      <c r="K189" s="6">
        <v>6</v>
      </c>
      <c r="L189" s="6"/>
      <c r="M189" s="2" t="s">
        <v>768</v>
      </c>
      <c r="N189" s="51">
        <v>98</v>
      </c>
      <c r="O189" s="2"/>
      <c r="P189" s="52"/>
      <c r="Q189" s="52"/>
      <c r="R189" s="52">
        <v>1999</v>
      </c>
      <c r="S189" s="2"/>
      <c r="T189" s="2"/>
      <c r="U189" s="2"/>
      <c r="V189" s="6"/>
      <c r="W189" s="2"/>
      <c r="X189" s="2" t="s">
        <v>790</v>
      </c>
      <c r="Y189" s="2"/>
      <c r="Z189" s="155" t="s">
        <v>791</v>
      </c>
      <c r="AA189" s="158"/>
      <c r="AB189" s="158"/>
      <c r="AC189" s="158"/>
      <c r="AD189" s="154"/>
      <c r="AF189" s="57"/>
      <c r="AG189" s="57"/>
      <c r="AH189" s="47"/>
      <c r="AI189" s="57"/>
    </row>
    <row r="190" spans="1:35" ht="14.25" customHeight="1">
      <c r="A190" s="6">
        <f t="shared" si="4"/>
        <v>312006</v>
      </c>
      <c r="B190" s="4" t="s">
        <v>984</v>
      </c>
      <c r="C190" s="6">
        <v>-5</v>
      </c>
      <c r="D190" s="6"/>
      <c r="E190" s="6"/>
      <c r="F190" s="6">
        <v>1</v>
      </c>
      <c r="G190" s="6"/>
      <c r="H190" s="6">
        <v>1</v>
      </c>
      <c r="I190" s="6"/>
      <c r="J190" s="6"/>
      <c r="K190" s="6">
        <f>K189</f>
        <v>6</v>
      </c>
      <c r="L190" s="6"/>
      <c r="M190" s="2" t="s">
        <v>768</v>
      </c>
      <c r="N190" s="51">
        <f>N189-4</f>
        <v>94</v>
      </c>
      <c r="O190" s="2"/>
      <c r="P190" s="52"/>
      <c r="Q190" s="52"/>
      <c r="R190" s="52" t="str">
        <f>"1999,1012"</f>
        <v>1999,1012</v>
      </c>
      <c r="S190" s="2"/>
      <c r="T190" s="2"/>
      <c r="U190" s="2"/>
      <c r="V190" s="6"/>
      <c r="W190" s="2"/>
      <c r="X190" s="2" t="s">
        <v>790</v>
      </c>
      <c r="Y190" s="2"/>
      <c r="Z190" s="155" t="s">
        <v>985</v>
      </c>
      <c r="AA190" s="158"/>
      <c r="AB190" s="158"/>
      <c r="AC190" s="158"/>
      <c r="AD190" s="154"/>
      <c r="AF190" s="57"/>
      <c r="AG190" s="57"/>
      <c r="AH190" s="47"/>
      <c r="AI190" s="57"/>
    </row>
    <row r="191" spans="1:35" ht="14.25" customHeight="1">
      <c r="A191" s="6">
        <f t="shared" si="4"/>
        <v>313006</v>
      </c>
      <c r="B191" s="4" t="s">
        <v>986</v>
      </c>
      <c r="C191" s="6">
        <v>-5</v>
      </c>
      <c r="D191" s="6"/>
      <c r="E191" s="6"/>
      <c r="F191" s="6">
        <v>1</v>
      </c>
      <c r="G191" s="6"/>
      <c r="H191" s="6">
        <v>1</v>
      </c>
      <c r="I191" s="6"/>
      <c r="J191" s="6"/>
      <c r="K191" s="6">
        <f>K189-1</f>
        <v>5</v>
      </c>
      <c r="L191" s="6"/>
      <c r="M191" s="2" t="s">
        <v>768</v>
      </c>
      <c r="N191" s="51">
        <f>N190-4</f>
        <v>90</v>
      </c>
      <c r="O191" s="2"/>
      <c r="P191" s="52"/>
      <c r="Q191" s="52"/>
      <c r="R191" s="52" t="str">
        <f>"1999,1012"</f>
        <v>1999,1012</v>
      </c>
      <c r="S191" s="2"/>
      <c r="T191" s="2"/>
      <c r="U191" s="2"/>
      <c r="V191" s="6"/>
      <c r="W191" s="2"/>
      <c r="X191" s="2" t="s">
        <v>790</v>
      </c>
      <c r="Y191" s="2"/>
      <c r="Z191" s="155" t="s">
        <v>985</v>
      </c>
      <c r="AA191" s="158"/>
      <c r="AB191" s="158"/>
      <c r="AC191" s="158"/>
      <c r="AD191" s="154"/>
      <c r="AF191" s="57"/>
      <c r="AG191" s="57"/>
      <c r="AH191" s="47"/>
      <c r="AI191" s="57"/>
    </row>
    <row r="192" spans="1:35" ht="14.25" customHeight="1">
      <c r="A192" s="6">
        <f t="shared" si="4"/>
        <v>314006</v>
      </c>
      <c r="B192" s="4" t="s">
        <v>987</v>
      </c>
      <c r="C192" s="6">
        <v>-5</v>
      </c>
      <c r="D192" s="6"/>
      <c r="E192" s="6"/>
      <c r="F192" s="6">
        <v>1</v>
      </c>
      <c r="G192" s="6"/>
      <c r="H192" s="6">
        <v>1</v>
      </c>
      <c r="I192" s="6"/>
      <c r="J192" s="6"/>
      <c r="K192" s="6">
        <f>K191-1</f>
        <v>4</v>
      </c>
      <c r="L192" s="6"/>
      <c r="M192" s="2" t="s">
        <v>768</v>
      </c>
      <c r="N192" s="51">
        <f>N191-4</f>
        <v>86</v>
      </c>
      <c r="O192" s="2"/>
      <c r="P192" s="52"/>
      <c r="Q192" s="52"/>
      <c r="R192" s="52" t="str">
        <f>"1999,1012"</f>
        <v>1999,1012</v>
      </c>
      <c r="S192" s="2"/>
      <c r="T192" s="2"/>
      <c r="U192" s="2"/>
      <c r="V192" s="6"/>
      <c r="W192" s="2"/>
      <c r="X192" s="2" t="s">
        <v>790</v>
      </c>
      <c r="Y192" s="2"/>
      <c r="Z192" s="155" t="s">
        <v>985</v>
      </c>
      <c r="AA192" s="158"/>
      <c r="AB192" s="158"/>
      <c r="AC192" s="158"/>
      <c r="AD192" s="154"/>
      <c r="AF192" s="57"/>
      <c r="AG192" s="57"/>
      <c r="AH192" s="47"/>
      <c r="AI192" s="57"/>
    </row>
    <row r="193" spans="1:35" ht="14.25" customHeight="1">
      <c r="A193" s="6">
        <f t="shared" si="4"/>
        <v>315006</v>
      </c>
      <c r="B193" s="4" t="s">
        <v>988</v>
      </c>
      <c r="C193" s="6">
        <v>-5</v>
      </c>
      <c r="D193" s="6"/>
      <c r="E193" s="6"/>
      <c r="F193" s="6">
        <v>1</v>
      </c>
      <c r="G193" s="6"/>
      <c r="H193" s="6">
        <v>1</v>
      </c>
      <c r="I193" s="6"/>
      <c r="J193" s="6"/>
      <c r="K193" s="6">
        <f>K192</f>
        <v>4</v>
      </c>
      <c r="L193" s="6"/>
      <c r="M193" s="2" t="s">
        <v>768</v>
      </c>
      <c r="N193" s="51">
        <f>N192-4</f>
        <v>82</v>
      </c>
      <c r="O193" s="2"/>
      <c r="P193" s="52"/>
      <c r="Q193" s="52"/>
      <c r="R193" s="52" t="str">
        <f>"1999,1012,1012,1012"</f>
        <v>1999,1012,1012,1012</v>
      </c>
      <c r="S193" s="2"/>
      <c r="T193" s="2"/>
      <c r="U193" s="2"/>
      <c r="V193" s="6"/>
      <c r="W193" s="2"/>
      <c r="X193" s="2" t="s">
        <v>790</v>
      </c>
      <c r="Y193" s="2"/>
      <c r="Z193" s="155" t="s">
        <v>989</v>
      </c>
      <c r="AA193" s="158"/>
      <c r="AB193" s="158"/>
      <c r="AC193" s="158"/>
      <c r="AD193" s="154"/>
      <c r="AF193" s="57"/>
      <c r="AG193" s="57"/>
      <c r="AH193" s="47"/>
      <c r="AI193" s="57"/>
    </row>
    <row r="194" spans="1:35" ht="15.75" customHeight="1">
      <c r="A194" s="6">
        <f t="shared" si="4"/>
        <v>311007</v>
      </c>
      <c r="B194" s="4" t="s">
        <v>990</v>
      </c>
      <c r="C194" s="6">
        <v>2</v>
      </c>
      <c r="D194" s="6">
        <v>1</v>
      </c>
      <c r="E194" s="6"/>
      <c r="F194" s="6">
        <v>1</v>
      </c>
      <c r="G194" s="6">
        <v>2.5</v>
      </c>
      <c r="H194" s="6"/>
      <c r="I194" s="6"/>
      <c r="J194" s="6"/>
      <c r="K194" s="6">
        <v>8</v>
      </c>
      <c r="L194" s="6"/>
      <c r="M194" s="2" t="s">
        <v>749</v>
      </c>
      <c r="N194" s="51">
        <v>105</v>
      </c>
      <c r="O194" s="2"/>
      <c r="P194" s="52"/>
      <c r="Q194" s="52"/>
      <c r="R194" s="52">
        <v>2005</v>
      </c>
      <c r="S194" s="2"/>
      <c r="T194" s="2"/>
      <c r="U194" s="2"/>
      <c r="V194" s="6"/>
      <c r="W194" s="53" t="s">
        <v>757</v>
      </c>
      <c r="X194" s="53" t="s">
        <v>758</v>
      </c>
      <c r="Y194" s="2"/>
      <c r="Z194" s="155" t="s">
        <v>792</v>
      </c>
      <c r="AA194" s="158"/>
      <c r="AB194" s="158"/>
      <c r="AC194" s="158"/>
      <c r="AD194" s="154"/>
    </row>
    <row r="195" spans="1:35" ht="15.75" customHeight="1">
      <c r="A195" s="6">
        <f t="shared" si="4"/>
        <v>312007</v>
      </c>
      <c r="B195" s="4" t="s">
        <v>991</v>
      </c>
      <c r="C195" s="6">
        <v>2</v>
      </c>
      <c r="D195" s="6">
        <v>1</v>
      </c>
      <c r="E195" s="6"/>
      <c r="F195" s="6">
        <v>1</v>
      </c>
      <c r="G195" s="6">
        <v>2.5</v>
      </c>
      <c r="H195" s="6"/>
      <c r="I195" s="6"/>
      <c r="J195" s="6"/>
      <c r="K195" s="6">
        <f>K194</f>
        <v>8</v>
      </c>
      <c r="L195" s="6"/>
      <c r="M195" s="2" t="s">
        <v>749</v>
      </c>
      <c r="N195" s="51">
        <f>N194-4</f>
        <v>101</v>
      </c>
      <c r="O195" s="2"/>
      <c r="P195" s="52"/>
      <c r="Q195" s="52"/>
      <c r="R195" s="52" t="str">
        <f>"2005,2001"</f>
        <v>2005,2001</v>
      </c>
      <c r="S195" s="2"/>
      <c r="T195" s="2"/>
      <c r="U195" s="2"/>
      <c r="V195" s="6"/>
      <c r="W195" s="53" t="s">
        <v>757</v>
      </c>
      <c r="X195" s="53" t="s">
        <v>758</v>
      </c>
      <c r="Y195" s="2"/>
      <c r="Z195" s="155" t="s">
        <v>992</v>
      </c>
      <c r="AA195" s="158"/>
      <c r="AB195" s="158"/>
      <c r="AC195" s="158"/>
      <c r="AD195" s="154"/>
    </row>
    <row r="196" spans="1:35" ht="15.75" customHeight="1">
      <c r="A196" s="6">
        <f t="shared" si="4"/>
        <v>313007</v>
      </c>
      <c r="B196" s="4" t="s">
        <v>993</v>
      </c>
      <c r="C196" s="6">
        <v>2</v>
      </c>
      <c r="D196" s="6">
        <v>1</v>
      </c>
      <c r="E196" s="6"/>
      <c r="F196" s="6">
        <v>1</v>
      </c>
      <c r="G196" s="6">
        <v>2.5</v>
      </c>
      <c r="H196" s="6"/>
      <c r="I196" s="6"/>
      <c r="J196" s="6"/>
      <c r="K196" s="6">
        <f>K194-1</f>
        <v>7</v>
      </c>
      <c r="L196" s="6"/>
      <c r="M196" s="2" t="s">
        <v>749</v>
      </c>
      <c r="N196" s="51">
        <f>N195-4</f>
        <v>97</v>
      </c>
      <c r="O196" s="2"/>
      <c r="P196" s="52"/>
      <c r="Q196" s="52"/>
      <c r="R196" s="52" t="str">
        <f>"2005,2001"</f>
        <v>2005,2001</v>
      </c>
      <c r="S196" s="2"/>
      <c r="T196" s="2"/>
      <c r="U196" s="2"/>
      <c r="V196" s="6"/>
      <c r="W196" s="53" t="s">
        <v>757</v>
      </c>
      <c r="X196" s="53" t="s">
        <v>758</v>
      </c>
      <c r="Y196" s="2"/>
      <c r="Z196" s="155" t="s">
        <v>992</v>
      </c>
      <c r="AA196" s="158"/>
      <c r="AB196" s="158"/>
      <c r="AC196" s="158"/>
      <c r="AD196" s="154"/>
    </row>
    <row r="197" spans="1:35" ht="15.75" customHeight="1">
      <c r="A197" s="6">
        <f t="shared" si="4"/>
        <v>314007</v>
      </c>
      <c r="B197" s="4" t="s">
        <v>994</v>
      </c>
      <c r="C197" s="6">
        <v>2</v>
      </c>
      <c r="D197" s="6">
        <v>1</v>
      </c>
      <c r="E197" s="6"/>
      <c r="F197" s="6">
        <v>1</v>
      </c>
      <c r="G197" s="6">
        <v>2.5</v>
      </c>
      <c r="H197" s="6"/>
      <c r="I197" s="6"/>
      <c r="J197" s="6"/>
      <c r="K197" s="6">
        <f>K196-1</f>
        <v>6</v>
      </c>
      <c r="L197" s="6"/>
      <c r="M197" s="2" t="s">
        <v>749</v>
      </c>
      <c r="N197" s="51">
        <f>N196-4</f>
        <v>93</v>
      </c>
      <c r="O197" s="2"/>
      <c r="P197" s="52"/>
      <c r="Q197" s="52"/>
      <c r="R197" s="52" t="str">
        <f>"2005,2001"</f>
        <v>2005,2001</v>
      </c>
      <c r="S197" s="2"/>
      <c r="T197" s="2"/>
      <c r="U197" s="2"/>
      <c r="V197" s="6"/>
      <c r="W197" s="53" t="s">
        <v>757</v>
      </c>
      <c r="X197" s="53" t="s">
        <v>758</v>
      </c>
      <c r="Y197" s="2"/>
      <c r="Z197" s="155" t="s">
        <v>992</v>
      </c>
      <c r="AA197" s="158"/>
      <c r="AB197" s="158"/>
      <c r="AC197" s="158"/>
      <c r="AD197" s="154"/>
    </row>
    <row r="198" spans="1:35" ht="15.75" customHeight="1">
      <c r="A198" s="6">
        <f t="shared" si="4"/>
        <v>315007</v>
      </c>
      <c r="B198" s="4" t="s">
        <v>995</v>
      </c>
      <c r="C198" s="6">
        <v>3</v>
      </c>
      <c r="D198" s="6">
        <v>1</v>
      </c>
      <c r="E198" s="6"/>
      <c r="F198" s="6">
        <v>1</v>
      </c>
      <c r="G198" s="6">
        <v>2.5</v>
      </c>
      <c r="H198" s="6"/>
      <c r="I198" s="6"/>
      <c r="J198" s="6"/>
      <c r="K198" s="6">
        <f>K197</f>
        <v>6</v>
      </c>
      <c r="L198" s="6"/>
      <c r="M198" s="2" t="s">
        <v>749</v>
      </c>
      <c r="N198" s="51">
        <f>N197-4</f>
        <v>89</v>
      </c>
      <c r="O198" s="2"/>
      <c r="P198" s="52"/>
      <c r="Q198" s="52"/>
      <c r="R198" s="52" t="str">
        <f>"2005,2001,2002,2004"</f>
        <v>2005,2001,2002,2004</v>
      </c>
      <c r="S198" s="2"/>
      <c r="T198" s="2"/>
      <c r="U198" s="2"/>
      <c r="V198" s="6"/>
      <c r="W198" s="53" t="s">
        <v>757</v>
      </c>
      <c r="X198" s="53" t="s">
        <v>758</v>
      </c>
      <c r="Y198" s="2"/>
      <c r="Z198" s="155" t="s">
        <v>996</v>
      </c>
      <c r="AA198" s="158"/>
      <c r="AB198" s="158"/>
      <c r="AC198" s="158"/>
      <c r="AD198" s="154"/>
    </row>
    <row r="199" spans="1:35" ht="15.75" customHeight="1">
      <c r="A199" s="6">
        <f t="shared" si="4"/>
        <v>311008</v>
      </c>
      <c r="B199" s="4" t="s">
        <v>997</v>
      </c>
      <c r="C199" s="6">
        <v>-5</v>
      </c>
      <c r="D199" s="6"/>
      <c r="E199" s="6"/>
      <c r="F199" s="6">
        <v>1</v>
      </c>
      <c r="G199" s="55"/>
      <c r="H199" s="55"/>
      <c r="I199" s="6"/>
      <c r="J199" s="6"/>
      <c r="K199" s="6">
        <v>5</v>
      </c>
      <c r="L199" s="6"/>
      <c r="M199" s="2"/>
      <c r="N199" s="51">
        <v>90</v>
      </c>
      <c r="O199" s="2"/>
      <c r="P199" s="52"/>
      <c r="Q199" s="52"/>
      <c r="R199" s="52" t="str">
        <f>"1003,1003"</f>
        <v>1003,1003</v>
      </c>
      <c r="S199" s="2"/>
      <c r="T199" s="2"/>
      <c r="U199" s="2"/>
      <c r="V199" s="6"/>
      <c r="W199" s="2"/>
      <c r="X199" s="2" t="s">
        <v>767</v>
      </c>
      <c r="Y199" s="2"/>
      <c r="Z199" s="155" t="s">
        <v>411</v>
      </c>
      <c r="AA199" s="158"/>
      <c r="AB199" s="158"/>
      <c r="AC199" s="158"/>
      <c r="AD199" s="154"/>
    </row>
    <row r="200" spans="1:35" ht="15.75" customHeight="1">
      <c r="A200" s="6">
        <f t="shared" si="4"/>
        <v>312008</v>
      </c>
      <c r="B200" s="4" t="s">
        <v>998</v>
      </c>
      <c r="C200" s="6">
        <v>-5</v>
      </c>
      <c r="D200" s="6"/>
      <c r="E200" s="6"/>
      <c r="F200" s="6">
        <v>1</v>
      </c>
      <c r="G200" s="55"/>
      <c r="H200" s="55">
        <v>1.5</v>
      </c>
      <c r="I200" s="6"/>
      <c r="J200" s="6"/>
      <c r="K200" s="6">
        <f>K199</f>
        <v>5</v>
      </c>
      <c r="L200" s="6"/>
      <c r="M200" s="2" t="s">
        <v>768</v>
      </c>
      <c r="N200" s="51">
        <f>N199-4</f>
        <v>86</v>
      </c>
      <c r="O200" s="2"/>
      <c r="P200" s="52"/>
      <c r="Q200" s="52"/>
      <c r="R200" s="52" t="str">
        <f>"1003,1003,1999"</f>
        <v>1003,1003,1999</v>
      </c>
      <c r="S200" s="2"/>
      <c r="T200" s="2"/>
      <c r="U200" s="2"/>
      <c r="V200" s="6"/>
      <c r="W200" s="2"/>
      <c r="X200" s="2" t="s">
        <v>767</v>
      </c>
      <c r="Y200" s="2"/>
      <c r="Z200" s="155" t="s">
        <v>999</v>
      </c>
      <c r="AA200" s="158"/>
      <c r="AB200" s="158"/>
      <c r="AC200" s="158"/>
      <c r="AD200" s="154"/>
    </row>
    <row r="201" spans="1:35" ht="15.75" customHeight="1">
      <c r="A201" s="6">
        <f t="shared" ref="A201:A223" si="5">A196+1</f>
        <v>313008</v>
      </c>
      <c r="B201" s="4" t="s">
        <v>1000</v>
      </c>
      <c r="C201" s="6">
        <v>-5</v>
      </c>
      <c r="D201" s="6"/>
      <c r="E201" s="6"/>
      <c r="F201" s="6">
        <v>1</v>
      </c>
      <c r="G201" s="55"/>
      <c r="H201" s="55">
        <v>1.5</v>
      </c>
      <c r="I201" s="6"/>
      <c r="J201" s="6"/>
      <c r="K201" s="6">
        <f>K199-1</f>
        <v>4</v>
      </c>
      <c r="L201" s="6"/>
      <c r="M201" s="2" t="s">
        <v>768</v>
      </c>
      <c r="N201" s="51">
        <f>N200-4</f>
        <v>82</v>
      </c>
      <c r="O201" s="2"/>
      <c r="P201" s="52"/>
      <c r="Q201" s="52"/>
      <c r="R201" s="52" t="str">
        <f>"1003,1003,1999"</f>
        <v>1003,1003,1999</v>
      </c>
      <c r="S201" s="2"/>
      <c r="T201" s="2"/>
      <c r="U201" s="2"/>
      <c r="V201" s="6"/>
      <c r="W201" s="2"/>
      <c r="X201" s="2" t="s">
        <v>767</v>
      </c>
      <c r="Y201" s="2"/>
      <c r="Z201" s="155" t="s">
        <v>999</v>
      </c>
      <c r="AA201" s="158"/>
      <c r="AB201" s="158"/>
      <c r="AC201" s="158"/>
      <c r="AD201" s="154"/>
    </row>
    <row r="202" spans="1:35" ht="15.75" customHeight="1">
      <c r="A202" s="6">
        <f t="shared" si="5"/>
        <v>314008</v>
      </c>
      <c r="B202" s="4" t="s">
        <v>1001</v>
      </c>
      <c r="C202" s="6">
        <v>-5</v>
      </c>
      <c r="D202" s="6"/>
      <c r="E202" s="6"/>
      <c r="F202" s="6">
        <v>1</v>
      </c>
      <c r="G202" s="55"/>
      <c r="H202" s="55">
        <v>1.5</v>
      </c>
      <c r="I202" s="6"/>
      <c r="J202" s="6"/>
      <c r="K202" s="6">
        <f>K201-1</f>
        <v>3</v>
      </c>
      <c r="L202" s="6"/>
      <c r="M202" s="2" t="s">
        <v>768</v>
      </c>
      <c r="N202" s="51">
        <f>N201-4</f>
        <v>78</v>
      </c>
      <c r="O202" s="2"/>
      <c r="P202" s="52"/>
      <c r="Q202" s="52"/>
      <c r="R202" s="52" t="str">
        <f>"1003,1003,1999"</f>
        <v>1003,1003,1999</v>
      </c>
      <c r="S202" s="2"/>
      <c r="T202" s="2"/>
      <c r="U202" s="2"/>
      <c r="V202" s="6"/>
      <c r="W202" s="2"/>
      <c r="X202" s="2" t="s">
        <v>767</v>
      </c>
      <c r="Y202" s="2"/>
      <c r="Z202" s="155" t="s">
        <v>999</v>
      </c>
      <c r="AA202" s="158"/>
      <c r="AB202" s="158"/>
      <c r="AC202" s="158"/>
      <c r="AD202" s="154"/>
      <c r="AE202" s="57"/>
    </row>
    <row r="203" spans="1:35" ht="15.75" customHeight="1">
      <c r="A203" s="6">
        <f t="shared" si="5"/>
        <v>315008</v>
      </c>
      <c r="B203" s="4" t="s">
        <v>1002</v>
      </c>
      <c r="C203" s="6">
        <v>-5</v>
      </c>
      <c r="D203" s="6"/>
      <c r="E203" s="6"/>
      <c r="F203" s="6">
        <v>1</v>
      </c>
      <c r="G203" s="55"/>
      <c r="H203" s="55">
        <v>1.5</v>
      </c>
      <c r="I203" s="6"/>
      <c r="J203" s="6"/>
      <c r="K203" s="6">
        <f>K202</f>
        <v>3</v>
      </c>
      <c r="L203" s="6"/>
      <c r="M203" s="2" t="s">
        <v>768</v>
      </c>
      <c r="N203" s="51">
        <f>N202-4</f>
        <v>74</v>
      </c>
      <c r="O203" s="2"/>
      <c r="P203" s="52"/>
      <c r="Q203" s="52"/>
      <c r="R203" s="52" t="str">
        <f>"1003,1003,1999,1006,1006"</f>
        <v>1003,1003,1999,1006,1006</v>
      </c>
      <c r="S203" s="2"/>
      <c r="T203" s="2"/>
      <c r="U203" s="2"/>
      <c r="V203" s="6"/>
      <c r="W203" s="2"/>
      <c r="X203" s="2" t="s">
        <v>767</v>
      </c>
      <c r="Y203" s="2"/>
      <c r="Z203" s="155" t="s">
        <v>1003</v>
      </c>
      <c r="AA203" s="158"/>
      <c r="AB203" s="158"/>
      <c r="AC203" s="158"/>
      <c r="AD203" s="154"/>
      <c r="AE203" s="57"/>
    </row>
    <row r="204" spans="1:35" ht="15.75" customHeight="1">
      <c r="A204" s="6">
        <f t="shared" si="5"/>
        <v>311009</v>
      </c>
      <c r="B204" s="4" t="s">
        <v>1004</v>
      </c>
      <c r="C204" s="6">
        <v>1</v>
      </c>
      <c r="D204" s="6">
        <v>1</v>
      </c>
      <c r="E204" s="6"/>
      <c r="F204" s="6">
        <v>3</v>
      </c>
      <c r="G204" s="55">
        <v>1.6</v>
      </c>
      <c r="H204" s="55"/>
      <c r="I204" s="6"/>
      <c r="J204" s="6"/>
      <c r="K204" s="6">
        <v>4</v>
      </c>
      <c r="L204" s="6"/>
      <c r="M204" s="2" t="s">
        <v>749</v>
      </c>
      <c r="N204" s="51">
        <v>23</v>
      </c>
      <c r="O204" s="2"/>
      <c r="P204" s="52">
        <v>1001</v>
      </c>
      <c r="Q204" s="52">
        <v>0.4</v>
      </c>
      <c r="R204" s="52"/>
      <c r="S204" s="2"/>
      <c r="T204" s="2"/>
      <c r="U204" s="2"/>
      <c r="V204" s="6"/>
      <c r="W204" s="2"/>
      <c r="X204" s="2" t="s">
        <v>750</v>
      </c>
      <c r="Y204" s="2"/>
      <c r="Z204" s="155" t="s">
        <v>793</v>
      </c>
      <c r="AA204" s="158"/>
      <c r="AB204" s="158"/>
      <c r="AC204" s="158"/>
      <c r="AD204" s="154"/>
      <c r="AE204" s="57"/>
      <c r="AF204" s="57"/>
      <c r="AG204" s="57"/>
      <c r="AH204" s="47"/>
      <c r="AI204" s="57"/>
    </row>
    <row r="205" spans="1:35" ht="15.75" customHeight="1">
      <c r="A205" s="6">
        <f t="shared" si="5"/>
        <v>312009</v>
      </c>
      <c r="B205" s="4" t="s">
        <v>1005</v>
      </c>
      <c r="C205" s="6">
        <v>1</v>
      </c>
      <c r="D205" s="6">
        <v>1</v>
      </c>
      <c r="E205" s="6"/>
      <c r="F205" s="6">
        <v>4</v>
      </c>
      <c r="G205" s="55">
        <v>1.6</v>
      </c>
      <c r="H205" s="55"/>
      <c r="I205" s="6"/>
      <c r="J205" s="6"/>
      <c r="K205" s="6">
        <f>K204</f>
        <v>4</v>
      </c>
      <c r="L205" s="6"/>
      <c r="M205" s="2" t="s">
        <v>749</v>
      </c>
      <c r="N205" s="51">
        <f>N204-4</f>
        <v>19</v>
      </c>
      <c r="O205" s="2"/>
      <c r="P205" s="52">
        <v>1001</v>
      </c>
      <c r="Q205" s="52">
        <v>0.4</v>
      </c>
      <c r="R205" s="52"/>
      <c r="S205" s="2"/>
      <c r="T205" s="2"/>
      <c r="U205" s="2"/>
      <c r="V205" s="6"/>
      <c r="W205" s="2"/>
      <c r="X205" s="2" t="s">
        <v>750</v>
      </c>
      <c r="Y205" s="2"/>
      <c r="Z205" s="155" t="s">
        <v>1006</v>
      </c>
      <c r="AA205" s="158"/>
      <c r="AB205" s="158"/>
      <c r="AC205" s="158"/>
      <c r="AD205" s="154"/>
      <c r="AE205" s="57"/>
      <c r="AF205" s="57"/>
      <c r="AG205" s="57"/>
      <c r="AH205" s="47"/>
      <c r="AI205" s="57"/>
    </row>
    <row r="206" spans="1:35" ht="15.75" customHeight="1">
      <c r="A206" s="6">
        <f t="shared" si="5"/>
        <v>313009</v>
      </c>
      <c r="B206" s="4" t="s">
        <v>1007</v>
      </c>
      <c r="C206" s="6">
        <v>1</v>
      </c>
      <c r="D206" s="6">
        <v>1</v>
      </c>
      <c r="E206" s="6"/>
      <c r="F206" s="6">
        <v>4</v>
      </c>
      <c r="G206" s="55">
        <v>1.6</v>
      </c>
      <c r="H206" s="55"/>
      <c r="I206" s="6"/>
      <c r="J206" s="6"/>
      <c r="K206" s="6">
        <f>K204-1</f>
        <v>3</v>
      </c>
      <c r="L206" s="6"/>
      <c r="M206" s="2" t="s">
        <v>749</v>
      </c>
      <c r="N206" s="51">
        <f>N205-4</f>
        <v>15</v>
      </c>
      <c r="O206" s="2"/>
      <c r="P206" s="52">
        <v>1001</v>
      </c>
      <c r="Q206" s="52">
        <v>0.4</v>
      </c>
      <c r="R206" s="52"/>
      <c r="S206" s="2"/>
      <c r="T206" s="2"/>
      <c r="U206" s="2"/>
      <c r="V206" s="6"/>
      <c r="W206" s="2"/>
      <c r="X206" s="2" t="s">
        <v>750</v>
      </c>
      <c r="Y206" s="2"/>
      <c r="Z206" s="155" t="s">
        <v>1006</v>
      </c>
      <c r="AA206" s="158"/>
      <c r="AB206" s="158"/>
      <c r="AC206" s="158"/>
      <c r="AD206" s="154"/>
      <c r="AE206" s="57"/>
      <c r="AF206" s="57"/>
      <c r="AG206" s="57"/>
      <c r="AH206" s="47"/>
      <c r="AI206" s="57"/>
    </row>
    <row r="207" spans="1:35" ht="15.75" customHeight="1">
      <c r="A207" s="6">
        <f t="shared" si="5"/>
        <v>314009</v>
      </c>
      <c r="B207" s="4" t="s">
        <v>1008</v>
      </c>
      <c r="C207" s="6">
        <v>1</v>
      </c>
      <c r="D207" s="6">
        <v>1</v>
      </c>
      <c r="E207" s="6"/>
      <c r="F207" s="6">
        <v>4</v>
      </c>
      <c r="G207" s="55">
        <v>1.6</v>
      </c>
      <c r="H207" s="55"/>
      <c r="I207" s="6"/>
      <c r="J207" s="6"/>
      <c r="K207" s="6">
        <f>K206-1</f>
        <v>2</v>
      </c>
      <c r="L207" s="6"/>
      <c r="M207" s="2" t="s">
        <v>749</v>
      </c>
      <c r="N207" s="51">
        <f>N206-4</f>
        <v>11</v>
      </c>
      <c r="O207" s="2"/>
      <c r="P207" s="52">
        <v>1001</v>
      </c>
      <c r="Q207" s="52">
        <v>0.4</v>
      </c>
      <c r="R207" s="52"/>
      <c r="S207" s="2"/>
      <c r="T207" s="2"/>
      <c r="U207" s="2"/>
      <c r="V207" s="6"/>
      <c r="W207" s="2"/>
      <c r="X207" s="2" t="s">
        <v>750</v>
      </c>
      <c r="Y207" s="2"/>
      <c r="Z207" s="155" t="s">
        <v>1006</v>
      </c>
      <c r="AA207" s="158"/>
      <c r="AB207" s="158"/>
      <c r="AC207" s="158"/>
      <c r="AD207" s="154"/>
      <c r="AE207" s="57"/>
      <c r="AF207" s="57"/>
      <c r="AG207" s="57"/>
      <c r="AH207" s="47"/>
      <c r="AI207" s="57"/>
    </row>
    <row r="208" spans="1:35" ht="15.75" customHeight="1">
      <c r="A208" s="6">
        <f t="shared" si="5"/>
        <v>315009</v>
      </c>
      <c r="B208" s="4" t="s">
        <v>1009</v>
      </c>
      <c r="C208" s="6">
        <v>1</v>
      </c>
      <c r="D208" s="6">
        <v>1</v>
      </c>
      <c r="E208" s="6"/>
      <c r="F208" s="6">
        <v>6</v>
      </c>
      <c r="G208" s="55">
        <v>1.6</v>
      </c>
      <c r="H208" s="55"/>
      <c r="I208" s="6"/>
      <c r="J208" s="6"/>
      <c r="K208" s="6">
        <f>K207</f>
        <v>2</v>
      </c>
      <c r="L208" s="6"/>
      <c r="M208" s="2" t="s">
        <v>749</v>
      </c>
      <c r="N208" s="51">
        <f>N207-4</f>
        <v>7</v>
      </c>
      <c r="O208" s="2"/>
      <c r="P208" s="52">
        <v>1001</v>
      </c>
      <c r="Q208" s="52">
        <v>0.4</v>
      </c>
      <c r="R208" s="52"/>
      <c r="S208" s="2"/>
      <c r="T208" s="2"/>
      <c r="U208" s="2"/>
      <c r="V208" s="6"/>
      <c r="W208" s="2"/>
      <c r="X208" s="2" t="s">
        <v>750</v>
      </c>
      <c r="Y208" s="2"/>
      <c r="Z208" s="155" t="s">
        <v>1010</v>
      </c>
      <c r="AA208" s="158"/>
      <c r="AB208" s="158"/>
      <c r="AC208" s="158"/>
      <c r="AD208" s="154"/>
      <c r="AE208" s="57"/>
      <c r="AF208" s="57"/>
      <c r="AG208" s="57"/>
      <c r="AH208" s="47"/>
      <c r="AI208" s="57"/>
    </row>
    <row r="209" spans="1:35" ht="15.75" customHeight="1">
      <c r="A209" s="6">
        <f t="shared" si="5"/>
        <v>311010</v>
      </c>
      <c r="B209" s="4" t="s">
        <v>1011</v>
      </c>
      <c r="C209" s="6">
        <v>1</v>
      </c>
      <c r="D209" s="6">
        <v>1</v>
      </c>
      <c r="E209" s="6"/>
      <c r="F209" s="6">
        <v>1</v>
      </c>
      <c r="G209" s="55">
        <v>5</v>
      </c>
      <c r="H209" s="55"/>
      <c r="I209" s="6"/>
      <c r="J209" s="6"/>
      <c r="K209" s="6">
        <v>5</v>
      </c>
      <c r="L209" s="6"/>
      <c r="M209" s="2" t="s">
        <v>749</v>
      </c>
      <c r="N209" s="51">
        <v>100</v>
      </c>
      <c r="O209" s="2"/>
      <c r="P209" s="52"/>
      <c r="Q209" s="52"/>
      <c r="R209" s="52">
        <v>5004</v>
      </c>
      <c r="S209" s="2">
        <v>0.4</v>
      </c>
      <c r="T209" s="2"/>
      <c r="U209" s="2"/>
      <c r="V209" s="6"/>
      <c r="W209" s="53" t="s">
        <v>757</v>
      </c>
      <c r="X209" s="53" t="s">
        <v>758</v>
      </c>
      <c r="Y209" s="2"/>
      <c r="Z209" s="155" t="s">
        <v>794</v>
      </c>
      <c r="AA209" s="158"/>
      <c r="AB209" s="158"/>
      <c r="AC209" s="158"/>
      <c r="AD209" s="154"/>
      <c r="AE209" s="57"/>
    </row>
    <row r="210" spans="1:35" ht="15.75" customHeight="1">
      <c r="A210" s="6">
        <f t="shared" si="5"/>
        <v>312010</v>
      </c>
      <c r="B210" s="4" t="s">
        <v>1012</v>
      </c>
      <c r="C210" s="6">
        <v>1</v>
      </c>
      <c r="D210" s="6">
        <v>1</v>
      </c>
      <c r="E210" s="6"/>
      <c r="F210" s="6">
        <v>1</v>
      </c>
      <c r="G210" s="55">
        <v>5</v>
      </c>
      <c r="H210" s="55"/>
      <c r="I210" s="6"/>
      <c r="J210" s="6"/>
      <c r="K210" s="6">
        <f>K209</f>
        <v>5</v>
      </c>
      <c r="L210" s="6"/>
      <c r="M210" s="2" t="s">
        <v>749</v>
      </c>
      <c r="N210" s="51">
        <f>N209-4</f>
        <v>96</v>
      </c>
      <c r="O210" s="2"/>
      <c r="P210" s="52"/>
      <c r="Q210" s="52"/>
      <c r="R210" s="52" t="str">
        <f>"5002,5004"</f>
        <v>5002,5004</v>
      </c>
      <c r="S210" s="2">
        <v>0.4</v>
      </c>
      <c r="T210" s="2"/>
      <c r="U210" s="2"/>
      <c r="V210" s="6"/>
      <c r="W210" s="53" t="s">
        <v>757</v>
      </c>
      <c r="X210" s="53" t="s">
        <v>758</v>
      </c>
      <c r="Y210" s="2"/>
      <c r="Z210" s="155" t="s">
        <v>1013</v>
      </c>
      <c r="AA210" s="158"/>
      <c r="AB210" s="158"/>
      <c r="AC210" s="158"/>
      <c r="AD210" s="154"/>
      <c r="AE210" s="57"/>
      <c r="AF210" s="57"/>
      <c r="AG210" s="57"/>
      <c r="AH210" s="47"/>
      <c r="AI210" s="57"/>
    </row>
    <row r="211" spans="1:35" ht="15.75" customHeight="1">
      <c r="A211" s="6">
        <f t="shared" si="5"/>
        <v>313010</v>
      </c>
      <c r="B211" s="4" t="s">
        <v>1014</v>
      </c>
      <c r="C211" s="6">
        <v>1</v>
      </c>
      <c r="D211" s="6">
        <v>1</v>
      </c>
      <c r="E211" s="6"/>
      <c r="F211" s="6">
        <v>1</v>
      </c>
      <c r="G211" s="55">
        <v>5</v>
      </c>
      <c r="H211" s="55"/>
      <c r="I211" s="6"/>
      <c r="J211" s="6"/>
      <c r="K211" s="6">
        <f>K209-1</f>
        <v>4</v>
      </c>
      <c r="L211" s="6"/>
      <c r="M211" s="2" t="s">
        <v>749</v>
      </c>
      <c r="N211" s="51">
        <f>N210-4</f>
        <v>92</v>
      </c>
      <c r="O211" s="2"/>
      <c r="P211" s="52"/>
      <c r="Q211" s="52"/>
      <c r="R211" s="52" t="str">
        <f>"5002,5004"</f>
        <v>5002,5004</v>
      </c>
      <c r="S211" s="2">
        <v>0.4</v>
      </c>
      <c r="T211" s="2"/>
      <c r="U211" s="2"/>
      <c r="V211" s="6"/>
      <c r="W211" s="53" t="s">
        <v>757</v>
      </c>
      <c r="X211" s="53" t="s">
        <v>758</v>
      </c>
      <c r="Y211" s="2"/>
      <c r="Z211" s="155" t="s">
        <v>1013</v>
      </c>
      <c r="AA211" s="158"/>
      <c r="AB211" s="158"/>
      <c r="AC211" s="158"/>
      <c r="AD211" s="154"/>
      <c r="AE211" s="57"/>
      <c r="AF211" s="57"/>
      <c r="AG211" s="57"/>
      <c r="AH211" s="47"/>
      <c r="AI211" s="57"/>
    </row>
    <row r="212" spans="1:35" ht="15.75" customHeight="1">
      <c r="A212" s="6">
        <f t="shared" si="5"/>
        <v>314010</v>
      </c>
      <c r="B212" s="4" t="s">
        <v>1015</v>
      </c>
      <c r="C212" s="6">
        <v>1</v>
      </c>
      <c r="D212" s="6">
        <v>1</v>
      </c>
      <c r="E212" s="6"/>
      <c r="F212" s="6">
        <v>1</v>
      </c>
      <c r="G212" s="55">
        <v>5</v>
      </c>
      <c r="H212" s="55"/>
      <c r="I212" s="6"/>
      <c r="J212" s="6"/>
      <c r="K212" s="6">
        <f>K211-1</f>
        <v>3</v>
      </c>
      <c r="L212" s="6"/>
      <c r="M212" s="2" t="s">
        <v>749</v>
      </c>
      <c r="N212" s="51">
        <f>N211-4</f>
        <v>88</v>
      </c>
      <c r="O212" s="2"/>
      <c r="P212" s="52"/>
      <c r="Q212" s="52"/>
      <c r="R212" s="52" t="str">
        <f>"5002,5004"</f>
        <v>5002,5004</v>
      </c>
      <c r="S212" s="2">
        <v>0.4</v>
      </c>
      <c r="T212" s="2"/>
      <c r="U212" s="2"/>
      <c r="V212" s="6"/>
      <c r="W212" s="53" t="s">
        <v>757</v>
      </c>
      <c r="X212" s="53" t="s">
        <v>758</v>
      </c>
      <c r="Y212" s="2"/>
      <c r="Z212" s="155" t="s">
        <v>1013</v>
      </c>
      <c r="AA212" s="158"/>
      <c r="AB212" s="158"/>
      <c r="AC212" s="158"/>
      <c r="AD212" s="154"/>
      <c r="AF212" s="57"/>
      <c r="AG212" s="57"/>
      <c r="AH212" s="47"/>
      <c r="AI212" s="57"/>
    </row>
    <row r="213" spans="1:35" ht="15.75" customHeight="1">
      <c r="A213" s="6">
        <f t="shared" si="5"/>
        <v>315010</v>
      </c>
      <c r="B213" s="4" t="s">
        <v>1016</v>
      </c>
      <c r="C213" s="6">
        <v>2</v>
      </c>
      <c r="D213" s="6">
        <v>1</v>
      </c>
      <c r="E213" s="6"/>
      <c r="F213" s="6">
        <v>1</v>
      </c>
      <c r="G213" s="55">
        <v>5</v>
      </c>
      <c r="H213" s="55"/>
      <c r="I213" s="6"/>
      <c r="J213" s="6"/>
      <c r="K213" s="6">
        <f>K212</f>
        <v>3</v>
      </c>
      <c r="L213" s="6"/>
      <c r="M213" s="2" t="s">
        <v>749</v>
      </c>
      <c r="N213" s="51">
        <f>N212-4</f>
        <v>84</v>
      </c>
      <c r="O213" s="2"/>
      <c r="P213" s="52"/>
      <c r="Q213" s="52"/>
      <c r="R213" s="52" t="str">
        <f>"5002,5004,5001"</f>
        <v>5002,5004,5001</v>
      </c>
      <c r="S213" s="2">
        <v>0.4</v>
      </c>
      <c r="T213" s="2"/>
      <c r="U213" s="2"/>
      <c r="V213" s="6"/>
      <c r="W213" s="53" t="s">
        <v>757</v>
      </c>
      <c r="X213" s="53" t="s">
        <v>758</v>
      </c>
      <c r="Y213" s="2"/>
      <c r="Z213" s="155" t="s">
        <v>1017</v>
      </c>
      <c r="AA213" s="158"/>
      <c r="AB213" s="158"/>
      <c r="AC213" s="158"/>
      <c r="AD213" s="154"/>
      <c r="AF213" s="57"/>
      <c r="AG213" s="57"/>
      <c r="AH213" s="47"/>
      <c r="AI213" s="57"/>
    </row>
    <row r="214" spans="1:35" ht="15.75" customHeight="1">
      <c r="A214" s="6">
        <f t="shared" si="5"/>
        <v>311011</v>
      </c>
      <c r="B214" s="4" t="s">
        <v>1018</v>
      </c>
      <c r="C214" s="6">
        <v>1</v>
      </c>
      <c r="D214" s="6"/>
      <c r="E214" s="6"/>
      <c r="F214" s="6">
        <v>1</v>
      </c>
      <c r="G214" s="55">
        <v>4.8</v>
      </c>
      <c r="H214" s="55"/>
      <c r="I214" s="6"/>
      <c r="J214" s="6"/>
      <c r="K214" s="6">
        <v>6</v>
      </c>
      <c r="L214" s="6"/>
      <c r="M214" s="2" t="s">
        <v>749</v>
      </c>
      <c r="N214" s="51">
        <v>44</v>
      </c>
      <c r="O214" s="2"/>
      <c r="P214" s="52"/>
      <c r="Q214" s="52"/>
      <c r="R214" s="52">
        <v>5002</v>
      </c>
      <c r="S214" s="2">
        <v>0.4</v>
      </c>
      <c r="T214" s="2"/>
      <c r="U214" s="2"/>
      <c r="V214" s="6"/>
      <c r="W214" s="2"/>
      <c r="X214" s="2" t="s">
        <v>773</v>
      </c>
      <c r="Y214" s="2"/>
      <c r="Z214" s="155" t="s">
        <v>795</v>
      </c>
      <c r="AA214" s="158"/>
      <c r="AB214" s="158"/>
      <c r="AC214" s="158"/>
      <c r="AD214" s="154"/>
    </row>
    <row r="215" spans="1:35" ht="15.75" customHeight="1">
      <c r="A215" s="6">
        <f t="shared" si="5"/>
        <v>312011</v>
      </c>
      <c r="B215" s="4" t="s">
        <v>1019</v>
      </c>
      <c r="C215" s="6">
        <v>1</v>
      </c>
      <c r="D215" s="6"/>
      <c r="E215" s="6"/>
      <c r="F215" s="6">
        <v>1</v>
      </c>
      <c r="G215" s="55">
        <v>4.8</v>
      </c>
      <c r="H215" s="55"/>
      <c r="I215" s="6"/>
      <c r="J215" s="6"/>
      <c r="K215" s="6">
        <f>K214</f>
        <v>6</v>
      </c>
      <c r="L215" s="6"/>
      <c r="M215" s="2" t="s">
        <v>749</v>
      </c>
      <c r="N215" s="51">
        <f>N214-4</f>
        <v>40</v>
      </c>
      <c r="O215" s="2"/>
      <c r="P215" s="52" t="str">
        <f>"3001,3002"</f>
        <v>3001,3002</v>
      </c>
      <c r="Q215" s="52"/>
      <c r="R215" s="52">
        <v>5002</v>
      </c>
      <c r="S215" s="2">
        <v>0.4</v>
      </c>
      <c r="T215" s="2"/>
      <c r="U215" s="2"/>
      <c r="V215" s="6"/>
      <c r="W215" s="2"/>
      <c r="X215" s="2" t="s">
        <v>773</v>
      </c>
      <c r="Y215" s="2"/>
      <c r="Z215" s="155" t="s">
        <v>1020</v>
      </c>
      <c r="AA215" s="158"/>
      <c r="AB215" s="158"/>
      <c r="AC215" s="158"/>
      <c r="AD215" s="154"/>
      <c r="AF215" s="57"/>
      <c r="AG215" s="57"/>
      <c r="AH215" s="47"/>
      <c r="AI215" s="57"/>
    </row>
    <row r="216" spans="1:35" ht="15.75" customHeight="1">
      <c r="A216" s="6">
        <f t="shared" si="5"/>
        <v>313011</v>
      </c>
      <c r="B216" s="4" t="s">
        <v>1021</v>
      </c>
      <c r="C216" s="6">
        <v>1</v>
      </c>
      <c r="D216" s="6"/>
      <c r="E216" s="6"/>
      <c r="F216" s="6">
        <v>1</v>
      </c>
      <c r="G216" s="55">
        <v>4.8</v>
      </c>
      <c r="H216" s="55"/>
      <c r="I216" s="6"/>
      <c r="J216" s="6"/>
      <c r="K216" s="6">
        <f>K214-1</f>
        <v>5</v>
      </c>
      <c r="L216" s="6"/>
      <c r="M216" s="2" t="s">
        <v>749</v>
      </c>
      <c r="N216" s="51">
        <f>N215-4</f>
        <v>36</v>
      </c>
      <c r="O216" s="2"/>
      <c r="P216" s="52" t="str">
        <f>"3001,3002"</f>
        <v>3001,3002</v>
      </c>
      <c r="Q216" s="52"/>
      <c r="R216" s="52">
        <v>5002</v>
      </c>
      <c r="S216" s="2">
        <v>0.4</v>
      </c>
      <c r="T216" s="2"/>
      <c r="U216" s="2"/>
      <c r="V216" s="6"/>
      <c r="W216" s="2"/>
      <c r="X216" s="2" t="s">
        <v>773</v>
      </c>
      <c r="Y216" s="2"/>
      <c r="Z216" s="155" t="s">
        <v>1020</v>
      </c>
      <c r="AA216" s="158"/>
      <c r="AB216" s="158"/>
      <c r="AC216" s="158"/>
      <c r="AD216" s="154"/>
      <c r="AF216" s="57"/>
      <c r="AG216" s="57"/>
      <c r="AH216" s="47"/>
      <c r="AI216" s="57"/>
    </row>
    <row r="217" spans="1:35" ht="15.75" customHeight="1">
      <c r="A217" s="6">
        <f t="shared" si="5"/>
        <v>314011</v>
      </c>
      <c r="B217" s="4" t="s">
        <v>1022</v>
      </c>
      <c r="C217" s="6">
        <v>1</v>
      </c>
      <c r="D217" s="6"/>
      <c r="E217" s="6"/>
      <c r="F217" s="6">
        <v>1</v>
      </c>
      <c r="G217" s="55">
        <v>4.8</v>
      </c>
      <c r="H217" s="55"/>
      <c r="I217" s="6"/>
      <c r="J217" s="6"/>
      <c r="K217" s="6">
        <f>K216-1</f>
        <v>4</v>
      </c>
      <c r="L217" s="6"/>
      <c r="M217" s="2" t="s">
        <v>749</v>
      </c>
      <c r="N217" s="51">
        <f>N216-4</f>
        <v>32</v>
      </c>
      <c r="O217" s="2"/>
      <c r="P217" s="52" t="str">
        <f>"3001,3002"</f>
        <v>3001,3002</v>
      </c>
      <c r="Q217" s="52"/>
      <c r="R217" s="52">
        <v>5002</v>
      </c>
      <c r="S217" s="2">
        <v>0.4</v>
      </c>
      <c r="T217" s="2"/>
      <c r="U217" s="2"/>
      <c r="V217" s="6"/>
      <c r="W217" s="2"/>
      <c r="X217" s="2" t="s">
        <v>773</v>
      </c>
      <c r="Y217" s="2"/>
      <c r="Z217" s="155" t="s">
        <v>1020</v>
      </c>
      <c r="AA217" s="158"/>
      <c r="AB217" s="158"/>
      <c r="AC217" s="158"/>
      <c r="AD217" s="154"/>
      <c r="AF217" s="57"/>
      <c r="AG217" s="57"/>
      <c r="AH217" s="47"/>
      <c r="AI217" s="57"/>
    </row>
    <row r="218" spans="1:35" ht="15.75" customHeight="1">
      <c r="A218" s="6">
        <f t="shared" si="5"/>
        <v>315011</v>
      </c>
      <c r="B218" s="4" t="s">
        <v>1023</v>
      </c>
      <c r="C218" s="6">
        <v>1</v>
      </c>
      <c r="D218" s="6"/>
      <c r="E218" s="6"/>
      <c r="F218" s="6">
        <v>1</v>
      </c>
      <c r="G218" s="55">
        <v>4.8</v>
      </c>
      <c r="H218" s="55"/>
      <c r="I218" s="6"/>
      <c r="J218" s="6"/>
      <c r="K218" s="6">
        <f>K217</f>
        <v>4</v>
      </c>
      <c r="L218" s="6"/>
      <c r="M218" s="2" t="s">
        <v>749</v>
      </c>
      <c r="N218" s="51">
        <f>N217-4</f>
        <v>28</v>
      </c>
      <c r="O218" s="2"/>
      <c r="P218" s="52" t="str">
        <f>"3001,3002"</f>
        <v>3001,3002</v>
      </c>
      <c r="Q218" s="52"/>
      <c r="R218" s="52">
        <v>5002</v>
      </c>
      <c r="S218" s="2"/>
      <c r="T218" s="2"/>
      <c r="U218" s="2"/>
      <c r="V218" s="6"/>
      <c r="W218" s="2"/>
      <c r="X218" s="2" t="s">
        <v>773</v>
      </c>
      <c r="Y218" s="2"/>
      <c r="Z218" s="155" t="s">
        <v>1024</v>
      </c>
      <c r="AA218" s="158"/>
      <c r="AB218" s="158"/>
      <c r="AC218" s="158"/>
      <c r="AD218" s="154"/>
      <c r="AE218" s="57"/>
      <c r="AF218" s="57"/>
      <c r="AG218" s="57"/>
      <c r="AH218" s="47"/>
      <c r="AI218" s="57"/>
    </row>
    <row r="219" spans="1:35" ht="15.75" customHeight="1">
      <c r="A219" s="6">
        <f t="shared" si="5"/>
        <v>311012</v>
      </c>
      <c r="B219" s="4" t="s">
        <v>1025</v>
      </c>
      <c r="C219" s="6">
        <v>-1</v>
      </c>
      <c r="D219" s="6"/>
      <c r="E219" s="6"/>
      <c r="F219" s="6">
        <v>1</v>
      </c>
      <c r="G219" s="55"/>
      <c r="H219" s="55">
        <v>4.8</v>
      </c>
      <c r="I219" s="6"/>
      <c r="J219" s="6"/>
      <c r="K219" s="6">
        <v>7</v>
      </c>
      <c r="L219" s="6"/>
      <c r="M219" s="2" t="s">
        <v>766</v>
      </c>
      <c r="N219" s="51">
        <v>48</v>
      </c>
      <c r="O219" s="2">
        <v>150</v>
      </c>
      <c r="P219" s="52"/>
      <c r="Q219" s="52"/>
      <c r="R219" s="52">
        <v>3017</v>
      </c>
      <c r="S219" s="2"/>
      <c r="T219" s="2"/>
      <c r="U219" s="2"/>
      <c r="V219" s="6"/>
      <c r="W219" s="2"/>
      <c r="X219" s="2" t="s">
        <v>766</v>
      </c>
      <c r="Y219" s="2"/>
      <c r="Z219" s="155" t="s">
        <v>796</v>
      </c>
      <c r="AA219" s="158"/>
      <c r="AB219" s="158"/>
      <c r="AC219" s="158"/>
      <c r="AD219" s="154"/>
      <c r="AE219" s="57"/>
    </row>
    <row r="220" spans="1:35" ht="15.75" customHeight="1">
      <c r="A220" s="6">
        <f t="shared" si="5"/>
        <v>312012</v>
      </c>
      <c r="B220" s="4" t="s">
        <v>1026</v>
      </c>
      <c r="C220" s="6">
        <v>-1</v>
      </c>
      <c r="D220" s="6"/>
      <c r="E220" s="6"/>
      <c r="F220" s="6">
        <v>1</v>
      </c>
      <c r="G220" s="55"/>
      <c r="H220" s="55">
        <v>4.8</v>
      </c>
      <c r="I220" s="6"/>
      <c r="J220" s="6"/>
      <c r="K220" s="6">
        <f>K219</f>
        <v>7</v>
      </c>
      <c r="L220" s="6"/>
      <c r="M220" s="2" t="s">
        <v>766</v>
      </c>
      <c r="N220" s="51">
        <f>N219-4</f>
        <v>44</v>
      </c>
      <c r="O220" s="2">
        <v>150</v>
      </c>
      <c r="P220" s="52"/>
      <c r="Q220" s="52"/>
      <c r="R220" s="52">
        <v>3017</v>
      </c>
      <c r="S220" s="2"/>
      <c r="T220" s="2"/>
      <c r="U220" s="2"/>
      <c r="V220" s="6"/>
      <c r="W220" s="2"/>
      <c r="X220" s="2" t="s">
        <v>766</v>
      </c>
      <c r="Y220" s="2"/>
      <c r="Z220" s="155" t="s">
        <v>1027</v>
      </c>
      <c r="AA220" s="158"/>
      <c r="AB220" s="158"/>
      <c r="AC220" s="158"/>
      <c r="AD220" s="154"/>
      <c r="AE220" s="57"/>
      <c r="AF220" s="57"/>
      <c r="AG220" s="57"/>
      <c r="AH220" s="47"/>
      <c r="AI220" s="47"/>
    </row>
    <row r="221" spans="1:35" ht="15.75" customHeight="1">
      <c r="A221" s="6">
        <f t="shared" si="5"/>
        <v>313012</v>
      </c>
      <c r="B221" s="4" t="s">
        <v>1028</v>
      </c>
      <c r="C221" s="6">
        <v>-1</v>
      </c>
      <c r="D221" s="6"/>
      <c r="E221" s="6"/>
      <c r="F221" s="6">
        <v>1</v>
      </c>
      <c r="G221" s="55"/>
      <c r="H221" s="55">
        <v>4.8</v>
      </c>
      <c r="I221" s="6"/>
      <c r="J221" s="6"/>
      <c r="K221" s="6">
        <f>K219-1</f>
        <v>6</v>
      </c>
      <c r="L221" s="6"/>
      <c r="M221" s="2" t="s">
        <v>766</v>
      </c>
      <c r="N221" s="51">
        <f>N220-4</f>
        <v>40</v>
      </c>
      <c r="O221" s="2">
        <v>150</v>
      </c>
      <c r="P221" s="52"/>
      <c r="Q221" s="52"/>
      <c r="R221" s="52">
        <v>3017</v>
      </c>
      <c r="S221" s="2"/>
      <c r="T221" s="2"/>
      <c r="U221" s="2"/>
      <c r="V221" s="6"/>
      <c r="W221" s="2"/>
      <c r="X221" s="2" t="s">
        <v>766</v>
      </c>
      <c r="Y221" s="2"/>
      <c r="Z221" s="155" t="s">
        <v>1027</v>
      </c>
      <c r="AA221" s="158"/>
      <c r="AB221" s="158"/>
      <c r="AC221" s="158"/>
      <c r="AD221" s="154"/>
      <c r="AE221" s="57"/>
      <c r="AF221" s="57"/>
      <c r="AG221" s="57"/>
      <c r="AH221" s="47"/>
      <c r="AI221" s="47"/>
    </row>
    <row r="222" spans="1:35" ht="15.75" customHeight="1">
      <c r="A222" s="6">
        <f t="shared" si="5"/>
        <v>314012</v>
      </c>
      <c r="B222" s="4" t="s">
        <v>1029</v>
      </c>
      <c r="C222" s="6">
        <v>-1</v>
      </c>
      <c r="D222" s="6"/>
      <c r="E222" s="6"/>
      <c r="F222" s="6">
        <v>1</v>
      </c>
      <c r="G222" s="55"/>
      <c r="H222" s="55">
        <v>4.8</v>
      </c>
      <c r="I222" s="6"/>
      <c r="J222" s="6"/>
      <c r="K222" s="6">
        <f>K221-1</f>
        <v>5</v>
      </c>
      <c r="L222" s="6"/>
      <c r="M222" s="2" t="s">
        <v>766</v>
      </c>
      <c r="N222" s="51">
        <f>N221-4</f>
        <v>36</v>
      </c>
      <c r="O222" s="2">
        <v>150</v>
      </c>
      <c r="P222" s="52"/>
      <c r="Q222" s="52"/>
      <c r="R222" s="52">
        <v>3017</v>
      </c>
      <c r="S222" s="2"/>
      <c r="T222" s="2"/>
      <c r="U222" s="2"/>
      <c r="V222" s="6"/>
      <c r="W222" s="2"/>
      <c r="X222" s="2" t="s">
        <v>766</v>
      </c>
      <c r="Y222" s="2"/>
      <c r="Z222" s="155" t="s">
        <v>1027</v>
      </c>
      <c r="AA222" s="158"/>
      <c r="AB222" s="158"/>
      <c r="AC222" s="158"/>
      <c r="AD222" s="154"/>
      <c r="AE222" s="57"/>
      <c r="AF222" s="57"/>
      <c r="AG222" s="57"/>
      <c r="AH222" s="47"/>
      <c r="AI222" s="47"/>
    </row>
    <row r="223" spans="1:35" ht="15.75" customHeight="1">
      <c r="A223" s="6">
        <f t="shared" si="5"/>
        <v>315012</v>
      </c>
      <c r="B223" s="4" t="s">
        <v>1030</v>
      </c>
      <c r="C223" s="6">
        <v>-2</v>
      </c>
      <c r="D223" s="6"/>
      <c r="E223" s="6"/>
      <c r="F223" s="6">
        <v>1</v>
      </c>
      <c r="G223" s="55"/>
      <c r="H223" s="55">
        <v>4.8</v>
      </c>
      <c r="I223" s="6"/>
      <c r="J223" s="6">
        <v>0.3</v>
      </c>
      <c r="K223" s="6">
        <f>K222</f>
        <v>5</v>
      </c>
      <c r="L223" s="6"/>
      <c r="M223" s="2" t="s">
        <v>766</v>
      </c>
      <c r="N223" s="51">
        <f>N222-4</f>
        <v>32</v>
      </c>
      <c r="O223" s="2">
        <v>150</v>
      </c>
      <c r="P223" s="52"/>
      <c r="Q223" s="52"/>
      <c r="R223" s="52">
        <v>3017</v>
      </c>
      <c r="S223" s="2"/>
      <c r="T223" s="2"/>
      <c r="U223" s="2"/>
      <c r="V223" s="6"/>
      <c r="W223" s="2"/>
      <c r="X223" s="2" t="s">
        <v>766</v>
      </c>
      <c r="Y223" s="2"/>
      <c r="Z223" s="155" t="s">
        <v>1031</v>
      </c>
      <c r="AA223" s="158"/>
      <c r="AB223" s="158"/>
      <c r="AC223" s="158"/>
      <c r="AD223" s="154"/>
      <c r="AE223" s="57"/>
      <c r="AF223" s="57"/>
      <c r="AG223" s="57"/>
      <c r="AH223" s="47"/>
      <c r="AI223" s="47"/>
    </row>
    <row r="224" spans="1:35" ht="15.75" customHeight="1">
      <c r="A224" s="6"/>
      <c r="B224" s="2"/>
      <c r="C224" s="6"/>
      <c r="D224" s="6"/>
      <c r="E224" s="6"/>
      <c r="F224" s="6"/>
      <c r="G224" s="55"/>
      <c r="H224" s="55"/>
      <c r="I224" s="6"/>
      <c r="J224" s="6"/>
      <c r="K224" s="6"/>
      <c r="L224" s="6"/>
      <c r="M224" s="2"/>
      <c r="N224" s="51"/>
      <c r="O224" s="2"/>
      <c r="P224" s="52"/>
      <c r="Q224" s="52"/>
      <c r="R224" s="52"/>
      <c r="S224" s="2"/>
      <c r="T224" s="2"/>
      <c r="U224" s="2"/>
      <c r="V224" s="6"/>
      <c r="W224" s="2"/>
      <c r="X224" s="2"/>
      <c r="Y224" s="2"/>
      <c r="Z224" s="160"/>
      <c r="AA224" s="158"/>
      <c r="AB224" s="158"/>
      <c r="AC224" s="158"/>
      <c r="AD224" s="154"/>
      <c r="AE224" s="57"/>
      <c r="AF224" s="57"/>
      <c r="AG224" s="57"/>
      <c r="AH224" s="47"/>
      <c r="AI224" s="47"/>
    </row>
    <row r="225" spans="1:35" ht="15.75" customHeight="1">
      <c r="A225" s="6"/>
      <c r="B225" s="2"/>
      <c r="C225" s="6"/>
      <c r="D225" s="6"/>
      <c r="E225" s="6"/>
      <c r="F225" s="6"/>
      <c r="G225" s="55"/>
      <c r="H225" s="55"/>
      <c r="I225" s="6"/>
      <c r="J225" s="6"/>
      <c r="K225" s="6"/>
      <c r="L225" s="6"/>
      <c r="M225" s="2"/>
      <c r="N225" s="51"/>
      <c r="O225" s="2"/>
      <c r="P225" s="52"/>
      <c r="Q225" s="52"/>
      <c r="R225" s="52"/>
      <c r="S225" s="2"/>
      <c r="T225" s="2"/>
      <c r="U225" s="2"/>
      <c r="V225" s="6"/>
      <c r="W225" s="2"/>
      <c r="X225" s="2"/>
      <c r="Y225" s="2"/>
      <c r="Z225" s="160"/>
      <c r="AA225" s="158"/>
      <c r="AB225" s="158"/>
      <c r="AC225" s="158"/>
      <c r="AD225" s="154"/>
      <c r="AE225" s="57"/>
      <c r="AF225" s="57"/>
      <c r="AG225" s="57"/>
      <c r="AH225" s="47"/>
      <c r="AI225" s="47"/>
    </row>
    <row r="226" spans="1:35" ht="15.75" customHeight="1">
      <c r="A226" s="6"/>
      <c r="B226" s="2"/>
      <c r="C226" s="6"/>
      <c r="D226" s="6"/>
      <c r="E226" s="6"/>
      <c r="F226" s="6"/>
      <c r="G226" s="55"/>
      <c r="H226" s="55"/>
      <c r="I226" s="6"/>
      <c r="J226" s="6"/>
      <c r="K226" s="6"/>
      <c r="L226" s="6"/>
      <c r="M226" s="2"/>
      <c r="N226" s="51"/>
      <c r="O226" s="2"/>
      <c r="P226" s="52"/>
      <c r="Q226" s="52"/>
      <c r="R226" s="52"/>
      <c r="S226" s="2"/>
      <c r="T226" s="2"/>
      <c r="U226" s="2"/>
      <c r="V226" s="6"/>
      <c r="W226" s="2"/>
      <c r="X226" s="2"/>
      <c r="Y226" s="2"/>
      <c r="Z226" s="160"/>
      <c r="AA226" s="158"/>
      <c r="AB226" s="158"/>
      <c r="AC226" s="158"/>
      <c r="AD226" s="154"/>
      <c r="AE226" s="57"/>
      <c r="AF226" s="57"/>
      <c r="AG226" s="57"/>
      <c r="AH226" s="47"/>
      <c r="AI226" s="47"/>
    </row>
    <row r="227" spans="1:35" ht="15.75" customHeight="1">
      <c r="A227" s="6"/>
      <c r="B227" s="2"/>
      <c r="C227" s="6"/>
      <c r="D227" s="6"/>
      <c r="E227" s="6"/>
      <c r="F227" s="6"/>
      <c r="G227" s="55"/>
      <c r="H227" s="55"/>
      <c r="I227" s="6"/>
      <c r="J227" s="6"/>
      <c r="K227" s="6"/>
      <c r="L227" s="6"/>
      <c r="M227" s="2"/>
      <c r="N227" s="51"/>
      <c r="O227" s="2"/>
      <c r="P227" s="52"/>
      <c r="Q227" s="52"/>
      <c r="R227" s="52"/>
      <c r="S227" s="2"/>
      <c r="T227" s="2"/>
      <c r="U227" s="2"/>
      <c r="V227" s="6"/>
      <c r="W227" s="2"/>
      <c r="X227" s="2"/>
      <c r="Y227" s="2"/>
      <c r="Z227" s="160"/>
      <c r="AA227" s="158"/>
      <c r="AB227" s="158"/>
      <c r="AC227" s="158"/>
      <c r="AD227" s="154"/>
      <c r="AE227" s="57"/>
      <c r="AF227" s="57"/>
      <c r="AG227" s="57"/>
      <c r="AH227" s="47"/>
      <c r="AI227" s="47"/>
    </row>
    <row r="228" spans="1:35" ht="15.75" customHeight="1">
      <c r="A228" s="6"/>
      <c r="B228" s="2"/>
      <c r="C228" s="6"/>
      <c r="D228" s="6"/>
      <c r="E228" s="6"/>
      <c r="F228" s="6"/>
      <c r="G228" s="55"/>
      <c r="H228" s="55"/>
      <c r="I228" s="6"/>
      <c r="J228" s="6"/>
      <c r="K228" s="6"/>
      <c r="L228" s="6"/>
      <c r="M228" s="2"/>
      <c r="N228" s="51"/>
      <c r="O228" s="2"/>
      <c r="P228" s="52"/>
      <c r="Q228" s="52"/>
      <c r="R228" s="52"/>
      <c r="S228" s="2"/>
      <c r="T228" s="2"/>
      <c r="U228" s="2"/>
      <c r="V228" s="6"/>
      <c r="W228" s="2"/>
      <c r="X228" s="2"/>
      <c r="Y228" s="2"/>
      <c r="Z228" s="160"/>
      <c r="AA228" s="158"/>
      <c r="AB228" s="158"/>
      <c r="AC228" s="158"/>
      <c r="AD228" s="154"/>
      <c r="AE228" s="57"/>
      <c r="AF228" s="57"/>
      <c r="AG228" s="57"/>
      <c r="AH228" s="47"/>
      <c r="AI228" s="47"/>
    </row>
    <row r="229" spans="1:35" ht="14.25" customHeight="1">
      <c r="C229" s="45"/>
      <c r="D229" s="45"/>
      <c r="E229" s="45"/>
      <c r="F229" s="45"/>
      <c r="G229" s="45"/>
      <c r="H229" s="45"/>
      <c r="I229" s="45"/>
      <c r="J229" s="45"/>
      <c r="K229" s="45"/>
      <c r="L229" s="45"/>
      <c r="N229" s="46"/>
      <c r="P229" s="47"/>
      <c r="Q229" s="47"/>
      <c r="R229" s="47"/>
      <c r="V229" s="45"/>
      <c r="AE229" s="57"/>
    </row>
    <row r="230" spans="1:35" ht="14.25" customHeight="1">
      <c r="A230" s="23" t="s">
        <v>722</v>
      </c>
      <c r="B230" s="5" t="s">
        <v>723</v>
      </c>
      <c r="C230" s="48" t="s">
        <v>724</v>
      </c>
      <c r="D230" s="48" t="s">
        <v>725</v>
      </c>
      <c r="E230" s="48" t="s">
        <v>726</v>
      </c>
      <c r="F230" s="48" t="s">
        <v>727</v>
      </c>
      <c r="G230" s="40" t="s">
        <v>728</v>
      </c>
      <c r="H230" s="40" t="s">
        <v>729</v>
      </c>
      <c r="I230" s="40" t="s">
        <v>691</v>
      </c>
      <c r="J230" s="40" t="s">
        <v>730</v>
      </c>
      <c r="K230" s="40" t="s">
        <v>731</v>
      </c>
      <c r="L230" s="40" t="s">
        <v>732</v>
      </c>
      <c r="M230" s="23" t="s">
        <v>733</v>
      </c>
      <c r="N230" s="49" t="s">
        <v>734</v>
      </c>
      <c r="O230" s="23" t="s">
        <v>735</v>
      </c>
      <c r="P230" s="50" t="s">
        <v>736</v>
      </c>
      <c r="Q230" s="50" t="s">
        <v>838</v>
      </c>
      <c r="R230" s="50" t="s">
        <v>738</v>
      </c>
      <c r="S230" s="50" t="s">
        <v>739</v>
      </c>
      <c r="T230" s="23" t="s">
        <v>740</v>
      </c>
      <c r="U230" s="50" t="s">
        <v>741</v>
      </c>
      <c r="V230" s="6" t="s">
        <v>742</v>
      </c>
      <c r="W230" s="23" t="s">
        <v>743</v>
      </c>
      <c r="X230" s="23" t="s">
        <v>744</v>
      </c>
      <c r="Y230" s="23" t="s">
        <v>745</v>
      </c>
      <c r="Z230" s="153" t="s">
        <v>746</v>
      </c>
      <c r="AA230" s="158"/>
      <c r="AB230" s="158"/>
      <c r="AC230" s="158"/>
      <c r="AD230" s="154"/>
      <c r="AE230" s="57"/>
    </row>
    <row r="231" spans="1:35" ht="14.25" customHeight="1">
      <c r="A231" s="6">
        <v>400001</v>
      </c>
      <c r="B231" s="4" t="s">
        <v>1032</v>
      </c>
      <c r="C231" s="6">
        <v>2</v>
      </c>
      <c r="D231" s="6"/>
      <c r="E231" s="6"/>
      <c r="F231" s="6">
        <v>1</v>
      </c>
      <c r="G231" s="2">
        <v>2</v>
      </c>
      <c r="H231" s="2"/>
      <c r="I231" s="6"/>
      <c r="J231" s="6"/>
      <c r="K231" s="6"/>
      <c r="L231" s="6"/>
      <c r="M231" s="2" t="s">
        <v>749</v>
      </c>
      <c r="N231" s="51">
        <v>30</v>
      </c>
      <c r="O231" s="2"/>
      <c r="P231" s="52"/>
      <c r="Q231" s="52"/>
      <c r="R231" s="52"/>
      <c r="S231" s="2"/>
      <c r="T231" s="2"/>
      <c r="U231" s="2"/>
      <c r="V231" s="2"/>
      <c r="W231" s="2"/>
      <c r="X231" s="2" t="s">
        <v>777</v>
      </c>
      <c r="Y231" s="2"/>
      <c r="Z231" s="155" t="s">
        <v>1033</v>
      </c>
      <c r="AA231" s="158"/>
      <c r="AB231" s="158"/>
      <c r="AC231" s="158"/>
      <c r="AD231" s="154"/>
      <c r="AE231" s="57"/>
    </row>
    <row r="232" spans="1:35" ht="14.25" customHeight="1">
      <c r="A232" s="6">
        <v>400002</v>
      </c>
      <c r="B232" s="4" t="s">
        <v>1034</v>
      </c>
      <c r="C232" s="6">
        <v>1</v>
      </c>
      <c r="D232" s="6"/>
      <c r="E232" s="6"/>
      <c r="F232" s="6">
        <v>1</v>
      </c>
      <c r="G232" s="2">
        <v>4</v>
      </c>
      <c r="H232" s="2"/>
      <c r="I232" s="6"/>
      <c r="J232" s="6"/>
      <c r="K232" s="6"/>
      <c r="L232" s="6"/>
      <c r="M232" s="2" t="s">
        <v>749</v>
      </c>
      <c r="N232" s="51">
        <v>18</v>
      </c>
      <c r="O232" s="2"/>
      <c r="P232" s="52"/>
      <c r="Q232" s="2"/>
      <c r="R232" s="52">
        <v>4003</v>
      </c>
      <c r="S232" s="52">
        <v>0.4</v>
      </c>
      <c r="T232" s="2"/>
      <c r="U232" s="2"/>
      <c r="V232" s="2"/>
      <c r="W232" s="2"/>
      <c r="X232" s="2" t="s">
        <v>750</v>
      </c>
      <c r="Y232" s="2"/>
      <c r="Z232" s="155" t="s">
        <v>771</v>
      </c>
      <c r="AA232" s="158"/>
      <c r="AB232" s="158"/>
      <c r="AC232" s="158"/>
      <c r="AD232" s="154"/>
    </row>
    <row r="233" spans="1:35" ht="15.75" customHeight="1">
      <c r="A233" s="6">
        <v>400003</v>
      </c>
      <c r="B233" s="4" t="s">
        <v>1035</v>
      </c>
      <c r="C233" s="6">
        <v>3</v>
      </c>
      <c r="D233" s="6"/>
      <c r="E233" s="6"/>
      <c r="F233" s="6">
        <v>1</v>
      </c>
      <c r="G233" s="2">
        <v>1.8</v>
      </c>
      <c r="H233" s="2"/>
      <c r="I233" s="6"/>
      <c r="J233" s="6"/>
      <c r="K233" s="6"/>
      <c r="L233" s="6"/>
      <c r="M233" s="2" t="s">
        <v>749</v>
      </c>
      <c r="N233" s="51">
        <v>40</v>
      </c>
      <c r="O233" s="2"/>
      <c r="P233" s="52"/>
      <c r="Q233" s="2"/>
      <c r="R233" s="52">
        <v>5002</v>
      </c>
      <c r="S233" s="52">
        <v>0.25</v>
      </c>
      <c r="T233" s="2"/>
      <c r="U233" s="2"/>
      <c r="V233" s="2"/>
      <c r="W233" s="2"/>
      <c r="X233" s="53" t="s">
        <v>758</v>
      </c>
      <c r="Y233" s="2"/>
      <c r="Z233" s="155" t="s">
        <v>1036</v>
      </c>
      <c r="AA233" s="158"/>
      <c r="AB233" s="158"/>
      <c r="AC233" s="158"/>
      <c r="AD233" s="154"/>
    </row>
    <row r="234" spans="1:35" ht="14.25" customHeight="1">
      <c r="A234" s="6">
        <v>400004</v>
      </c>
      <c r="B234" s="4" t="s">
        <v>1037</v>
      </c>
      <c r="C234" s="6">
        <v>1</v>
      </c>
      <c r="D234" s="6"/>
      <c r="E234" s="6"/>
      <c r="F234" s="6">
        <v>1</v>
      </c>
      <c r="G234" s="2">
        <v>4</v>
      </c>
      <c r="H234" s="2"/>
      <c r="I234" s="6"/>
      <c r="J234" s="6"/>
      <c r="K234" s="6"/>
      <c r="L234" s="6"/>
      <c r="M234" s="2" t="s">
        <v>749</v>
      </c>
      <c r="N234" s="51">
        <v>13</v>
      </c>
      <c r="O234" s="2"/>
      <c r="P234" s="52"/>
      <c r="Q234" s="2"/>
      <c r="R234" s="52">
        <v>2002</v>
      </c>
      <c r="S234" s="52">
        <v>0.4</v>
      </c>
      <c r="T234" s="2"/>
      <c r="U234" s="2"/>
      <c r="V234" s="2"/>
      <c r="W234" s="2"/>
      <c r="X234" s="2" t="s">
        <v>773</v>
      </c>
      <c r="Y234" s="2"/>
      <c r="Z234" s="155" t="s">
        <v>1038</v>
      </c>
      <c r="AA234" s="158"/>
      <c r="AB234" s="158"/>
      <c r="AC234" s="158"/>
      <c r="AD234" s="154"/>
    </row>
    <row r="235" spans="1:35" ht="15.75" customHeight="1">
      <c r="A235" s="6">
        <v>400005</v>
      </c>
      <c r="B235" s="4" t="s">
        <v>1039</v>
      </c>
      <c r="C235" s="6">
        <v>3</v>
      </c>
      <c r="D235" s="6"/>
      <c r="E235" s="6"/>
      <c r="F235" s="6">
        <v>1</v>
      </c>
      <c r="G235" s="2"/>
      <c r="H235" s="2">
        <v>1.9</v>
      </c>
      <c r="I235" s="6"/>
      <c r="J235" s="6"/>
      <c r="K235" s="6"/>
      <c r="L235" s="6"/>
      <c r="M235" s="2" t="s">
        <v>756</v>
      </c>
      <c r="N235" s="51">
        <v>42</v>
      </c>
      <c r="O235" s="2"/>
      <c r="P235" s="52"/>
      <c r="Q235" s="2"/>
      <c r="R235" s="52"/>
      <c r="S235" s="52"/>
      <c r="T235" s="2"/>
      <c r="U235" s="2"/>
      <c r="V235" s="2"/>
      <c r="W235" s="53" t="s">
        <v>757</v>
      </c>
      <c r="X235" s="53" t="s">
        <v>758</v>
      </c>
      <c r="Y235" s="2"/>
      <c r="Z235" s="155" t="s">
        <v>1040</v>
      </c>
      <c r="AA235" s="158"/>
      <c r="AB235" s="158"/>
      <c r="AC235" s="158"/>
      <c r="AD235" s="154"/>
    </row>
    <row r="236" spans="1:35" ht="15.75" customHeight="1">
      <c r="A236" s="6">
        <v>400006</v>
      </c>
      <c r="B236" s="4" t="s">
        <v>1041</v>
      </c>
      <c r="C236" s="6">
        <v>3</v>
      </c>
      <c r="D236" s="6"/>
      <c r="E236" s="6"/>
      <c r="F236" s="6">
        <v>1</v>
      </c>
      <c r="G236" s="2">
        <v>1.8</v>
      </c>
      <c r="H236" s="2"/>
      <c r="I236" s="6"/>
      <c r="J236" s="6"/>
      <c r="K236" s="6"/>
      <c r="L236" s="6"/>
      <c r="M236" s="2" t="s">
        <v>749</v>
      </c>
      <c r="N236" s="51">
        <v>43</v>
      </c>
      <c r="O236" s="2"/>
      <c r="P236" s="52"/>
      <c r="Q236" s="2"/>
      <c r="R236" s="52"/>
      <c r="S236" s="52"/>
      <c r="T236" s="2"/>
      <c r="U236" s="2"/>
      <c r="V236" s="2"/>
      <c r="W236" s="2"/>
      <c r="X236" s="53" t="s">
        <v>758</v>
      </c>
      <c r="Y236" s="2"/>
      <c r="Z236" s="155" t="s">
        <v>1042</v>
      </c>
      <c r="AA236" s="158"/>
      <c r="AB236" s="158"/>
      <c r="AC236" s="158"/>
      <c r="AD236" s="154"/>
    </row>
    <row r="237" spans="1:35" ht="15.75" customHeight="1">
      <c r="A237" s="6">
        <v>400007</v>
      </c>
      <c r="B237" s="4" t="s">
        <v>1043</v>
      </c>
      <c r="C237" s="6">
        <v>5</v>
      </c>
      <c r="D237" s="6"/>
      <c r="E237" s="6"/>
      <c r="F237" s="6">
        <v>1</v>
      </c>
      <c r="G237" s="2"/>
      <c r="H237" s="2">
        <v>1</v>
      </c>
      <c r="I237" s="6"/>
      <c r="J237" s="6"/>
      <c r="K237" s="6"/>
      <c r="L237" s="6"/>
      <c r="M237" s="2" t="s">
        <v>756</v>
      </c>
      <c r="N237" s="51">
        <v>55</v>
      </c>
      <c r="O237" s="2"/>
      <c r="P237" s="52"/>
      <c r="Q237" s="2"/>
      <c r="R237" s="52">
        <v>2004</v>
      </c>
      <c r="S237" s="52">
        <v>0.4</v>
      </c>
      <c r="T237" s="2"/>
      <c r="U237" s="2"/>
      <c r="V237" s="2"/>
      <c r="W237" s="53" t="s">
        <v>757</v>
      </c>
      <c r="X237" s="2" t="s">
        <v>769</v>
      </c>
      <c r="Y237" s="2"/>
      <c r="Z237" s="155" t="s">
        <v>1044</v>
      </c>
      <c r="AA237" s="158"/>
      <c r="AB237" s="158"/>
      <c r="AC237" s="158"/>
      <c r="AD237" s="154"/>
    </row>
    <row r="238" spans="1:35" ht="14.25" customHeight="1">
      <c r="A238" s="6">
        <v>400008</v>
      </c>
      <c r="B238" s="4" t="s">
        <v>1045</v>
      </c>
      <c r="C238" s="6">
        <v>2</v>
      </c>
      <c r="D238" s="6"/>
      <c r="E238" s="6"/>
      <c r="F238" s="6">
        <v>1</v>
      </c>
      <c r="G238" s="2">
        <v>1.8</v>
      </c>
      <c r="H238" s="2"/>
      <c r="I238" s="6"/>
      <c r="J238" s="6"/>
      <c r="K238" s="6"/>
      <c r="L238" s="6"/>
      <c r="M238" s="2" t="s">
        <v>749</v>
      </c>
      <c r="N238" s="51">
        <v>30</v>
      </c>
      <c r="O238" s="2"/>
      <c r="P238" s="52"/>
      <c r="Q238" s="2"/>
      <c r="R238" s="52">
        <v>4004</v>
      </c>
      <c r="S238" s="52">
        <v>0.5</v>
      </c>
      <c r="T238" s="2"/>
      <c r="U238" s="2"/>
      <c r="V238" s="2"/>
      <c r="W238" s="2"/>
      <c r="X238" s="2" t="s">
        <v>773</v>
      </c>
      <c r="Y238" s="2"/>
      <c r="Z238" s="155" t="s">
        <v>1046</v>
      </c>
      <c r="AA238" s="158"/>
      <c r="AB238" s="158"/>
      <c r="AC238" s="158"/>
      <c r="AD238" s="154"/>
    </row>
    <row r="239" spans="1:35" ht="15.75" customHeight="1">
      <c r="A239" s="6">
        <v>400009</v>
      </c>
      <c r="B239" s="4" t="s">
        <v>1047</v>
      </c>
      <c r="C239" s="6">
        <v>1</v>
      </c>
      <c r="D239" s="6"/>
      <c r="E239" s="6"/>
      <c r="F239" s="6">
        <v>1</v>
      </c>
      <c r="G239" s="2"/>
      <c r="H239" s="2">
        <v>3.5</v>
      </c>
      <c r="I239" s="6"/>
      <c r="J239" s="6"/>
      <c r="K239" s="6"/>
      <c r="L239" s="6"/>
      <c r="M239" s="2" t="s">
        <v>756</v>
      </c>
      <c r="N239" s="51">
        <v>17</v>
      </c>
      <c r="O239" s="2"/>
      <c r="P239" s="52"/>
      <c r="Q239" s="2"/>
      <c r="R239" s="52">
        <v>4001</v>
      </c>
      <c r="S239" s="52">
        <v>0.6</v>
      </c>
      <c r="T239" s="2"/>
      <c r="U239" s="2"/>
      <c r="V239" s="2"/>
      <c r="W239" s="53" t="s">
        <v>764</v>
      </c>
      <c r="X239" s="2" t="s">
        <v>765</v>
      </c>
      <c r="Y239" s="2"/>
      <c r="Z239" s="155" t="s">
        <v>1048</v>
      </c>
      <c r="AA239" s="158"/>
      <c r="AB239" s="158"/>
      <c r="AC239" s="158"/>
      <c r="AD239" s="154"/>
    </row>
    <row r="240" spans="1:35" ht="15.75" customHeight="1">
      <c r="A240" s="6">
        <v>400010</v>
      </c>
      <c r="B240" s="4" t="s">
        <v>1049</v>
      </c>
      <c r="C240" s="6">
        <v>2</v>
      </c>
      <c r="D240" s="6"/>
      <c r="E240" s="6"/>
      <c r="F240" s="6">
        <v>1</v>
      </c>
      <c r="G240" s="2">
        <v>1.2</v>
      </c>
      <c r="H240" s="2"/>
      <c r="I240" s="6"/>
      <c r="J240" s="6"/>
      <c r="K240" s="6"/>
      <c r="L240" s="6"/>
      <c r="M240" s="2" t="s">
        <v>749</v>
      </c>
      <c r="N240" s="51">
        <v>28</v>
      </c>
      <c r="O240" s="2"/>
      <c r="P240" s="52"/>
      <c r="Q240" s="2"/>
      <c r="R240" s="52">
        <v>5004</v>
      </c>
      <c r="S240" s="52">
        <v>0.3</v>
      </c>
      <c r="T240" s="2"/>
      <c r="U240" s="2"/>
      <c r="V240" s="6"/>
      <c r="W240" s="53" t="s">
        <v>757</v>
      </c>
      <c r="X240" s="53" t="s">
        <v>758</v>
      </c>
      <c r="Y240" s="2"/>
      <c r="Z240" s="155" t="s">
        <v>1050</v>
      </c>
      <c r="AA240" s="158"/>
      <c r="AB240" s="158"/>
      <c r="AC240" s="158"/>
      <c r="AD240" s="154"/>
    </row>
    <row r="241" spans="1:30" ht="15.75" customHeight="1">
      <c r="A241" s="6">
        <v>400011</v>
      </c>
      <c r="B241" s="4" t="s">
        <v>1051</v>
      </c>
      <c r="C241" s="6">
        <v>2</v>
      </c>
      <c r="D241" s="6"/>
      <c r="E241" s="6"/>
      <c r="F241" s="6">
        <v>1</v>
      </c>
      <c r="G241" s="2"/>
      <c r="H241" s="2">
        <v>2</v>
      </c>
      <c r="I241" s="6"/>
      <c r="J241" s="6"/>
      <c r="K241" s="6"/>
      <c r="L241" s="6"/>
      <c r="M241" s="2" t="s">
        <v>756</v>
      </c>
      <c r="N241" s="51">
        <v>29</v>
      </c>
      <c r="O241" s="2"/>
      <c r="P241" s="52"/>
      <c r="Q241" s="2"/>
      <c r="R241" s="52"/>
      <c r="S241" s="52"/>
      <c r="T241" s="2"/>
      <c r="U241" s="2"/>
      <c r="V241" s="6"/>
      <c r="W241" s="53" t="s">
        <v>757</v>
      </c>
      <c r="X241" s="53" t="s">
        <v>758</v>
      </c>
      <c r="Y241" s="2"/>
      <c r="Z241" s="155" t="s">
        <v>1052</v>
      </c>
      <c r="AA241" s="158"/>
      <c r="AB241" s="158"/>
      <c r="AC241" s="158"/>
      <c r="AD241" s="154"/>
    </row>
    <row r="242" spans="1:30" ht="15.75" customHeight="1">
      <c r="A242" s="6">
        <v>400012</v>
      </c>
      <c r="B242" s="4" t="s">
        <v>1053</v>
      </c>
      <c r="C242" s="6">
        <v>2</v>
      </c>
      <c r="D242" s="6"/>
      <c r="E242" s="6"/>
      <c r="F242" s="6">
        <v>1</v>
      </c>
      <c r="G242" s="2"/>
      <c r="H242" s="2">
        <v>2</v>
      </c>
      <c r="I242" s="6"/>
      <c r="J242" s="6"/>
      <c r="K242" s="6"/>
      <c r="L242" s="6"/>
      <c r="M242" s="2" t="s">
        <v>756</v>
      </c>
      <c r="N242" s="51">
        <v>23</v>
      </c>
      <c r="O242" s="2"/>
      <c r="P242" s="52"/>
      <c r="Q242" s="2"/>
      <c r="R242" s="52">
        <v>4001</v>
      </c>
      <c r="S242" s="52">
        <v>0.4</v>
      </c>
      <c r="T242" s="2"/>
      <c r="U242" s="2"/>
      <c r="V242" s="6"/>
      <c r="W242" s="53" t="s">
        <v>764</v>
      </c>
      <c r="X242" s="2" t="s">
        <v>765</v>
      </c>
      <c r="Y242" s="2"/>
      <c r="Z242" s="155" t="s">
        <v>1054</v>
      </c>
      <c r="AA242" s="158"/>
      <c r="AB242" s="158"/>
      <c r="AC242" s="158"/>
      <c r="AD242" s="154"/>
    </row>
    <row r="243" spans="1:30" ht="15.75" customHeight="1">
      <c r="A243" s="6">
        <v>400013</v>
      </c>
      <c r="B243" s="4" t="s">
        <v>1055</v>
      </c>
      <c r="C243" s="6">
        <v>2</v>
      </c>
      <c r="D243" s="6"/>
      <c r="E243" s="6"/>
      <c r="F243" s="6">
        <v>1</v>
      </c>
      <c r="G243" s="2"/>
      <c r="H243" s="2">
        <v>2</v>
      </c>
      <c r="I243" s="6"/>
      <c r="J243" s="6"/>
      <c r="K243" s="6"/>
      <c r="L243" s="6"/>
      <c r="M243" s="2" t="s">
        <v>756</v>
      </c>
      <c r="N243" s="51">
        <v>27</v>
      </c>
      <c r="O243" s="2"/>
      <c r="P243" s="52"/>
      <c r="Q243" s="2"/>
      <c r="R243" s="52">
        <v>4002</v>
      </c>
      <c r="S243" s="52">
        <v>0.4</v>
      </c>
      <c r="T243" s="2"/>
      <c r="U243" s="2"/>
      <c r="V243" s="6"/>
      <c r="W243" s="53" t="s">
        <v>757</v>
      </c>
      <c r="X243" s="53" t="s">
        <v>758</v>
      </c>
      <c r="Y243" s="2"/>
      <c r="Z243" s="155" t="s">
        <v>1056</v>
      </c>
      <c r="AA243" s="158"/>
      <c r="AB243" s="158"/>
      <c r="AC243" s="158"/>
      <c r="AD243" s="154"/>
    </row>
    <row r="244" spans="1:30" ht="14.25" customHeight="1">
      <c r="A244" s="6">
        <v>400014</v>
      </c>
      <c r="B244" s="4" t="s">
        <v>1057</v>
      </c>
      <c r="C244" s="6">
        <v>4</v>
      </c>
      <c r="D244" s="6"/>
      <c r="E244" s="6"/>
      <c r="F244" s="6">
        <v>1</v>
      </c>
      <c r="G244" s="2">
        <v>1.2</v>
      </c>
      <c r="H244" s="2"/>
      <c r="I244" s="6"/>
      <c r="J244" s="6"/>
      <c r="K244" s="6"/>
      <c r="L244" s="6"/>
      <c r="M244" s="2" t="s">
        <v>749</v>
      </c>
      <c r="N244" s="51">
        <v>51</v>
      </c>
      <c r="O244" s="2"/>
      <c r="P244" s="52"/>
      <c r="Q244" s="2"/>
      <c r="R244" s="52">
        <v>4004</v>
      </c>
      <c r="S244" s="52">
        <v>0.5</v>
      </c>
      <c r="T244" s="2"/>
      <c r="U244" s="2"/>
      <c r="V244" s="6"/>
      <c r="W244" s="2"/>
      <c r="X244" s="2" t="s">
        <v>750</v>
      </c>
      <c r="Y244" s="2"/>
      <c r="Z244" s="155" t="s">
        <v>1058</v>
      </c>
      <c r="AA244" s="158"/>
      <c r="AB244" s="158"/>
      <c r="AC244" s="158"/>
      <c r="AD244" s="154"/>
    </row>
    <row r="245" spans="1:30" ht="14.25" customHeight="1">
      <c r="A245" s="6">
        <v>400015</v>
      </c>
      <c r="B245" s="4" t="s">
        <v>1059</v>
      </c>
      <c r="C245" s="6">
        <v>2</v>
      </c>
      <c r="D245" s="6"/>
      <c r="E245" s="6"/>
      <c r="F245" s="6">
        <v>1</v>
      </c>
      <c r="G245" s="2"/>
      <c r="H245" s="2">
        <v>2</v>
      </c>
      <c r="I245" s="6"/>
      <c r="J245" s="6"/>
      <c r="K245" s="6"/>
      <c r="L245" s="6"/>
      <c r="M245" s="2" t="s">
        <v>756</v>
      </c>
      <c r="N245" s="51">
        <v>28</v>
      </c>
      <c r="O245" s="2"/>
      <c r="P245" s="52"/>
      <c r="Q245" s="2"/>
      <c r="R245" s="52">
        <v>2001</v>
      </c>
      <c r="S245" s="52">
        <v>0.6</v>
      </c>
      <c r="T245" s="2"/>
      <c r="U245" s="2"/>
      <c r="V245" s="6"/>
      <c r="W245" s="2"/>
      <c r="X245" s="2" t="s">
        <v>777</v>
      </c>
      <c r="Y245" s="2"/>
      <c r="Z245" s="155" t="s">
        <v>1060</v>
      </c>
      <c r="AA245" s="158"/>
      <c r="AB245" s="158"/>
      <c r="AC245" s="158"/>
      <c r="AD245" s="154"/>
    </row>
    <row r="246" spans="1:30" ht="14.25" customHeight="1">
      <c r="A246" s="6">
        <v>400016</v>
      </c>
      <c r="B246" s="4" t="s">
        <v>1061</v>
      </c>
      <c r="C246" s="6">
        <v>3</v>
      </c>
      <c r="D246" s="6"/>
      <c r="E246" s="6"/>
      <c r="F246" s="6">
        <v>1</v>
      </c>
      <c r="G246" s="6">
        <v>3</v>
      </c>
      <c r="H246" s="6"/>
      <c r="I246" s="6"/>
      <c r="J246" s="6"/>
      <c r="K246" s="6"/>
      <c r="L246" s="6"/>
      <c r="M246" s="2" t="s">
        <v>749</v>
      </c>
      <c r="N246" s="51">
        <v>25</v>
      </c>
      <c r="O246" s="2"/>
      <c r="P246" s="52"/>
      <c r="Q246" s="52"/>
      <c r="R246" s="52"/>
      <c r="S246" s="2"/>
      <c r="T246" s="2"/>
      <c r="U246" s="2"/>
      <c r="V246" s="6"/>
      <c r="W246" s="2"/>
      <c r="X246" s="2" t="s">
        <v>750</v>
      </c>
      <c r="Y246" s="2"/>
      <c r="Z246" s="155" t="s">
        <v>1062</v>
      </c>
      <c r="AA246" s="158"/>
      <c r="AB246" s="158"/>
      <c r="AC246" s="158"/>
      <c r="AD246" s="154"/>
    </row>
    <row r="247" spans="1:30" ht="14.25" customHeight="1">
      <c r="A247" s="6">
        <v>400017</v>
      </c>
      <c r="B247" s="4" t="s">
        <v>1063</v>
      </c>
      <c r="C247" s="6">
        <v>-4</v>
      </c>
      <c r="D247" s="6"/>
      <c r="E247" s="6"/>
      <c r="F247" s="6">
        <v>1</v>
      </c>
      <c r="G247" s="6"/>
      <c r="H247" s="6">
        <v>2.5</v>
      </c>
      <c r="I247" s="6"/>
      <c r="J247" s="6"/>
      <c r="K247" s="6"/>
      <c r="L247" s="6"/>
      <c r="M247" s="2" t="s">
        <v>756</v>
      </c>
      <c r="N247" s="51">
        <v>80</v>
      </c>
      <c r="O247" s="2"/>
      <c r="P247" s="52"/>
      <c r="Q247" s="52"/>
      <c r="R247" s="52"/>
      <c r="S247" s="2"/>
      <c r="T247" s="2"/>
      <c r="U247" s="2"/>
      <c r="V247" s="6"/>
      <c r="W247" s="2"/>
      <c r="X247" s="2" t="s">
        <v>767</v>
      </c>
      <c r="Y247" s="2"/>
      <c r="Z247" s="155" t="s">
        <v>1064</v>
      </c>
      <c r="AA247" s="158"/>
      <c r="AB247" s="158"/>
      <c r="AC247" s="158"/>
      <c r="AD247" s="154"/>
    </row>
    <row r="248" spans="1:30" ht="15.75" customHeight="1">
      <c r="A248" s="6">
        <v>400018</v>
      </c>
      <c r="B248" s="4" t="s">
        <v>1065</v>
      </c>
      <c r="C248" s="6">
        <v>3</v>
      </c>
      <c r="D248" s="6"/>
      <c r="E248" s="6"/>
      <c r="F248" s="6">
        <v>1</v>
      </c>
      <c r="G248" s="6"/>
      <c r="H248" s="6">
        <v>2</v>
      </c>
      <c r="I248" s="6"/>
      <c r="J248" s="6"/>
      <c r="K248" s="6"/>
      <c r="L248" s="6"/>
      <c r="M248" s="2" t="s">
        <v>756</v>
      </c>
      <c r="N248" s="51">
        <v>45</v>
      </c>
      <c r="O248" s="2"/>
      <c r="P248" s="52"/>
      <c r="Q248" s="52"/>
      <c r="R248" s="52" t="str">
        <f>"4001.4002"</f>
        <v>4001.4002</v>
      </c>
      <c r="S248" s="2"/>
      <c r="T248" s="2"/>
      <c r="U248" s="2"/>
      <c r="V248" s="6"/>
      <c r="W248" s="53" t="s">
        <v>764</v>
      </c>
      <c r="X248" s="2" t="s">
        <v>765</v>
      </c>
      <c r="Y248" s="2"/>
      <c r="Z248" s="155" t="s">
        <v>1066</v>
      </c>
      <c r="AA248" s="158"/>
      <c r="AB248" s="158"/>
      <c r="AC248" s="158"/>
      <c r="AD248" s="154"/>
    </row>
    <row r="249" spans="1:30" ht="15.75" customHeight="1">
      <c r="A249" s="6">
        <v>400019</v>
      </c>
      <c r="B249" s="3" t="s">
        <v>1067</v>
      </c>
      <c r="C249" s="6">
        <v>2</v>
      </c>
      <c r="D249" s="6"/>
      <c r="E249" s="6"/>
      <c r="F249" s="6">
        <v>1</v>
      </c>
      <c r="G249" s="6"/>
      <c r="H249" s="6">
        <v>2.8</v>
      </c>
      <c r="I249" s="6"/>
      <c r="J249" s="6"/>
      <c r="K249" s="6"/>
      <c r="L249" s="6"/>
      <c r="M249" s="2" t="s">
        <v>756</v>
      </c>
      <c r="N249" s="51">
        <v>45</v>
      </c>
      <c r="O249" s="2"/>
      <c r="P249" s="52"/>
      <c r="Q249" s="52"/>
      <c r="R249" s="52"/>
      <c r="S249" s="2"/>
      <c r="T249" s="2"/>
      <c r="U249" s="2"/>
      <c r="V249" s="6"/>
      <c r="W249" s="53" t="s">
        <v>757</v>
      </c>
      <c r="X249" s="53" t="s">
        <v>758</v>
      </c>
      <c r="Y249" s="2"/>
      <c r="Z249" s="155" t="s">
        <v>1040</v>
      </c>
      <c r="AA249" s="158"/>
      <c r="AB249" s="158"/>
      <c r="AC249" s="158"/>
      <c r="AD249" s="154"/>
    </row>
    <row r="250" spans="1:30" ht="15.75" customHeight="1">
      <c r="A250" s="6">
        <v>400020</v>
      </c>
      <c r="B250" s="4" t="s">
        <v>1068</v>
      </c>
      <c r="C250" s="6">
        <v>5</v>
      </c>
      <c r="D250" s="6"/>
      <c r="E250" s="6"/>
      <c r="F250" s="6">
        <v>2</v>
      </c>
      <c r="G250" s="6"/>
      <c r="H250" s="6">
        <v>0.5</v>
      </c>
      <c r="I250" s="6"/>
      <c r="J250" s="6"/>
      <c r="K250" s="6"/>
      <c r="L250" s="6"/>
      <c r="M250" s="2" t="s">
        <v>756</v>
      </c>
      <c r="N250" s="51">
        <v>45</v>
      </c>
      <c r="O250" s="2"/>
      <c r="P250" s="52"/>
      <c r="Q250" s="52"/>
      <c r="R250" s="52"/>
      <c r="S250" s="2"/>
      <c r="T250" s="2"/>
      <c r="U250" s="2"/>
      <c r="V250" s="6"/>
      <c r="W250" s="53" t="s">
        <v>764</v>
      </c>
      <c r="X250" s="2" t="s">
        <v>750</v>
      </c>
      <c r="Y250" s="2"/>
      <c r="Z250" s="155" t="s">
        <v>1040</v>
      </c>
      <c r="AA250" s="158"/>
      <c r="AB250" s="158"/>
      <c r="AC250" s="158"/>
      <c r="AD250" s="154"/>
    </row>
    <row r="251" spans="1:30" ht="15.75" customHeight="1">
      <c r="A251" s="6">
        <v>400021</v>
      </c>
      <c r="B251" s="4" t="s">
        <v>1069</v>
      </c>
      <c r="C251" s="6">
        <v>1</v>
      </c>
      <c r="D251" s="6"/>
      <c r="E251" s="6"/>
      <c r="F251" s="6">
        <v>1</v>
      </c>
      <c r="G251" s="6"/>
      <c r="H251" s="6">
        <v>3.2</v>
      </c>
      <c r="I251" s="6"/>
      <c r="J251" s="6"/>
      <c r="K251" s="6"/>
      <c r="L251" s="6"/>
      <c r="M251" s="2" t="s">
        <v>756</v>
      </c>
      <c r="N251" s="51">
        <v>35</v>
      </c>
      <c r="O251" s="2"/>
      <c r="P251" s="52"/>
      <c r="Q251" s="52"/>
      <c r="R251" s="52"/>
      <c r="S251" s="2"/>
      <c r="T251" s="2"/>
      <c r="U251" s="2"/>
      <c r="V251" s="6"/>
      <c r="W251" s="53"/>
      <c r="X251" s="2" t="s">
        <v>758</v>
      </c>
      <c r="Y251" s="2"/>
      <c r="Z251" s="155" t="s">
        <v>1070</v>
      </c>
      <c r="AA251" s="158"/>
      <c r="AB251" s="158"/>
      <c r="AC251" s="158"/>
      <c r="AD251" s="154"/>
    </row>
    <row r="252" spans="1:30" ht="15.75" customHeight="1">
      <c r="A252" s="6">
        <v>400022</v>
      </c>
      <c r="B252" s="4" t="s">
        <v>1071</v>
      </c>
      <c r="C252" s="6">
        <v>1</v>
      </c>
      <c r="D252" s="6"/>
      <c r="E252" s="6"/>
      <c r="F252" s="6">
        <v>1</v>
      </c>
      <c r="G252" s="6">
        <v>3.5</v>
      </c>
      <c r="H252" s="6"/>
      <c r="I252" s="6"/>
      <c r="J252" s="6"/>
      <c r="K252" s="6"/>
      <c r="L252" s="6"/>
      <c r="M252" s="2" t="s">
        <v>749</v>
      </c>
      <c r="N252" s="51">
        <v>30</v>
      </c>
      <c r="O252" s="2"/>
      <c r="P252" s="52"/>
      <c r="Q252" s="52"/>
      <c r="R252" s="52">
        <v>5002</v>
      </c>
      <c r="S252" s="2"/>
      <c r="T252" s="2"/>
      <c r="U252" s="2"/>
      <c r="V252" s="6"/>
      <c r="W252" s="53"/>
      <c r="X252" s="2" t="s">
        <v>777</v>
      </c>
      <c r="Y252" s="2"/>
      <c r="Z252" s="155" t="s">
        <v>1072</v>
      </c>
      <c r="AA252" s="158"/>
      <c r="AB252" s="158"/>
      <c r="AC252" s="158"/>
      <c r="AD252" s="154"/>
    </row>
    <row r="253" spans="1:30" ht="15.75" customHeight="1">
      <c r="A253" s="6">
        <v>400023</v>
      </c>
      <c r="B253" s="4" t="s">
        <v>1073</v>
      </c>
      <c r="C253" s="6">
        <v>3</v>
      </c>
      <c r="D253" s="6"/>
      <c r="E253" s="6"/>
      <c r="F253" s="6">
        <v>1</v>
      </c>
      <c r="G253" s="6">
        <v>2</v>
      </c>
      <c r="H253" s="6"/>
      <c r="I253" s="6"/>
      <c r="J253" s="6"/>
      <c r="K253" s="6"/>
      <c r="L253" s="6"/>
      <c r="M253" s="2" t="s">
        <v>749</v>
      </c>
      <c r="N253" s="51">
        <v>40</v>
      </c>
      <c r="O253" s="2"/>
      <c r="P253" s="52"/>
      <c r="Q253" s="52"/>
      <c r="R253" s="52"/>
      <c r="S253" s="2"/>
      <c r="T253" s="2"/>
      <c r="U253" s="2"/>
      <c r="V253" s="6"/>
      <c r="W253" s="53"/>
      <c r="X253" s="2" t="s">
        <v>758</v>
      </c>
      <c r="Y253" s="2"/>
      <c r="Z253" s="155" t="s">
        <v>1074</v>
      </c>
      <c r="AA253" s="158"/>
      <c r="AB253" s="158"/>
      <c r="AC253" s="158"/>
      <c r="AD253" s="154"/>
    </row>
    <row r="254" spans="1:30" ht="15.75" customHeight="1">
      <c r="A254" s="6">
        <v>400024</v>
      </c>
      <c r="B254" s="4" t="s">
        <v>1075</v>
      </c>
      <c r="C254" s="6">
        <v>3</v>
      </c>
      <c r="D254" s="6"/>
      <c r="E254" s="6"/>
      <c r="F254" s="6">
        <v>1</v>
      </c>
      <c r="G254" s="6"/>
      <c r="H254" s="6">
        <v>2.2000000000000002</v>
      </c>
      <c r="I254" s="6"/>
      <c r="J254" s="6"/>
      <c r="K254" s="6"/>
      <c r="L254" s="6"/>
      <c r="M254" s="2" t="s">
        <v>756</v>
      </c>
      <c r="N254" s="51">
        <v>45</v>
      </c>
      <c r="O254" s="2"/>
      <c r="P254" s="52"/>
      <c r="Q254" s="52"/>
      <c r="R254" s="52">
        <v>4002</v>
      </c>
      <c r="S254" s="2"/>
      <c r="T254" s="2"/>
      <c r="U254" s="2"/>
      <c r="V254" s="6"/>
      <c r="W254" s="53"/>
      <c r="X254" s="2" t="s">
        <v>758</v>
      </c>
      <c r="Y254" s="2"/>
      <c r="Z254" s="155" t="s">
        <v>1076</v>
      </c>
      <c r="AA254" s="158"/>
      <c r="AB254" s="158"/>
      <c r="AC254" s="158"/>
      <c r="AD254" s="154"/>
    </row>
    <row r="255" spans="1:30" ht="15.75" customHeight="1">
      <c r="A255" s="6">
        <v>400025</v>
      </c>
      <c r="B255" s="4" t="s">
        <v>1077</v>
      </c>
      <c r="C255" s="6">
        <v>4</v>
      </c>
      <c r="D255" s="6"/>
      <c r="E255" s="6"/>
      <c r="F255" s="6">
        <v>1</v>
      </c>
      <c r="G255" s="6"/>
      <c r="H255" s="6">
        <v>2</v>
      </c>
      <c r="I255" s="6"/>
      <c r="J255" s="6"/>
      <c r="K255" s="6"/>
      <c r="L255" s="6"/>
      <c r="M255" s="2" t="s">
        <v>756</v>
      </c>
      <c r="N255" s="51">
        <v>50</v>
      </c>
      <c r="O255" s="2"/>
      <c r="P255" s="52"/>
      <c r="Q255" s="52"/>
      <c r="R255" s="52">
        <v>4001</v>
      </c>
      <c r="S255" s="2"/>
      <c r="T255" s="2"/>
      <c r="U255" s="2"/>
      <c r="V255" s="6"/>
      <c r="W255" s="53"/>
      <c r="X255" s="2" t="s">
        <v>765</v>
      </c>
      <c r="Y255" s="2"/>
      <c r="Z255" s="155" t="s">
        <v>1078</v>
      </c>
      <c r="AA255" s="158"/>
      <c r="AB255" s="158"/>
      <c r="AC255" s="158"/>
      <c r="AD255" s="154"/>
    </row>
    <row r="256" spans="1:30" ht="15.75" customHeight="1">
      <c r="A256" s="6">
        <v>400026</v>
      </c>
      <c r="B256" s="4" t="s">
        <v>1079</v>
      </c>
      <c r="C256" s="6">
        <v>1</v>
      </c>
      <c r="D256" s="6"/>
      <c r="E256" s="6"/>
      <c r="F256" s="6">
        <v>3</v>
      </c>
      <c r="G256" s="6">
        <v>1.5</v>
      </c>
      <c r="H256" s="6"/>
      <c r="I256" s="6"/>
      <c r="J256" s="6"/>
      <c r="K256" s="6"/>
      <c r="L256" s="6"/>
      <c r="M256" s="2" t="s">
        <v>749</v>
      </c>
      <c r="N256" s="51">
        <v>38</v>
      </c>
      <c r="O256" s="2"/>
      <c r="P256" s="52"/>
      <c r="Q256" s="52"/>
      <c r="R256" s="52"/>
      <c r="S256" s="2"/>
      <c r="T256" s="2"/>
      <c r="U256" s="2"/>
      <c r="V256" s="6"/>
      <c r="W256" s="53"/>
      <c r="X256" s="2" t="s">
        <v>758</v>
      </c>
      <c r="Y256" s="2"/>
      <c r="Z256" s="155" t="s">
        <v>1080</v>
      </c>
      <c r="AA256" s="158"/>
      <c r="AB256" s="158"/>
      <c r="AC256" s="158"/>
      <c r="AD256" s="154"/>
    </row>
    <row r="257" spans="1:30" ht="15.75" customHeight="1">
      <c r="A257" s="6">
        <v>400027</v>
      </c>
      <c r="B257" s="4" t="s">
        <v>1081</v>
      </c>
      <c r="C257" s="6">
        <v>2</v>
      </c>
      <c r="D257" s="6"/>
      <c r="E257" s="6"/>
      <c r="F257" s="6">
        <v>1</v>
      </c>
      <c r="G257" s="6">
        <v>2.5</v>
      </c>
      <c r="H257" s="6"/>
      <c r="I257" s="6"/>
      <c r="J257" s="6"/>
      <c r="K257" s="6"/>
      <c r="L257" s="6"/>
      <c r="M257" s="2" t="s">
        <v>749</v>
      </c>
      <c r="N257" s="51">
        <v>32</v>
      </c>
      <c r="O257" s="2"/>
      <c r="P257" s="52"/>
      <c r="Q257" s="52"/>
      <c r="R257" s="52">
        <v>4004</v>
      </c>
      <c r="S257" s="2"/>
      <c r="T257" s="2"/>
      <c r="U257" s="2"/>
      <c r="V257" s="6"/>
      <c r="W257" s="53"/>
      <c r="X257" s="2" t="s">
        <v>758</v>
      </c>
      <c r="Y257" s="2"/>
      <c r="Z257" s="155" t="s">
        <v>1082</v>
      </c>
      <c r="AA257" s="158"/>
      <c r="AB257" s="158"/>
      <c r="AC257" s="158"/>
      <c r="AD257" s="154"/>
    </row>
    <row r="258" spans="1:30" ht="15.75" customHeight="1">
      <c r="A258" s="6">
        <v>400028</v>
      </c>
      <c r="B258" s="4" t="s">
        <v>1083</v>
      </c>
      <c r="C258" s="6">
        <v>1</v>
      </c>
      <c r="D258" s="6"/>
      <c r="E258" s="6"/>
      <c r="F258" s="6">
        <v>1</v>
      </c>
      <c r="G258" s="6"/>
      <c r="H258" s="6">
        <v>3.8</v>
      </c>
      <c r="I258" s="6"/>
      <c r="J258" s="6"/>
      <c r="K258" s="6"/>
      <c r="L258" s="6"/>
      <c r="M258" s="2" t="s">
        <v>756</v>
      </c>
      <c r="N258" s="51">
        <v>40</v>
      </c>
      <c r="O258" s="2"/>
      <c r="P258" s="52"/>
      <c r="Q258" s="52"/>
      <c r="R258" s="52"/>
      <c r="S258" s="2"/>
      <c r="T258" s="2"/>
      <c r="U258" s="2"/>
      <c r="V258" s="6"/>
      <c r="W258" s="53"/>
      <c r="X258" s="2" t="s">
        <v>758</v>
      </c>
      <c r="Y258" s="2"/>
      <c r="Z258" s="155" t="s">
        <v>1084</v>
      </c>
      <c r="AA258" s="158"/>
      <c r="AB258" s="158"/>
      <c r="AC258" s="158"/>
      <c r="AD258" s="154"/>
    </row>
    <row r="259" spans="1:30" ht="15.75" customHeight="1">
      <c r="A259" s="6">
        <v>400029</v>
      </c>
      <c r="B259" s="4" t="s">
        <v>1085</v>
      </c>
      <c r="C259" s="6">
        <v>2</v>
      </c>
      <c r="D259" s="6"/>
      <c r="E259" s="6"/>
      <c r="F259" s="6">
        <v>1</v>
      </c>
      <c r="G259" s="6">
        <v>2.8</v>
      </c>
      <c r="H259" s="6"/>
      <c r="I259" s="6"/>
      <c r="J259" s="6"/>
      <c r="K259" s="6"/>
      <c r="L259" s="6"/>
      <c r="M259" s="2" t="s">
        <v>749</v>
      </c>
      <c r="N259" s="51">
        <v>35</v>
      </c>
      <c r="O259" s="2"/>
      <c r="P259" s="52"/>
      <c r="Q259" s="52"/>
      <c r="R259" s="52">
        <v>4003</v>
      </c>
      <c r="S259" s="2"/>
      <c r="T259" s="2"/>
      <c r="U259" s="2"/>
      <c r="V259" s="6"/>
      <c r="W259" s="53"/>
      <c r="X259" s="2" t="s">
        <v>758</v>
      </c>
      <c r="Y259" s="2"/>
      <c r="Z259" s="155" t="s">
        <v>1086</v>
      </c>
      <c r="AA259" s="158"/>
      <c r="AB259" s="158"/>
      <c r="AC259" s="158"/>
      <c r="AD259" s="154"/>
    </row>
    <row r="260" spans="1:30" ht="15.75" customHeight="1">
      <c r="A260" s="6">
        <v>400030</v>
      </c>
      <c r="B260" s="4" t="s">
        <v>1087</v>
      </c>
      <c r="C260" s="6">
        <v>5</v>
      </c>
      <c r="D260" s="6"/>
      <c r="E260" s="6"/>
      <c r="F260" s="6">
        <v>1</v>
      </c>
      <c r="G260" s="6"/>
      <c r="H260" s="6">
        <v>1.8</v>
      </c>
      <c r="I260" s="6"/>
      <c r="J260" s="6"/>
      <c r="K260" s="6"/>
      <c r="L260" s="6"/>
      <c r="M260" s="2" t="s">
        <v>756</v>
      </c>
      <c r="N260" s="51">
        <v>60</v>
      </c>
      <c r="O260" s="2"/>
      <c r="P260" s="52"/>
      <c r="Q260" s="52"/>
      <c r="R260" s="52"/>
      <c r="S260" s="2"/>
      <c r="T260" s="2"/>
      <c r="U260" s="2"/>
      <c r="V260" s="6"/>
      <c r="W260" s="53"/>
      <c r="X260" s="2" t="s">
        <v>758</v>
      </c>
      <c r="Y260" s="2"/>
      <c r="Z260" s="155" t="s">
        <v>1088</v>
      </c>
      <c r="AA260" s="158"/>
      <c r="AB260" s="158"/>
      <c r="AC260" s="158"/>
      <c r="AD260" s="154"/>
    </row>
    <row r="261" spans="1:30" ht="15.75" customHeight="1">
      <c r="A261" s="6">
        <v>400031</v>
      </c>
      <c r="B261" s="4" t="s">
        <v>1089</v>
      </c>
      <c r="C261" s="6">
        <v>3</v>
      </c>
      <c r="D261" s="6"/>
      <c r="E261" s="6"/>
      <c r="F261" s="6">
        <v>1</v>
      </c>
      <c r="G261" s="6">
        <v>2.2000000000000002</v>
      </c>
      <c r="H261" s="6"/>
      <c r="I261" s="6"/>
      <c r="J261" s="6"/>
      <c r="K261" s="6"/>
      <c r="L261" s="6"/>
      <c r="M261" s="2" t="s">
        <v>749</v>
      </c>
      <c r="N261" s="51">
        <v>42</v>
      </c>
      <c r="O261" s="2"/>
      <c r="P261" s="52"/>
      <c r="Q261" s="52"/>
      <c r="R261" s="52"/>
      <c r="S261" s="2"/>
      <c r="T261" s="2"/>
      <c r="U261" s="2"/>
      <c r="V261" s="6"/>
      <c r="W261" s="53"/>
      <c r="X261" s="2" t="s">
        <v>765</v>
      </c>
      <c r="Y261" s="2"/>
      <c r="Z261" s="155" t="s">
        <v>1090</v>
      </c>
      <c r="AA261" s="158"/>
      <c r="AB261" s="158"/>
      <c r="AC261" s="158"/>
      <c r="AD261" s="154"/>
    </row>
    <row r="262" spans="1:30" ht="15.75" customHeight="1">
      <c r="A262" s="6">
        <v>400032</v>
      </c>
      <c r="B262" s="4" t="s">
        <v>1091</v>
      </c>
      <c r="C262" s="6">
        <v>2</v>
      </c>
      <c r="D262" s="6"/>
      <c r="E262" s="6"/>
      <c r="F262" s="6">
        <v>2</v>
      </c>
      <c r="G262" s="6"/>
      <c r="H262" s="6">
        <v>1.8</v>
      </c>
      <c r="I262" s="6"/>
      <c r="J262" s="6"/>
      <c r="K262" s="6"/>
      <c r="L262" s="6"/>
      <c r="M262" s="2" t="s">
        <v>756</v>
      </c>
      <c r="N262" s="51">
        <v>48</v>
      </c>
      <c r="O262" s="2"/>
      <c r="P262" s="52"/>
      <c r="Q262" s="52"/>
      <c r="R262" s="52">
        <v>4003</v>
      </c>
      <c r="S262" s="2"/>
      <c r="T262" s="2"/>
      <c r="U262" s="2"/>
      <c r="V262" s="6"/>
      <c r="W262" s="53"/>
      <c r="X262" s="2" t="s">
        <v>758</v>
      </c>
      <c r="Y262" s="2"/>
      <c r="Z262" s="155" t="s">
        <v>1092</v>
      </c>
      <c r="AA262" s="158"/>
      <c r="AB262" s="158"/>
      <c r="AC262" s="158"/>
      <c r="AD262" s="154"/>
    </row>
    <row r="263" spans="1:30" ht="15.75" customHeight="1">
      <c r="A263" s="6">
        <v>400033</v>
      </c>
      <c r="B263" s="4" t="s">
        <v>1093</v>
      </c>
      <c r="C263" s="6">
        <v>1</v>
      </c>
      <c r="D263" s="6"/>
      <c r="E263" s="6"/>
      <c r="F263" s="6">
        <v>2</v>
      </c>
      <c r="G263" s="6">
        <v>2</v>
      </c>
      <c r="H263" s="6"/>
      <c r="I263" s="6"/>
      <c r="J263" s="6"/>
      <c r="K263" s="6"/>
      <c r="L263" s="6"/>
      <c r="M263" s="2" t="s">
        <v>749</v>
      </c>
      <c r="N263" s="51">
        <v>30</v>
      </c>
      <c r="O263" s="2"/>
      <c r="P263" s="52"/>
      <c r="Q263" s="52"/>
      <c r="R263" s="52">
        <v>4002</v>
      </c>
      <c r="S263" s="2"/>
      <c r="T263" s="2"/>
      <c r="U263" s="2"/>
      <c r="V263" s="6"/>
      <c r="W263" s="53"/>
      <c r="X263" s="2" t="s">
        <v>758</v>
      </c>
      <c r="Y263" s="2"/>
      <c r="Z263" s="155" t="s">
        <v>1094</v>
      </c>
      <c r="AA263" s="158"/>
      <c r="AB263" s="158"/>
      <c r="AC263" s="158"/>
      <c r="AD263" s="154"/>
    </row>
    <row r="264" spans="1:30" ht="15.75" customHeight="1">
      <c r="A264" s="6">
        <v>400034</v>
      </c>
      <c r="B264" s="4" t="s">
        <v>1095</v>
      </c>
      <c r="C264" s="6">
        <v>1</v>
      </c>
      <c r="D264" s="6"/>
      <c r="E264" s="6"/>
      <c r="F264" s="6">
        <v>1</v>
      </c>
      <c r="G264" s="6">
        <v>4.2</v>
      </c>
      <c r="H264" s="6"/>
      <c r="I264" s="6"/>
      <c r="J264" s="6"/>
      <c r="K264" s="6"/>
      <c r="L264" s="6"/>
      <c r="M264" s="2" t="s">
        <v>749</v>
      </c>
      <c r="N264" s="51">
        <v>35</v>
      </c>
      <c r="O264" s="2"/>
      <c r="P264" s="52"/>
      <c r="Q264" s="52"/>
      <c r="R264" s="52"/>
      <c r="S264" s="2"/>
      <c r="T264" s="2"/>
      <c r="U264" s="2"/>
      <c r="V264" s="6"/>
      <c r="W264" s="53"/>
      <c r="X264" s="2" t="s">
        <v>758</v>
      </c>
      <c r="Y264" s="2"/>
      <c r="Z264" s="155" t="s">
        <v>1096</v>
      </c>
      <c r="AA264" s="158"/>
      <c r="AB264" s="158"/>
      <c r="AC264" s="158"/>
      <c r="AD264" s="154"/>
    </row>
    <row r="265" spans="1:30" ht="15.75" customHeight="1">
      <c r="A265" s="6">
        <v>400035</v>
      </c>
      <c r="B265" s="4" t="s">
        <v>1097</v>
      </c>
      <c r="C265" s="6">
        <v>4</v>
      </c>
      <c r="D265" s="6"/>
      <c r="E265" s="6"/>
      <c r="F265" s="6">
        <v>1</v>
      </c>
      <c r="G265" s="6"/>
      <c r="H265" s="6">
        <v>1.6</v>
      </c>
      <c r="I265" s="6"/>
      <c r="J265" s="6"/>
      <c r="K265" s="6"/>
      <c r="L265" s="6"/>
      <c r="M265" s="2" t="s">
        <v>756</v>
      </c>
      <c r="N265" s="51">
        <v>45</v>
      </c>
      <c r="O265" s="2"/>
      <c r="P265" s="52"/>
      <c r="Q265" s="52"/>
      <c r="R265" s="52">
        <v>4004</v>
      </c>
      <c r="S265" s="2"/>
      <c r="T265" s="2"/>
      <c r="U265" s="2"/>
      <c r="V265" s="6"/>
      <c r="W265" s="53"/>
      <c r="X265" s="2" t="s">
        <v>758</v>
      </c>
      <c r="Y265" s="2"/>
      <c r="Z265" s="155" t="s">
        <v>1098</v>
      </c>
      <c r="AA265" s="158"/>
      <c r="AB265" s="158"/>
      <c r="AC265" s="158"/>
      <c r="AD265" s="154"/>
    </row>
    <row r="266" spans="1:30" ht="15.75" customHeight="1">
      <c r="A266" s="6">
        <v>400036</v>
      </c>
      <c r="B266" s="4" t="s">
        <v>1099</v>
      </c>
      <c r="C266" s="6">
        <v>1</v>
      </c>
      <c r="D266" s="6"/>
      <c r="E266" s="6"/>
      <c r="F266" s="6">
        <v>1</v>
      </c>
      <c r="G266" s="6">
        <v>4.5</v>
      </c>
      <c r="H266" s="6"/>
      <c r="I266" s="6"/>
      <c r="J266" s="6"/>
      <c r="K266" s="6"/>
      <c r="L266" s="6"/>
      <c r="M266" s="2" t="s">
        <v>749</v>
      </c>
      <c r="N266" s="51">
        <v>40</v>
      </c>
      <c r="O266" s="2"/>
      <c r="P266" s="52"/>
      <c r="Q266" s="52"/>
      <c r="R266" s="52"/>
      <c r="S266" s="2"/>
      <c r="T266" s="2"/>
      <c r="U266" s="2"/>
      <c r="V266" s="6"/>
      <c r="W266" s="53"/>
      <c r="X266" s="2" t="s">
        <v>758</v>
      </c>
      <c r="Y266" s="2"/>
      <c r="Z266" s="155" t="s">
        <v>1100</v>
      </c>
      <c r="AA266" s="158"/>
      <c r="AB266" s="158"/>
      <c r="AC266" s="158"/>
      <c r="AD266" s="154"/>
    </row>
    <row r="267" spans="1:30" ht="15.75" customHeight="1">
      <c r="A267" s="6">
        <v>400037</v>
      </c>
      <c r="B267" s="4" t="s">
        <v>1101</v>
      </c>
      <c r="C267" s="6">
        <v>3</v>
      </c>
      <c r="D267" s="6"/>
      <c r="E267" s="6"/>
      <c r="F267" s="6">
        <v>1</v>
      </c>
      <c r="G267" s="6"/>
      <c r="H267" s="6">
        <v>2.5</v>
      </c>
      <c r="I267" s="6"/>
      <c r="J267" s="6"/>
      <c r="K267" s="6"/>
      <c r="L267" s="6"/>
      <c r="M267" s="2" t="s">
        <v>756</v>
      </c>
      <c r="N267" s="51">
        <v>50</v>
      </c>
      <c r="O267" s="2"/>
      <c r="P267" s="52"/>
      <c r="Q267" s="52"/>
      <c r="R267" s="52">
        <v>4001</v>
      </c>
      <c r="S267" s="2"/>
      <c r="T267" s="2"/>
      <c r="U267" s="2"/>
      <c r="V267" s="6"/>
      <c r="W267" s="53"/>
      <c r="X267" s="2" t="s">
        <v>758</v>
      </c>
      <c r="Y267" s="2"/>
      <c r="Z267" s="155" t="s">
        <v>1102</v>
      </c>
      <c r="AA267" s="158"/>
      <c r="AB267" s="158"/>
      <c r="AC267" s="158"/>
      <c r="AD267" s="154"/>
    </row>
    <row r="268" spans="1:30" ht="15.75" customHeight="1">
      <c r="A268" s="6">
        <v>400038</v>
      </c>
      <c r="B268" s="4" t="s">
        <v>1103</v>
      </c>
      <c r="C268" s="6">
        <v>2</v>
      </c>
      <c r="D268" s="6"/>
      <c r="E268" s="6"/>
      <c r="F268" s="6">
        <v>1</v>
      </c>
      <c r="G268" s="6"/>
      <c r="H268" s="6">
        <v>2.4</v>
      </c>
      <c r="I268" s="6"/>
      <c r="J268" s="6"/>
      <c r="K268" s="6"/>
      <c r="L268" s="6"/>
      <c r="M268" s="2" t="s">
        <v>756</v>
      </c>
      <c r="N268" s="51">
        <v>36</v>
      </c>
      <c r="O268" s="2"/>
      <c r="P268" s="52"/>
      <c r="Q268" s="52"/>
      <c r="R268" s="52">
        <v>5001</v>
      </c>
      <c r="S268" s="2"/>
      <c r="T268" s="2"/>
      <c r="U268" s="2"/>
      <c r="V268" s="6"/>
      <c r="W268" s="53"/>
      <c r="X268" s="2" t="s">
        <v>758</v>
      </c>
      <c r="Y268" s="2"/>
      <c r="Z268" s="155" t="s">
        <v>1104</v>
      </c>
      <c r="AA268" s="158"/>
      <c r="AB268" s="158"/>
      <c r="AC268" s="158"/>
      <c r="AD268" s="154"/>
    </row>
    <row r="269" spans="1:30" ht="15.75" customHeight="1">
      <c r="A269" s="6">
        <v>400040</v>
      </c>
      <c r="B269" s="4" t="s">
        <v>1105</v>
      </c>
      <c r="C269" s="6">
        <v>2</v>
      </c>
      <c r="D269" s="6"/>
      <c r="E269" s="6"/>
      <c r="F269" s="6">
        <v>1</v>
      </c>
      <c r="G269" s="6"/>
      <c r="H269" s="6">
        <v>2.6</v>
      </c>
      <c r="I269" s="6"/>
      <c r="J269" s="6"/>
      <c r="K269" s="6"/>
      <c r="L269" s="6"/>
      <c r="M269" s="2" t="s">
        <v>756</v>
      </c>
      <c r="N269" s="51">
        <v>38</v>
      </c>
      <c r="O269" s="2"/>
      <c r="P269" s="52"/>
      <c r="Q269" s="52"/>
      <c r="R269" s="52"/>
      <c r="S269" s="2"/>
      <c r="T269" s="2"/>
      <c r="U269" s="2"/>
      <c r="V269" s="6"/>
      <c r="W269" s="53"/>
      <c r="X269" s="2" t="s">
        <v>758</v>
      </c>
      <c r="Y269" s="2"/>
      <c r="Z269" s="155" t="s">
        <v>1106</v>
      </c>
      <c r="AA269" s="158"/>
      <c r="AB269" s="158"/>
      <c r="AC269" s="158"/>
      <c r="AD269" s="154"/>
    </row>
    <row r="270" spans="1:30" ht="14.25" customHeight="1">
      <c r="C270" s="45"/>
      <c r="D270" s="45"/>
      <c r="E270" s="45"/>
      <c r="F270" s="45"/>
      <c r="G270" s="45"/>
      <c r="H270" s="45"/>
      <c r="I270" s="45"/>
      <c r="J270" s="45"/>
      <c r="K270" s="45"/>
      <c r="L270" s="45"/>
      <c r="N270" s="46"/>
      <c r="P270" s="47"/>
      <c r="Q270" s="47"/>
      <c r="R270" s="47"/>
      <c r="V270" s="45"/>
    </row>
    <row r="271" spans="1:30" ht="14.25" customHeight="1">
      <c r="A271" s="23" t="s">
        <v>722</v>
      </c>
      <c r="B271" s="60" t="s">
        <v>723</v>
      </c>
      <c r="C271" s="48" t="s">
        <v>724</v>
      </c>
      <c r="D271" s="48" t="s">
        <v>725</v>
      </c>
      <c r="E271" s="48" t="s">
        <v>726</v>
      </c>
      <c r="F271" s="48" t="s">
        <v>727</v>
      </c>
      <c r="G271" s="40" t="s">
        <v>728</v>
      </c>
      <c r="H271" s="40" t="s">
        <v>729</v>
      </c>
      <c r="I271" s="40" t="s">
        <v>691</v>
      </c>
      <c r="J271" s="40" t="s">
        <v>730</v>
      </c>
      <c r="K271" s="40" t="s">
        <v>731</v>
      </c>
      <c r="L271" s="40" t="s">
        <v>732</v>
      </c>
      <c r="M271" s="23" t="s">
        <v>733</v>
      </c>
      <c r="N271" s="49" t="s">
        <v>734</v>
      </c>
      <c r="O271" s="23" t="s">
        <v>735</v>
      </c>
      <c r="P271" s="50" t="s">
        <v>736</v>
      </c>
      <c r="Q271" s="50" t="s">
        <v>838</v>
      </c>
      <c r="R271" s="50" t="s">
        <v>738</v>
      </c>
      <c r="S271" s="50" t="s">
        <v>739</v>
      </c>
      <c r="T271" s="23" t="s">
        <v>740</v>
      </c>
      <c r="U271" s="50" t="s">
        <v>741</v>
      </c>
      <c r="V271" s="6" t="s">
        <v>742</v>
      </c>
      <c r="W271" s="23" t="s">
        <v>743</v>
      </c>
      <c r="X271" s="23" t="s">
        <v>744</v>
      </c>
      <c r="Y271" s="23" t="s">
        <v>745</v>
      </c>
      <c r="Z271" s="153" t="s">
        <v>746</v>
      </c>
      <c r="AA271" s="158"/>
      <c r="AB271" s="158"/>
      <c r="AC271" s="158"/>
      <c r="AD271" s="154"/>
    </row>
    <row r="272" spans="1:30" ht="14.25" customHeight="1">
      <c r="A272" s="6">
        <v>410001</v>
      </c>
      <c r="B272" s="1" t="s">
        <v>1107</v>
      </c>
      <c r="C272" s="6">
        <v>-2</v>
      </c>
      <c r="D272" s="6"/>
      <c r="E272" s="6"/>
      <c r="F272" s="6">
        <v>1</v>
      </c>
      <c r="G272" s="2"/>
      <c r="H272" s="2"/>
      <c r="I272" s="6"/>
      <c r="J272" s="6"/>
      <c r="K272" s="6">
        <v>3</v>
      </c>
      <c r="L272" s="6"/>
      <c r="M272" s="2"/>
      <c r="N272" s="51">
        <v>22</v>
      </c>
      <c r="O272" s="2"/>
      <c r="P272" s="52"/>
      <c r="Q272" s="52"/>
      <c r="R272" s="52" t="str">
        <f>"1002,1004"</f>
        <v>1002,1004</v>
      </c>
      <c r="S272" s="2"/>
      <c r="T272" s="2"/>
      <c r="U272" s="2"/>
      <c r="V272" s="6"/>
      <c r="W272" s="2"/>
      <c r="X272" s="2" t="s">
        <v>767</v>
      </c>
      <c r="Y272" s="2"/>
      <c r="Z272" s="155" t="s">
        <v>1108</v>
      </c>
      <c r="AA272" s="158"/>
      <c r="AB272" s="158"/>
      <c r="AC272" s="158"/>
      <c r="AD272" s="154"/>
    </row>
    <row r="273" spans="1:30" ht="14.25" customHeight="1">
      <c r="A273" s="6">
        <v>410002</v>
      </c>
      <c r="B273" s="1" t="s">
        <v>1109</v>
      </c>
      <c r="C273" s="6">
        <v>1</v>
      </c>
      <c r="D273" s="6"/>
      <c r="E273" s="6"/>
      <c r="F273" s="6">
        <v>1</v>
      </c>
      <c r="G273" s="2">
        <v>3.8</v>
      </c>
      <c r="H273" s="2"/>
      <c r="I273" s="6"/>
      <c r="J273" s="6"/>
      <c r="K273" s="6">
        <v>5</v>
      </c>
      <c r="L273" s="6"/>
      <c r="M273" s="2" t="s">
        <v>749</v>
      </c>
      <c r="N273" s="51">
        <v>18</v>
      </c>
      <c r="O273" s="2"/>
      <c r="P273" s="52">
        <v>3003</v>
      </c>
      <c r="Q273" s="52"/>
      <c r="R273" s="52"/>
      <c r="S273" s="2"/>
      <c r="T273" s="2"/>
      <c r="U273" s="2"/>
      <c r="V273" s="6"/>
      <c r="W273" s="2"/>
      <c r="X273" s="2" t="s">
        <v>750</v>
      </c>
      <c r="Y273" s="2"/>
      <c r="Z273" s="155" t="s">
        <v>1110</v>
      </c>
      <c r="AA273" s="158"/>
      <c r="AB273" s="158"/>
      <c r="AC273" s="158"/>
      <c r="AD273" s="154"/>
    </row>
    <row r="274" spans="1:30" ht="14.25" customHeight="1">
      <c r="A274" s="6">
        <v>410003</v>
      </c>
      <c r="B274" s="1" t="s">
        <v>1111</v>
      </c>
      <c r="C274" s="6">
        <v>-2</v>
      </c>
      <c r="D274" s="6"/>
      <c r="E274" s="6"/>
      <c r="F274" s="6">
        <v>1</v>
      </c>
      <c r="G274" s="2"/>
      <c r="H274" s="2"/>
      <c r="I274" s="6"/>
      <c r="J274" s="6"/>
      <c r="K274" s="6">
        <v>3</v>
      </c>
      <c r="L274" s="6"/>
      <c r="M274" s="2"/>
      <c r="N274" s="51">
        <v>18</v>
      </c>
      <c r="O274" s="2"/>
      <c r="P274" s="2"/>
      <c r="Q274" s="52"/>
      <c r="R274" s="52">
        <v>1996</v>
      </c>
      <c r="S274" s="2"/>
      <c r="T274" s="2"/>
      <c r="U274" s="2"/>
      <c r="V274" s="6"/>
      <c r="W274" s="2"/>
      <c r="X274" s="2" t="s">
        <v>767</v>
      </c>
      <c r="Y274" s="2"/>
      <c r="Z274" s="155" t="s">
        <v>1112</v>
      </c>
      <c r="AA274" s="158"/>
      <c r="AB274" s="158"/>
      <c r="AC274" s="158"/>
      <c r="AD274" s="154"/>
    </row>
    <row r="275" spans="1:30" ht="14.25" customHeight="1">
      <c r="A275" s="6">
        <v>410004</v>
      </c>
      <c r="B275" s="1" t="s">
        <v>1113</v>
      </c>
      <c r="C275" s="6">
        <v>2</v>
      </c>
      <c r="E275" s="6"/>
      <c r="F275" s="6">
        <v>1</v>
      </c>
      <c r="G275" s="2">
        <v>2.1</v>
      </c>
      <c r="H275" s="2"/>
      <c r="I275" s="6"/>
      <c r="J275" s="6"/>
      <c r="K275" s="6">
        <v>3</v>
      </c>
      <c r="L275" s="6"/>
      <c r="M275" s="2" t="s">
        <v>749</v>
      </c>
      <c r="N275" s="61">
        <v>22</v>
      </c>
      <c r="O275" s="2"/>
      <c r="P275" s="52">
        <v>3003</v>
      </c>
      <c r="Q275" s="52"/>
      <c r="R275" s="52"/>
      <c r="S275" s="2"/>
      <c r="T275" s="2"/>
      <c r="U275" s="2"/>
      <c r="V275" s="6"/>
      <c r="W275" s="2"/>
      <c r="X275" s="2" t="s">
        <v>750</v>
      </c>
      <c r="Y275" s="2"/>
      <c r="Z275" s="155" t="s">
        <v>1114</v>
      </c>
      <c r="AA275" s="158"/>
      <c r="AB275" s="158"/>
      <c r="AC275" s="158"/>
      <c r="AD275" s="154"/>
    </row>
    <row r="276" spans="1:30" ht="14.25" customHeight="1">
      <c r="A276" s="6">
        <v>410005</v>
      </c>
      <c r="B276" s="1" t="s">
        <v>1115</v>
      </c>
      <c r="C276" s="6">
        <v>-2</v>
      </c>
      <c r="D276" s="6"/>
      <c r="E276" s="6"/>
      <c r="F276" s="6">
        <v>1</v>
      </c>
      <c r="G276" s="2"/>
      <c r="H276" s="2">
        <v>2</v>
      </c>
      <c r="I276" s="6"/>
      <c r="J276" s="6"/>
      <c r="K276" s="6">
        <v>4</v>
      </c>
      <c r="L276" s="6"/>
      <c r="M276" s="2" t="s">
        <v>766</v>
      </c>
      <c r="N276" s="61">
        <v>33</v>
      </c>
      <c r="O276" s="2"/>
      <c r="P276" s="52"/>
      <c r="Q276" s="52"/>
      <c r="R276" s="52"/>
      <c r="S276" s="2"/>
      <c r="T276" s="2"/>
      <c r="U276" s="2"/>
      <c r="V276" s="6"/>
      <c r="W276" s="2"/>
      <c r="X276" s="2" t="s">
        <v>766</v>
      </c>
      <c r="Y276" s="2"/>
      <c r="Z276" s="155" t="s">
        <v>1116</v>
      </c>
      <c r="AA276" s="158"/>
      <c r="AB276" s="158"/>
      <c r="AC276" s="158"/>
      <c r="AD276" s="154"/>
    </row>
    <row r="277" spans="1:30" ht="14.25" customHeight="1">
      <c r="A277" s="6">
        <v>410006</v>
      </c>
      <c r="B277" s="1" t="s">
        <v>1117</v>
      </c>
      <c r="C277" s="6">
        <v>1</v>
      </c>
      <c r="D277" s="6"/>
      <c r="E277" s="6"/>
      <c r="F277" s="6">
        <v>1</v>
      </c>
      <c r="G277" s="2">
        <v>3.5</v>
      </c>
      <c r="H277" s="2"/>
      <c r="I277" s="6"/>
      <c r="J277" s="6"/>
      <c r="K277" s="6">
        <v>2</v>
      </c>
      <c r="L277" s="6"/>
      <c r="M277" s="2" t="s">
        <v>749</v>
      </c>
      <c r="N277" s="61">
        <v>25</v>
      </c>
      <c r="O277" s="2"/>
      <c r="P277" s="52"/>
      <c r="Q277" s="52"/>
      <c r="R277" s="52">
        <v>5001</v>
      </c>
      <c r="S277" s="2"/>
      <c r="T277" s="2"/>
      <c r="U277" s="2"/>
      <c r="V277" s="6"/>
      <c r="W277" s="2"/>
      <c r="X277" s="2" t="s">
        <v>773</v>
      </c>
      <c r="Y277" s="2"/>
      <c r="Z277" s="155" t="s">
        <v>1118</v>
      </c>
      <c r="AA277" s="158"/>
      <c r="AB277" s="158"/>
      <c r="AC277" s="158"/>
      <c r="AD277" s="154"/>
    </row>
    <row r="278" spans="1:30" ht="14.25" customHeight="1">
      <c r="A278" s="6">
        <v>410007</v>
      </c>
      <c r="B278" s="1" t="s">
        <v>1119</v>
      </c>
      <c r="C278" s="6">
        <v>-2</v>
      </c>
      <c r="D278" s="6"/>
      <c r="E278" s="6"/>
      <c r="F278" s="6">
        <v>1</v>
      </c>
      <c r="G278" s="2"/>
      <c r="H278" s="2"/>
      <c r="I278" s="6"/>
      <c r="J278" s="6"/>
      <c r="K278" s="6">
        <v>6</v>
      </c>
      <c r="L278" s="6"/>
      <c r="M278" s="2"/>
      <c r="N278" s="61">
        <v>20</v>
      </c>
      <c r="O278" s="2"/>
      <c r="P278" s="52"/>
      <c r="Q278" s="52"/>
      <c r="R278" s="52">
        <v>1998</v>
      </c>
      <c r="S278" s="2"/>
      <c r="T278" s="2"/>
      <c r="U278" s="2"/>
      <c r="V278" s="6"/>
      <c r="W278" s="2"/>
      <c r="X278" s="2" t="s">
        <v>779</v>
      </c>
      <c r="Y278" s="2"/>
      <c r="Z278" s="155" t="s">
        <v>1120</v>
      </c>
      <c r="AA278" s="158"/>
      <c r="AB278" s="158"/>
      <c r="AC278" s="158"/>
      <c r="AD278" s="154"/>
    </row>
    <row r="279" spans="1:30" ht="14.25" customHeight="1">
      <c r="A279" s="6">
        <v>410008</v>
      </c>
      <c r="B279" s="1" t="s">
        <v>1121</v>
      </c>
      <c r="C279" s="6">
        <v>-1</v>
      </c>
      <c r="D279" s="6"/>
      <c r="E279" s="6">
        <v>1</v>
      </c>
      <c r="F279" s="6">
        <v>1</v>
      </c>
      <c r="G279" s="2"/>
      <c r="H279" s="2"/>
      <c r="I279" s="6"/>
      <c r="J279" s="6"/>
      <c r="K279" s="6">
        <v>2</v>
      </c>
      <c r="L279" s="6"/>
      <c r="M279" s="2" t="s">
        <v>749</v>
      </c>
      <c r="N279" s="61">
        <v>18</v>
      </c>
      <c r="O279" s="2"/>
      <c r="P279" s="52" t="str">
        <f>"1005,1006"</f>
        <v>1005,1006</v>
      </c>
      <c r="Q279" s="52"/>
      <c r="R279" s="52"/>
      <c r="S279" s="2"/>
      <c r="T279" s="2"/>
      <c r="U279" s="2"/>
      <c r="V279" s="6"/>
      <c r="W279" s="2"/>
      <c r="X279" s="2" t="s">
        <v>767</v>
      </c>
      <c r="Y279" s="2"/>
      <c r="Z279" s="155" t="s">
        <v>1122</v>
      </c>
      <c r="AA279" s="158"/>
      <c r="AB279" s="158"/>
      <c r="AC279" s="158"/>
      <c r="AD279" s="154"/>
    </row>
    <row r="280" spans="1:30" ht="15.75" customHeight="1">
      <c r="A280" s="6">
        <v>410009</v>
      </c>
      <c r="B280" s="1" t="s">
        <v>1123</v>
      </c>
      <c r="C280" s="6">
        <v>3</v>
      </c>
      <c r="D280" s="6"/>
      <c r="E280" s="6"/>
      <c r="F280" s="6">
        <v>1</v>
      </c>
      <c r="G280" s="2">
        <v>1.1000000000000001</v>
      </c>
      <c r="H280" s="2"/>
      <c r="I280" s="6"/>
      <c r="J280" s="6"/>
      <c r="K280" s="6">
        <v>3</v>
      </c>
      <c r="L280" s="6"/>
      <c r="M280" s="2" t="s">
        <v>756</v>
      </c>
      <c r="N280" s="61">
        <v>40</v>
      </c>
      <c r="O280" s="2"/>
      <c r="P280" s="52"/>
      <c r="Q280" s="2"/>
      <c r="R280" s="52">
        <v>4001</v>
      </c>
      <c r="S280" s="52">
        <v>0.5</v>
      </c>
      <c r="T280" s="2"/>
      <c r="U280" s="2"/>
      <c r="V280" s="6"/>
      <c r="W280" s="53" t="s">
        <v>764</v>
      </c>
      <c r="X280" s="2" t="s">
        <v>765</v>
      </c>
      <c r="Y280" s="2"/>
      <c r="Z280" s="155" t="s">
        <v>1124</v>
      </c>
      <c r="AA280" s="158"/>
      <c r="AB280" s="158"/>
      <c r="AC280" s="158"/>
      <c r="AD280" s="154"/>
    </row>
    <row r="281" spans="1:30" ht="14.25" customHeight="1">
      <c r="A281" s="6">
        <v>410010</v>
      </c>
      <c r="B281" s="1" t="s">
        <v>1125</v>
      </c>
      <c r="C281" s="6">
        <v>-3</v>
      </c>
      <c r="D281" s="6"/>
      <c r="E281" s="6"/>
      <c r="F281" s="6">
        <v>1</v>
      </c>
      <c r="G281" s="2"/>
      <c r="H281" s="2">
        <v>1.5</v>
      </c>
      <c r="I281" s="6"/>
      <c r="J281" s="6"/>
      <c r="K281" s="6">
        <v>3</v>
      </c>
      <c r="L281" s="6"/>
      <c r="M281" s="2" t="s">
        <v>766</v>
      </c>
      <c r="N281" s="61">
        <v>53</v>
      </c>
      <c r="O281" s="2"/>
      <c r="P281" s="52"/>
      <c r="Q281" s="52"/>
      <c r="R281" s="52"/>
      <c r="S281" s="2"/>
      <c r="T281" s="2"/>
      <c r="U281" s="2"/>
      <c r="V281" s="6"/>
      <c r="W281" s="2"/>
      <c r="X281" s="2" t="s">
        <v>766</v>
      </c>
      <c r="Y281" s="2"/>
      <c r="Z281" s="155" t="s">
        <v>1126</v>
      </c>
      <c r="AA281" s="158"/>
      <c r="AB281" s="158"/>
      <c r="AC281" s="158"/>
      <c r="AD281" s="154"/>
    </row>
    <row r="282" spans="1:30" ht="14.25" customHeight="1">
      <c r="A282" s="6">
        <v>410011</v>
      </c>
      <c r="B282" s="1" t="s">
        <v>1127</v>
      </c>
      <c r="C282" s="6">
        <v>-2</v>
      </c>
      <c r="D282" s="6"/>
      <c r="E282" s="6"/>
      <c r="F282" s="6">
        <v>1</v>
      </c>
      <c r="G282" s="2">
        <v>2.2000000000000002</v>
      </c>
      <c r="H282" s="2"/>
      <c r="I282" s="6"/>
      <c r="J282" s="6"/>
      <c r="K282" s="6">
        <v>3</v>
      </c>
      <c r="L282" s="6"/>
      <c r="M282" s="2" t="s">
        <v>766</v>
      </c>
      <c r="N282" s="61">
        <v>55</v>
      </c>
      <c r="O282" s="2"/>
      <c r="P282" s="52"/>
      <c r="Q282" s="52"/>
      <c r="R282" s="52"/>
      <c r="S282" s="2"/>
      <c r="T282" s="2"/>
      <c r="U282" s="2"/>
      <c r="V282" s="6"/>
      <c r="W282" s="2"/>
      <c r="X282" s="2" t="s">
        <v>766</v>
      </c>
      <c r="Y282" s="2"/>
      <c r="Z282" s="155" t="s">
        <v>1116</v>
      </c>
      <c r="AA282" s="158"/>
      <c r="AB282" s="158"/>
      <c r="AC282" s="158"/>
      <c r="AD282" s="154"/>
    </row>
    <row r="283" spans="1:30" ht="14.25" customHeight="1">
      <c r="A283" s="6">
        <v>410012</v>
      </c>
      <c r="B283" s="1" t="s">
        <v>1128</v>
      </c>
      <c r="C283" s="6">
        <v>-5</v>
      </c>
      <c r="D283" s="6"/>
      <c r="E283" s="6"/>
      <c r="F283" s="6">
        <v>1</v>
      </c>
      <c r="G283" s="2">
        <v>0.9</v>
      </c>
      <c r="H283" s="2"/>
      <c r="I283" s="6"/>
      <c r="J283" s="6"/>
      <c r="K283" s="6">
        <v>4</v>
      </c>
      <c r="L283" s="6"/>
      <c r="M283" s="2" t="s">
        <v>768</v>
      </c>
      <c r="N283" s="61">
        <v>42</v>
      </c>
      <c r="O283" s="2"/>
      <c r="P283" s="52"/>
      <c r="Q283" s="52"/>
      <c r="R283" s="52" t="str">
        <f>"1999,1997"</f>
        <v>1999,1997</v>
      </c>
      <c r="S283" s="2"/>
      <c r="T283" s="2"/>
      <c r="U283" s="2"/>
      <c r="V283" s="6"/>
      <c r="W283" s="2"/>
      <c r="X283" s="2" t="s">
        <v>790</v>
      </c>
      <c r="Y283" s="2"/>
      <c r="Z283" s="155" t="s">
        <v>1129</v>
      </c>
      <c r="AA283" s="158"/>
      <c r="AB283" s="158"/>
      <c r="AC283" s="158"/>
      <c r="AD283" s="154"/>
    </row>
    <row r="284" spans="1:30" ht="14.25" customHeight="1">
      <c r="A284" s="6">
        <v>410013</v>
      </c>
      <c r="B284" s="1" t="s">
        <v>1130</v>
      </c>
      <c r="C284" s="6">
        <v>1</v>
      </c>
      <c r="D284" s="6">
        <v>1</v>
      </c>
      <c r="E284" s="6"/>
      <c r="F284" s="6">
        <v>3</v>
      </c>
      <c r="G284" s="6">
        <v>2.5</v>
      </c>
      <c r="H284" s="6"/>
      <c r="I284" s="6"/>
      <c r="J284" s="6"/>
      <c r="K284" s="6">
        <v>3</v>
      </c>
      <c r="L284" s="6"/>
      <c r="M284" s="2" t="s">
        <v>749</v>
      </c>
      <c r="N284" s="61">
        <v>35</v>
      </c>
      <c r="O284" s="2"/>
      <c r="P284" s="52"/>
      <c r="Q284" s="52"/>
      <c r="R284" s="52"/>
      <c r="S284" s="2"/>
      <c r="T284" s="2"/>
      <c r="U284" s="2"/>
      <c r="V284" s="6"/>
      <c r="W284" s="2"/>
      <c r="X284" s="2" t="s">
        <v>750</v>
      </c>
      <c r="Y284" s="2"/>
      <c r="Z284" s="155" t="s">
        <v>1131</v>
      </c>
      <c r="AA284" s="158"/>
      <c r="AB284" s="158"/>
      <c r="AC284" s="158"/>
      <c r="AD284" s="154"/>
    </row>
    <row r="285" spans="1:30" ht="15.75" customHeight="1">
      <c r="A285" s="6">
        <v>410014</v>
      </c>
      <c r="B285" s="1" t="s">
        <v>1132</v>
      </c>
      <c r="C285" s="6">
        <v>5</v>
      </c>
      <c r="D285" s="52"/>
      <c r="E285" s="52"/>
      <c r="F285" s="52">
        <v>1</v>
      </c>
      <c r="G285" s="52"/>
      <c r="H285" s="52">
        <v>2</v>
      </c>
      <c r="I285" s="52"/>
      <c r="J285" s="52"/>
      <c r="K285" s="6">
        <v>4</v>
      </c>
      <c r="L285" s="52"/>
      <c r="M285" s="52" t="s">
        <v>756</v>
      </c>
      <c r="N285" s="61">
        <v>55</v>
      </c>
      <c r="O285" s="52"/>
      <c r="P285" s="52"/>
      <c r="Q285" s="52"/>
      <c r="R285" s="52" t="str">
        <f>"2002,2004"</f>
        <v>2002,2004</v>
      </c>
      <c r="S285" s="52"/>
      <c r="T285" s="52"/>
      <c r="U285" s="52"/>
      <c r="V285" s="52"/>
      <c r="W285" s="52"/>
      <c r="X285" s="53" t="s">
        <v>758</v>
      </c>
      <c r="Y285" s="52"/>
      <c r="Z285" s="161" t="s">
        <v>1133</v>
      </c>
      <c r="AA285" s="158"/>
      <c r="AB285" s="158"/>
      <c r="AC285" s="158"/>
      <c r="AD285" s="154"/>
    </row>
    <row r="286" spans="1:30" ht="15.75" customHeight="1">
      <c r="A286" s="6">
        <v>410015</v>
      </c>
      <c r="B286" s="1" t="s">
        <v>1134</v>
      </c>
      <c r="C286" s="6">
        <v>1</v>
      </c>
      <c r="D286" s="52">
        <v>1</v>
      </c>
      <c r="E286" s="52"/>
      <c r="F286" s="52">
        <v>5</v>
      </c>
      <c r="G286" s="52"/>
      <c r="H286" s="52">
        <v>1.8</v>
      </c>
      <c r="I286" s="52"/>
      <c r="J286" s="52"/>
      <c r="K286" s="6">
        <v>5</v>
      </c>
      <c r="L286" s="52"/>
      <c r="M286" s="52" t="s">
        <v>756</v>
      </c>
      <c r="N286" s="61">
        <v>60</v>
      </c>
      <c r="O286" s="52"/>
      <c r="P286" s="52"/>
      <c r="Q286" s="52"/>
      <c r="R286" s="52">
        <v>4001</v>
      </c>
      <c r="S286" s="52"/>
      <c r="T286" s="52"/>
      <c r="U286" s="52"/>
      <c r="V286" s="52"/>
      <c r="W286" s="62" t="s">
        <v>764</v>
      </c>
      <c r="X286" s="52" t="s">
        <v>765</v>
      </c>
      <c r="Y286" s="52"/>
      <c r="Z286" s="155" t="s">
        <v>1135</v>
      </c>
      <c r="AA286" s="158"/>
      <c r="AB286" s="158"/>
      <c r="AC286" s="158"/>
      <c r="AD286" s="154"/>
    </row>
    <row r="287" spans="1:30" ht="15.75" customHeight="1">
      <c r="A287" s="6">
        <f t="shared" ref="A287:A302" si="6">A286+1</f>
        <v>410016</v>
      </c>
      <c r="B287" s="1" t="s">
        <v>1136</v>
      </c>
      <c r="C287" s="6">
        <v>-1</v>
      </c>
      <c r="D287" s="52"/>
      <c r="E287" s="52"/>
      <c r="F287" s="52">
        <v>1</v>
      </c>
      <c r="G287" s="52"/>
      <c r="H287" s="52">
        <v>1.5</v>
      </c>
      <c r="I287" s="52"/>
      <c r="J287" s="52"/>
      <c r="K287" s="6">
        <v>3</v>
      </c>
      <c r="L287" s="52"/>
      <c r="M287" s="52" t="s">
        <v>766</v>
      </c>
      <c r="N287" s="61">
        <v>25</v>
      </c>
      <c r="O287" s="52"/>
      <c r="P287" s="52"/>
      <c r="Q287" s="52"/>
      <c r="R287" s="52"/>
      <c r="S287" s="52"/>
      <c r="T287" s="52"/>
      <c r="U287" s="52"/>
      <c r="V287" s="52"/>
      <c r="W287" s="62"/>
      <c r="X287" s="52" t="s">
        <v>766</v>
      </c>
      <c r="Y287" s="52"/>
      <c r="Z287" s="155" t="s">
        <v>1137</v>
      </c>
      <c r="AA287" s="158"/>
      <c r="AB287" s="158"/>
      <c r="AC287" s="158"/>
      <c r="AD287" s="154"/>
    </row>
    <row r="288" spans="1:30" ht="15.75" customHeight="1">
      <c r="A288" s="6">
        <f t="shared" si="6"/>
        <v>410017</v>
      </c>
      <c r="B288" s="1" t="s">
        <v>1138</v>
      </c>
      <c r="C288" s="6">
        <v>-1</v>
      </c>
      <c r="D288" s="52"/>
      <c r="E288" s="52"/>
      <c r="F288" s="52">
        <v>1</v>
      </c>
      <c r="G288" s="52"/>
      <c r="H288" s="52"/>
      <c r="I288" s="52"/>
      <c r="J288" s="52"/>
      <c r="K288" s="6">
        <v>4</v>
      </c>
      <c r="L288" s="52"/>
      <c r="M288" s="52" t="s">
        <v>749</v>
      </c>
      <c r="N288" s="61">
        <v>20</v>
      </c>
      <c r="O288" s="52"/>
      <c r="P288" s="52">
        <v>3001</v>
      </c>
      <c r="Q288" s="52"/>
      <c r="R288" s="52"/>
      <c r="S288" s="52"/>
      <c r="T288" s="52"/>
      <c r="U288" s="52"/>
      <c r="V288" s="52"/>
      <c r="W288" s="62"/>
      <c r="X288" s="52" t="s">
        <v>767</v>
      </c>
      <c r="Y288" s="52"/>
      <c r="Z288" s="155" t="s">
        <v>1139</v>
      </c>
      <c r="AA288" s="158"/>
      <c r="AB288" s="158"/>
      <c r="AC288" s="158"/>
      <c r="AD288" s="154"/>
    </row>
    <row r="289" spans="1:30" ht="15.75" customHeight="1">
      <c r="A289" s="6">
        <f t="shared" si="6"/>
        <v>410018</v>
      </c>
      <c r="B289" s="1" t="s">
        <v>1140</v>
      </c>
      <c r="C289" s="6">
        <v>-2</v>
      </c>
      <c r="D289" s="52"/>
      <c r="E289" s="52"/>
      <c r="F289" s="52">
        <v>1</v>
      </c>
      <c r="G289" s="52"/>
      <c r="H289" s="52">
        <v>2</v>
      </c>
      <c r="I289" s="52"/>
      <c r="J289" s="52"/>
      <c r="K289" s="6">
        <v>4</v>
      </c>
      <c r="L289" s="52"/>
      <c r="M289" s="52" t="s">
        <v>766</v>
      </c>
      <c r="N289" s="61">
        <v>35</v>
      </c>
      <c r="O289" s="52"/>
      <c r="P289" s="52"/>
      <c r="Q289" s="52"/>
      <c r="R289" s="52"/>
      <c r="S289" s="52"/>
      <c r="T289" s="52"/>
      <c r="U289" s="52"/>
      <c r="V289" s="52"/>
      <c r="W289" s="62"/>
      <c r="X289" s="52" t="s">
        <v>766</v>
      </c>
      <c r="Y289" s="52"/>
      <c r="Z289" s="155" t="s">
        <v>1141</v>
      </c>
      <c r="AA289" s="158"/>
      <c r="AB289" s="158"/>
      <c r="AC289" s="158"/>
      <c r="AD289" s="154"/>
    </row>
    <row r="290" spans="1:30" ht="15.75" customHeight="1">
      <c r="A290" s="6">
        <f t="shared" si="6"/>
        <v>410019</v>
      </c>
      <c r="B290" s="1" t="s">
        <v>1142</v>
      </c>
      <c r="C290" s="6">
        <v>3</v>
      </c>
      <c r="D290" s="52"/>
      <c r="E290" s="52"/>
      <c r="F290" s="52">
        <v>1</v>
      </c>
      <c r="G290" s="52"/>
      <c r="H290" s="52">
        <v>1.2</v>
      </c>
      <c r="I290" s="52"/>
      <c r="J290" s="52"/>
      <c r="K290" s="6">
        <v>3</v>
      </c>
      <c r="L290" s="52"/>
      <c r="M290" s="52" t="s">
        <v>756</v>
      </c>
      <c r="N290" s="61">
        <v>30</v>
      </c>
      <c r="O290" s="52"/>
      <c r="P290" s="52"/>
      <c r="Q290" s="52"/>
      <c r="R290" s="52"/>
      <c r="S290" s="52"/>
      <c r="T290" s="52"/>
      <c r="U290" s="52"/>
      <c r="V290" s="52"/>
      <c r="W290" s="62"/>
      <c r="X290" s="53" t="s">
        <v>758</v>
      </c>
      <c r="Y290" s="52"/>
      <c r="Z290" s="155" t="s">
        <v>1143</v>
      </c>
      <c r="AA290" s="158"/>
      <c r="AB290" s="158"/>
      <c r="AC290" s="158"/>
      <c r="AD290" s="154"/>
    </row>
    <row r="291" spans="1:30" ht="15.75" customHeight="1">
      <c r="A291" s="6">
        <f t="shared" si="6"/>
        <v>410020</v>
      </c>
      <c r="B291" s="1" t="s">
        <v>1144</v>
      </c>
      <c r="C291" s="6">
        <v>-1</v>
      </c>
      <c r="D291" s="52"/>
      <c r="E291" s="52"/>
      <c r="F291" s="52">
        <v>1</v>
      </c>
      <c r="G291" s="52"/>
      <c r="H291" s="52"/>
      <c r="I291" s="52"/>
      <c r="J291" s="52"/>
      <c r="K291" s="6">
        <v>3</v>
      </c>
      <c r="L291" s="52"/>
      <c r="M291" s="52" t="s">
        <v>749</v>
      </c>
      <c r="N291" s="61">
        <v>18</v>
      </c>
      <c r="O291" s="52"/>
      <c r="P291" s="52">
        <v>3002</v>
      </c>
      <c r="Q291" s="52"/>
      <c r="R291" s="52"/>
      <c r="S291" s="52"/>
      <c r="T291" s="52"/>
      <c r="U291" s="52"/>
      <c r="V291" s="52"/>
      <c r="W291" s="62"/>
      <c r="X291" s="53" t="s">
        <v>758</v>
      </c>
      <c r="Y291" s="52"/>
      <c r="Z291" s="155" t="s">
        <v>1145</v>
      </c>
      <c r="AA291" s="158"/>
      <c r="AB291" s="158"/>
      <c r="AC291" s="158"/>
      <c r="AD291" s="154"/>
    </row>
    <row r="292" spans="1:30" ht="15.75" customHeight="1">
      <c r="A292" s="6">
        <f t="shared" si="6"/>
        <v>410021</v>
      </c>
      <c r="B292" s="1" t="s">
        <v>1146</v>
      </c>
      <c r="C292" s="6">
        <v>3</v>
      </c>
      <c r="D292" s="52"/>
      <c r="E292" s="52"/>
      <c r="F292" s="52">
        <v>1</v>
      </c>
      <c r="G292" s="52"/>
      <c r="H292" s="52">
        <v>2.2000000000000002</v>
      </c>
      <c r="I292" s="52"/>
      <c r="J292" s="52"/>
      <c r="K292" s="6">
        <v>4</v>
      </c>
      <c r="L292" s="52"/>
      <c r="M292" s="52" t="s">
        <v>756</v>
      </c>
      <c r="N292" s="61">
        <v>40</v>
      </c>
      <c r="O292" s="52"/>
      <c r="P292" s="52"/>
      <c r="Q292" s="52"/>
      <c r="R292" s="52"/>
      <c r="S292" s="52"/>
      <c r="T292" s="52"/>
      <c r="U292" s="52"/>
      <c r="V292" s="52"/>
      <c r="W292" s="62"/>
      <c r="X292" s="53" t="s">
        <v>758</v>
      </c>
      <c r="Y292" s="52"/>
      <c r="Z292" s="155" t="s">
        <v>1147</v>
      </c>
      <c r="AA292" s="158"/>
      <c r="AB292" s="158"/>
      <c r="AC292" s="158"/>
      <c r="AD292" s="154"/>
    </row>
    <row r="293" spans="1:30" ht="15.75" customHeight="1">
      <c r="A293" s="6">
        <f t="shared" si="6"/>
        <v>410022</v>
      </c>
      <c r="B293" s="1" t="s">
        <v>1148</v>
      </c>
      <c r="C293" s="6">
        <v>1</v>
      </c>
      <c r="D293" s="52"/>
      <c r="E293" s="52"/>
      <c r="F293" s="52">
        <v>1</v>
      </c>
      <c r="G293" s="52"/>
      <c r="H293" s="52">
        <v>2.8</v>
      </c>
      <c r="I293" s="52"/>
      <c r="J293" s="52"/>
      <c r="K293" s="6">
        <v>4</v>
      </c>
      <c r="L293" s="52"/>
      <c r="M293" s="52" t="s">
        <v>756</v>
      </c>
      <c r="N293" s="61">
        <v>35</v>
      </c>
      <c r="O293" s="52"/>
      <c r="P293" s="52"/>
      <c r="Q293" s="52"/>
      <c r="R293" s="52"/>
      <c r="S293" s="52"/>
      <c r="T293" s="52"/>
      <c r="U293" s="52"/>
      <c r="V293" s="52"/>
      <c r="W293" s="62"/>
      <c r="X293" s="53" t="s">
        <v>758</v>
      </c>
      <c r="Y293" s="52"/>
      <c r="Z293" s="155" t="s">
        <v>1149</v>
      </c>
      <c r="AA293" s="158"/>
      <c r="AB293" s="158"/>
      <c r="AC293" s="158"/>
      <c r="AD293" s="154"/>
    </row>
    <row r="294" spans="1:30" ht="15.75" customHeight="1">
      <c r="A294" s="6">
        <f t="shared" si="6"/>
        <v>410023</v>
      </c>
      <c r="B294" s="1" t="s">
        <v>1150</v>
      </c>
      <c r="C294" s="6">
        <v>2</v>
      </c>
      <c r="D294" s="52"/>
      <c r="E294" s="52"/>
      <c r="F294" s="52">
        <v>1</v>
      </c>
      <c r="G294" s="52">
        <v>2.2999999999999998</v>
      </c>
      <c r="H294" s="52"/>
      <c r="I294" s="52"/>
      <c r="J294" s="52"/>
      <c r="K294" s="6">
        <v>3</v>
      </c>
      <c r="L294" s="52"/>
      <c r="M294" s="52" t="s">
        <v>749</v>
      </c>
      <c r="N294" s="61">
        <v>32</v>
      </c>
      <c r="O294" s="52"/>
      <c r="P294" s="52"/>
      <c r="Q294" s="52"/>
      <c r="R294" s="52">
        <v>5003</v>
      </c>
      <c r="S294" s="52"/>
      <c r="T294" s="52"/>
      <c r="U294" s="52"/>
      <c r="V294" s="52"/>
      <c r="W294" s="62"/>
      <c r="X294" s="53" t="s">
        <v>758</v>
      </c>
      <c r="Y294" s="52"/>
      <c r="Z294" s="155" t="s">
        <v>1151</v>
      </c>
      <c r="AA294" s="158"/>
      <c r="AB294" s="158"/>
      <c r="AC294" s="158"/>
      <c r="AD294" s="154"/>
    </row>
    <row r="295" spans="1:30" ht="15.75" customHeight="1">
      <c r="A295" s="6">
        <f t="shared" si="6"/>
        <v>410024</v>
      </c>
      <c r="B295" s="1" t="s">
        <v>1152</v>
      </c>
      <c r="C295" s="6">
        <v>3</v>
      </c>
      <c r="D295" s="52"/>
      <c r="E295" s="52"/>
      <c r="F295" s="52">
        <v>1</v>
      </c>
      <c r="G295" s="52"/>
      <c r="H295" s="52">
        <v>2</v>
      </c>
      <c r="I295" s="52"/>
      <c r="J295" s="52"/>
      <c r="K295" s="6">
        <v>5</v>
      </c>
      <c r="L295" s="52"/>
      <c r="M295" s="52" t="s">
        <v>756</v>
      </c>
      <c r="N295" s="61">
        <v>50</v>
      </c>
      <c r="O295" s="52"/>
      <c r="P295" s="52"/>
      <c r="Q295" s="52"/>
      <c r="R295" s="52"/>
      <c r="S295" s="52"/>
      <c r="T295" s="52"/>
      <c r="U295" s="52"/>
      <c r="V295" s="52"/>
      <c r="W295" s="62"/>
      <c r="X295" s="53" t="s">
        <v>758</v>
      </c>
      <c r="Y295" s="52"/>
      <c r="Z295" s="155" t="s">
        <v>1153</v>
      </c>
      <c r="AA295" s="158"/>
      <c r="AB295" s="158"/>
      <c r="AC295" s="158"/>
      <c r="AD295" s="154"/>
    </row>
    <row r="296" spans="1:30" ht="15.75" customHeight="1">
      <c r="A296" s="6">
        <f t="shared" si="6"/>
        <v>410025</v>
      </c>
      <c r="B296" s="1" t="s">
        <v>1154</v>
      </c>
      <c r="C296" s="6">
        <v>4</v>
      </c>
      <c r="D296" s="52"/>
      <c r="E296" s="52"/>
      <c r="F296" s="52">
        <v>1</v>
      </c>
      <c r="G296" s="52">
        <v>1.8</v>
      </c>
      <c r="H296" s="52"/>
      <c r="I296" s="52"/>
      <c r="J296" s="52"/>
      <c r="K296" s="6">
        <v>4</v>
      </c>
      <c r="L296" s="52"/>
      <c r="M296" s="52" t="s">
        <v>749</v>
      </c>
      <c r="N296" s="61">
        <v>45</v>
      </c>
      <c r="O296" s="52"/>
      <c r="P296" s="52"/>
      <c r="Q296" s="52"/>
      <c r="R296" s="52"/>
      <c r="S296" s="52"/>
      <c r="T296" s="52"/>
      <c r="U296" s="52"/>
      <c r="V296" s="52"/>
      <c r="W296" s="62"/>
      <c r="X296" s="52" t="s">
        <v>765</v>
      </c>
      <c r="Y296" s="52"/>
      <c r="Z296" s="155" t="s">
        <v>1155</v>
      </c>
      <c r="AA296" s="158"/>
      <c r="AB296" s="158"/>
      <c r="AC296" s="158"/>
      <c r="AD296" s="154"/>
    </row>
    <row r="297" spans="1:30" ht="15.75" customHeight="1">
      <c r="A297" s="6">
        <f t="shared" si="6"/>
        <v>410026</v>
      </c>
      <c r="B297" s="1" t="s">
        <v>1156</v>
      </c>
      <c r="C297" s="6">
        <v>-1</v>
      </c>
      <c r="D297" s="52"/>
      <c r="E297" s="52"/>
      <c r="F297" s="52">
        <v>1</v>
      </c>
      <c r="G297" s="52"/>
      <c r="H297" s="52"/>
      <c r="I297" s="52"/>
      <c r="J297" s="52"/>
      <c r="K297" s="6">
        <v>3</v>
      </c>
      <c r="L297" s="52"/>
      <c r="M297" s="52" t="s">
        <v>749</v>
      </c>
      <c r="N297" s="61">
        <v>25</v>
      </c>
      <c r="O297" s="52"/>
      <c r="P297" s="52"/>
      <c r="Q297" s="52"/>
      <c r="R297" s="52" t="str">
        <f>"1997,3004"</f>
        <v>1997,3004</v>
      </c>
      <c r="S297" s="52"/>
      <c r="T297" s="52"/>
      <c r="U297" s="52"/>
      <c r="V297" s="52"/>
      <c r="W297" s="62"/>
      <c r="X297" s="52" t="s">
        <v>779</v>
      </c>
      <c r="Y297" s="52"/>
      <c r="Z297" s="155" t="s">
        <v>1157</v>
      </c>
      <c r="AA297" s="158"/>
      <c r="AB297" s="158"/>
      <c r="AC297" s="158"/>
      <c r="AD297" s="154"/>
    </row>
    <row r="298" spans="1:30" ht="15.75" customHeight="1">
      <c r="A298" s="6">
        <f t="shared" si="6"/>
        <v>410027</v>
      </c>
      <c r="B298" s="1" t="s">
        <v>1158</v>
      </c>
      <c r="C298" s="6">
        <v>2</v>
      </c>
      <c r="D298" s="52"/>
      <c r="E298" s="52"/>
      <c r="F298" s="52">
        <v>1</v>
      </c>
      <c r="G298" s="52"/>
      <c r="H298" s="52">
        <v>2.1</v>
      </c>
      <c r="I298" s="52"/>
      <c r="J298" s="52"/>
      <c r="K298" s="6">
        <v>3</v>
      </c>
      <c r="L298" s="52"/>
      <c r="M298" s="52" t="s">
        <v>756</v>
      </c>
      <c r="N298" s="61">
        <v>28</v>
      </c>
      <c r="O298" s="52"/>
      <c r="P298" s="52"/>
      <c r="Q298" s="52"/>
      <c r="R298" s="52">
        <v>4001</v>
      </c>
      <c r="S298" s="52"/>
      <c r="T298" s="52"/>
      <c r="U298" s="52"/>
      <c r="V298" s="52"/>
      <c r="W298" s="62"/>
      <c r="X298" s="52" t="s">
        <v>765</v>
      </c>
      <c r="Y298" s="52"/>
      <c r="Z298" s="155" t="s">
        <v>1159</v>
      </c>
      <c r="AA298" s="158"/>
      <c r="AB298" s="158"/>
      <c r="AC298" s="158"/>
      <c r="AD298" s="154"/>
    </row>
    <row r="299" spans="1:30" ht="15.75" customHeight="1">
      <c r="A299" s="6">
        <f t="shared" si="6"/>
        <v>410028</v>
      </c>
      <c r="B299" s="1" t="s">
        <v>1160</v>
      </c>
      <c r="C299" s="6">
        <v>-1</v>
      </c>
      <c r="D299" s="52"/>
      <c r="E299" s="52"/>
      <c r="F299" s="52">
        <v>1</v>
      </c>
      <c r="G299" s="52">
        <v>3</v>
      </c>
      <c r="H299" s="52"/>
      <c r="I299" s="52"/>
      <c r="J299" s="52"/>
      <c r="K299" s="6">
        <v>4</v>
      </c>
      <c r="L299" s="52"/>
      <c r="M299" s="52" t="s">
        <v>768</v>
      </c>
      <c r="N299" s="61">
        <v>30</v>
      </c>
      <c r="O299" s="52"/>
      <c r="P299" s="52"/>
      <c r="Q299" s="52"/>
      <c r="R299" s="52">
        <v>3002</v>
      </c>
      <c r="S299" s="52"/>
      <c r="T299" s="52"/>
      <c r="U299" s="52"/>
      <c r="V299" s="52"/>
      <c r="W299" s="62"/>
      <c r="X299" s="52" t="s">
        <v>790</v>
      </c>
      <c r="Y299" s="52"/>
      <c r="Z299" s="155" t="s">
        <v>1161</v>
      </c>
      <c r="AA299" s="158"/>
      <c r="AB299" s="158"/>
      <c r="AC299" s="158"/>
      <c r="AD299" s="154"/>
    </row>
    <row r="300" spans="1:30" ht="15.75" customHeight="1">
      <c r="A300" s="6">
        <f t="shared" si="6"/>
        <v>410029</v>
      </c>
      <c r="B300" s="1" t="s">
        <v>1162</v>
      </c>
      <c r="C300" s="6">
        <v>1</v>
      </c>
      <c r="D300" s="52"/>
      <c r="E300" s="52"/>
      <c r="F300" s="52">
        <v>1</v>
      </c>
      <c r="G300" s="52"/>
      <c r="H300" s="52">
        <v>3</v>
      </c>
      <c r="I300" s="52"/>
      <c r="J300" s="52"/>
      <c r="K300" s="6">
        <v>4</v>
      </c>
      <c r="L300" s="52"/>
      <c r="M300" s="52" t="s">
        <v>766</v>
      </c>
      <c r="N300" s="61">
        <v>35</v>
      </c>
      <c r="O300" s="52"/>
      <c r="P300" s="52"/>
      <c r="Q300" s="52"/>
      <c r="R300" s="52">
        <v>5004</v>
      </c>
      <c r="S300" s="52"/>
      <c r="T300" s="52"/>
      <c r="U300" s="52"/>
      <c r="V300" s="52"/>
      <c r="W300" s="62"/>
      <c r="X300" s="53" t="s">
        <v>758</v>
      </c>
      <c r="Y300" s="52"/>
      <c r="Z300" s="155" t="s">
        <v>1163</v>
      </c>
      <c r="AA300" s="158"/>
      <c r="AB300" s="158"/>
      <c r="AC300" s="158"/>
      <c r="AD300" s="154"/>
    </row>
    <row r="301" spans="1:30" ht="15.75" customHeight="1">
      <c r="A301" s="6">
        <f t="shared" si="6"/>
        <v>410030</v>
      </c>
      <c r="B301" s="1" t="s">
        <v>1164</v>
      </c>
      <c r="C301" s="6">
        <v>5</v>
      </c>
      <c r="D301" s="52"/>
      <c r="E301" s="52"/>
      <c r="F301" s="52">
        <v>1</v>
      </c>
      <c r="G301" s="52"/>
      <c r="H301" s="52">
        <v>2.5</v>
      </c>
      <c r="I301" s="52"/>
      <c r="J301" s="52"/>
      <c r="K301" s="6">
        <v>5</v>
      </c>
      <c r="L301" s="52"/>
      <c r="M301" s="52" t="s">
        <v>756</v>
      </c>
      <c r="N301" s="61">
        <v>70</v>
      </c>
      <c r="O301" s="52"/>
      <c r="P301" s="52"/>
      <c r="Q301" s="52"/>
      <c r="R301" s="52"/>
      <c r="S301" s="52"/>
      <c r="T301" s="52"/>
      <c r="U301" s="52"/>
      <c r="V301" s="52"/>
      <c r="W301" s="62"/>
      <c r="X301" s="53" t="s">
        <v>758</v>
      </c>
      <c r="Y301" s="52"/>
      <c r="Z301" s="155" t="s">
        <v>1165</v>
      </c>
      <c r="AA301" s="158"/>
      <c r="AB301" s="158"/>
      <c r="AC301" s="158"/>
      <c r="AD301" s="154"/>
    </row>
    <row r="302" spans="1:30" ht="15.75" customHeight="1">
      <c r="A302" s="6">
        <f t="shared" si="6"/>
        <v>410031</v>
      </c>
      <c r="B302" s="1" t="s">
        <v>1166</v>
      </c>
      <c r="C302" s="6">
        <v>1</v>
      </c>
      <c r="D302" s="52"/>
      <c r="E302" s="52"/>
      <c r="F302" s="52">
        <v>1</v>
      </c>
      <c r="G302" s="52">
        <v>4.8</v>
      </c>
      <c r="H302" s="52"/>
      <c r="I302" s="52"/>
      <c r="J302" s="52"/>
      <c r="K302" s="6">
        <v>5</v>
      </c>
      <c r="L302" s="52"/>
      <c r="M302" s="52" t="s">
        <v>749</v>
      </c>
      <c r="N302" s="61">
        <v>55</v>
      </c>
      <c r="O302" s="52"/>
      <c r="P302" s="52"/>
      <c r="Q302" s="52"/>
      <c r="R302" s="52"/>
      <c r="S302" s="52"/>
      <c r="T302" s="52"/>
      <c r="U302" s="52"/>
      <c r="V302" s="52"/>
      <c r="W302" s="62"/>
      <c r="X302" s="53" t="s">
        <v>758</v>
      </c>
      <c r="Y302" s="52"/>
      <c r="Z302" s="155" t="s">
        <v>1167</v>
      </c>
      <c r="AA302" s="158"/>
      <c r="AB302" s="158"/>
      <c r="AC302" s="158"/>
      <c r="AD302" s="154"/>
    </row>
    <row r="303" spans="1:30" ht="14.25" customHeight="1">
      <c r="C303" s="45"/>
      <c r="D303" s="45"/>
      <c r="E303" s="45"/>
      <c r="F303" s="45"/>
      <c r="G303" s="45"/>
      <c r="H303" s="45"/>
      <c r="I303" s="45"/>
      <c r="J303" s="45"/>
      <c r="K303" s="45"/>
      <c r="L303" s="45"/>
      <c r="N303" s="46"/>
      <c r="P303" s="47"/>
      <c r="Q303" s="47"/>
      <c r="R303" s="47"/>
      <c r="V303" s="45"/>
    </row>
    <row r="304" spans="1:30" ht="14.25" customHeight="1">
      <c r="C304" s="45"/>
      <c r="D304" s="45"/>
      <c r="E304" s="45"/>
      <c r="F304" s="45"/>
      <c r="G304" s="45"/>
      <c r="H304" s="45"/>
      <c r="I304" s="45"/>
      <c r="J304" s="45"/>
      <c r="K304" s="45"/>
      <c r="L304" s="45"/>
      <c r="N304" s="46"/>
      <c r="P304" s="47"/>
      <c r="Q304" s="47"/>
      <c r="R304" s="47"/>
      <c r="V304" s="45"/>
    </row>
    <row r="305" spans="3:22" ht="14.25" customHeight="1">
      <c r="C305" s="45"/>
      <c r="D305" s="45"/>
      <c r="E305" s="45"/>
      <c r="F305" s="45"/>
      <c r="G305" s="45"/>
      <c r="H305" s="45"/>
      <c r="I305" s="45"/>
      <c r="J305" s="45"/>
      <c r="K305" s="45"/>
      <c r="L305" s="45"/>
      <c r="N305" s="46"/>
      <c r="P305" s="47"/>
      <c r="Q305" s="47"/>
      <c r="R305" s="47"/>
      <c r="V305" s="45"/>
    </row>
    <row r="306" spans="3:22" ht="14.25" customHeight="1">
      <c r="C306" s="45"/>
      <c r="D306" s="45"/>
      <c r="E306" s="45"/>
      <c r="F306" s="45"/>
      <c r="G306" s="45"/>
      <c r="H306" s="45"/>
      <c r="I306" s="45"/>
      <c r="J306" s="45"/>
      <c r="K306" s="45"/>
      <c r="L306" s="45"/>
      <c r="N306" s="46"/>
      <c r="P306" s="47"/>
      <c r="Q306" s="47"/>
      <c r="R306" s="47"/>
      <c r="V306" s="45"/>
    </row>
    <row r="307" spans="3:22" ht="14.25" customHeight="1">
      <c r="C307" s="45"/>
      <c r="D307" s="45"/>
      <c r="E307" s="45"/>
      <c r="F307" s="45"/>
      <c r="G307" s="45"/>
      <c r="H307" s="45"/>
      <c r="I307" s="45"/>
      <c r="J307" s="45"/>
      <c r="K307" s="45"/>
      <c r="L307" s="45"/>
      <c r="N307" s="46"/>
      <c r="P307" s="47"/>
      <c r="Q307" s="47"/>
      <c r="R307" s="47"/>
      <c r="V307" s="45"/>
    </row>
    <row r="308" spans="3:22" ht="14.25" customHeight="1">
      <c r="C308" s="45"/>
      <c r="D308" s="45"/>
      <c r="E308" s="45"/>
      <c r="F308" s="45"/>
      <c r="G308" s="45"/>
      <c r="H308" s="45"/>
      <c r="I308" s="45"/>
      <c r="J308" s="45"/>
      <c r="K308" s="45"/>
      <c r="L308" s="45"/>
      <c r="N308" s="46"/>
      <c r="P308" s="47"/>
      <c r="Q308" s="47"/>
      <c r="R308" s="47"/>
      <c r="V308" s="45"/>
    </row>
    <row r="309" spans="3:22" ht="14.25" customHeight="1">
      <c r="C309" s="45"/>
      <c r="D309" s="45"/>
      <c r="E309" s="45"/>
      <c r="F309" s="45"/>
      <c r="G309" s="45"/>
      <c r="H309" s="45"/>
      <c r="I309" s="45"/>
      <c r="J309" s="45"/>
      <c r="K309" s="45"/>
      <c r="L309" s="45"/>
      <c r="N309" s="46"/>
      <c r="P309" s="47"/>
      <c r="Q309" s="47"/>
      <c r="R309" s="47"/>
      <c r="V309" s="45"/>
    </row>
    <row r="310" spans="3:22" ht="14.25" customHeight="1">
      <c r="C310" s="45"/>
      <c r="D310" s="45"/>
      <c r="E310" s="45"/>
      <c r="F310" s="45"/>
      <c r="G310" s="45"/>
      <c r="H310" s="45"/>
      <c r="I310" s="45"/>
      <c r="J310" s="45"/>
      <c r="K310" s="45"/>
      <c r="L310" s="45"/>
      <c r="N310" s="46"/>
      <c r="P310" s="47"/>
      <c r="Q310" s="47"/>
      <c r="R310" s="47"/>
      <c r="V310" s="45"/>
    </row>
    <row r="311" spans="3:22" ht="14.25" customHeight="1">
      <c r="C311" s="45"/>
      <c r="D311" s="45"/>
      <c r="E311" s="45"/>
      <c r="F311" s="45"/>
      <c r="G311" s="45"/>
      <c r="H311" s="45"/>
      <c r="I311" s="45"/>
      <c r="J311" s="45"/>
      <c r="K311" s="45"/>
      <c r="L311" s="45"/>
      <c r="N311" s="46"/>
      <c r="P311" s="47"/>
      <c r="Q311" s="47"/>
      <c r="R311" s="47"/>
      <c r="V311" s="45"/>
    </row>
    <row r="312" spans="3:22" ht="14.25" customHeight="1">
      <c r="C312" s="45"/>
      <c r="D312" s="45"/>
      <c r="E312" s="45"/>
      <c r="F312" s="45"/>
      <c r="G312" s="45"/>
      <c r="H312" s="45"/>
      <c r="I312" s="45"/>
      <c r="J312" s="45"/>
      <c r="K312" s="45"/>
      <c r="L312" s="45"/>
      <c r="N312" s="46"/>
      <c r="P312" s="47"/>
      <c r="Q312" s="47"/>
      <c r="R312" s="47"/>
      <c r="V312" s="45"/>
    </row>
    <row r="313" spans="3:22" ht="14.25" customHeight="1">
      <c r="C313" s="45"/>
      <c r="D313" s="45"/>
      <c r="E313" s="45"/>
      <c r="F313" s="45"/>
      <c r="G313" s="45"/>
      <c r="H313" s="45"/>
      <c r="I313" s="45"/>
      <c r="J313" s="45"/>
      <c r="K313" s="45"/>
      <c r="L313" s="45"/>
      <c r="N313" s="46"/>
      <c r="P313" s="47"/>
      <c r="Q313" s="47"/>
      <c r="R313" s="47"/>
      <c r="V313" s="45"/>
    </row>
    <row r="314" spans="3:22" ht="14.25" customHeight="1">
      <c r="C314" s="45"/>
      <c r="D314" s="45"/>
      <c r="E314" s="45"/>
      <c r="F314" s="45"/>
      <c r="G314" s="45"/>
      <c r="H314" s="45"/>
      <c r="I314" s="45"/>
      <c r="J314" s="45"/>
      <c r="K314" s="45"/>
      <c r="L314" s="45"/>
      <c r="N314" s="46"/>
      <c r="P314" s="47"/>
      <c r="Q314" s="47"/>
      <c r="R314" s="47"/>
      <c r="V314" s="45"/>
    </row>
    <row r="315" spans="3:22" ht="14.25" customHeight="1">
      <c r="C315" s="45"/>
      <c r="D315" s="45"/>
      <c r="E315" s="45"/>
      <c r="F315" s="45"/>
      <c r="G315" s="45"/>
      <c r="H315" s="45"/>
      <c r="I315" s="45"/>
      <c r="J315" s="45"/>
      <c r="K315" s="45"/>
      <c r="L315" s="45"/>
      <c r="N315" s="46"/>
      <c r="P315" s="47"/>
      <c r="Q315" s="47"/>
      <c r="R315" s="47"/>
      <c r="V315" s="45"/>
    </row>
    <row r="316" spans="3:22" ht="14.25" customHeight="1">
      <c r="C316" s="45"/>
      <c r="D316" s="45"/>
      <c r="E316" s="45"/>
      <c r="F316" s="45"/>
      <c r="G316" s="45"/>
      <c r="H316" s="45"/>
      <c r="I316" s="45"/>
      <c r="J316" s="45"/>
      <c r="K316" s="45"/>
      <c r="L316" s="45"/>
      <c r="N316" s="46"/>
      <c r="P316" s="47"/>
      <c r="Q316" s="47"/>
      <c r="R316" s="47"/>
      <c r="V316" s="45"/>
    </row>
    <row r="317" spans="3:22" ht="14.25" customHeight="1">
      <c r="C317" s="45"/>
      <c r="D317" s="45"/>
      <c r="E317" s="45"/>
      <c r="F317" s="45"/>
      <c r="G317" s="45"/>
      <c r="H317" s="45"/>
      <c r="I317" s="45"/>
      <c r="J317" s="45"/>
      <c r="K317" s="45"/>
      <c r="L317" s="45"/>
      <c r="N317" s="46"/>
      <c r="P317" s="47"/>
      <c r="Q317" s="47"/>
      <c r="R317" s="47"/>
      <c r="V317" s="45"/>
    </row>
    <row r="318" spans="3:22" ht="14.25" customHeight="1">
      <c r="C318" s="45"/>
      <c r="D318" s="45"/>
      <c r="E318" s="45"/>
      <c r="F318" s="45"/>
      <c r="G318" s="45"/>
      <c r="H318" s="45"/>
      <c r="I318" s="45"/>
      <c r="J318" s="45"/>
      <c r="K318" s="45"/>
      <c r="L318" s="45"/>
      <c r="N318" s="46"/>
      <c r="P318" s="47"/>
      <c r="Q318" s="47"/>
      <c r="R318" s="47"/>
      <c r="V318" s="45"/>
    </row>
    <row r="319" spans="3:22" ht="14.25" customHeight="1">
      <c r="C319" s="45"/>
      <c r="D319" s="45"/>
      <c r="E319" s="45"/>
      <c r="F319" s="45"/>
      <c r="G319" s="45"/>
      <c r="H319" s="45"/>
      <c r="I319" s="45"/>
      <c r="J319" s="45"/>
      <c r="K319" s="45"/>
      <c r="L319" s="45"/>
      <c r="N319" s="46"/>
      <c r="P319" s="47"/>
      <c r="Q319" s="47"/>
      <c r="R319" s="47"/>
      <c r="V319" s="45"/>
    </row>
    <row r="320" spans="3:22" ht="14.25" customHeight="1">
      <c r="C320" s="45"/>
      <c r="D320" s="45"/>
      <c r="E320" s="45"/>
      <c r="F320" s="45"/>
      <c r="G320" s="45"/>
      <c r="H320" s="45"/>
      <c r="I320" s="45"/>
      <c r="J320" s="45"/>
      <c r="K320" s="45"/>
      <c r="L320" s="45"/>
      <c r="N320" s="46"/>
      <c r="P320" s="47"/>
      <c r="Q320" s="47"/>
      <c r="R320" s="47"/>
      <c r="V320" s="45"/>
    </row>
    <row r="321" spans="3:22" ht="14.25" customHeight="1">
      <c r="C321" s="45"/>
      <c r="D321" s="45"/>
      <c r="E321" s="45"/>
      <c r="F321" s="45"/>
      <c r="G321" s="45"/>
      <c r="H321" s="45"/>
      <c r="I321" s="45"/>
      <c r="J321" s="45"/>
      <c r="K321" s="45"/>
      <c r="L321" s="45"/>
      <c r="N321" s="46"/>
      <c r="P321" s="47"/>
      <c r="Q321" s="47"/>
      <c r="R321" s="47"/>
      <c r="V321" s="45"/>
    </row>
    <row r="322" spans="3:22" ht="14.25" customHeight="1">
      <c r="C322" s="45"/>
      <c r="D322" s="45"/>
      <c r="E322" s="45"/>
      <c r="F322" s="45"/>
      <c r="G322" s="45"/>
      <c r="H322" s="45"/>
      <c r="I322" s="45"/>
      <c r="J322" s="45"/>
      <c r="K322" s="45"/>
      <c r="L322" s="45"/>
      <c r="N322" s="46"/>
      <c r="P322" s="47"/>
      <c r="Q322" s="47"/>
      <c r="R322" s="47"/>
      <c r="V322" s="45"/>
    </row>
    <row r="323" spans="3:22" ht="14.25" customHeight="1">
      <c r="C323" s="45"/>
      <c r="D323" s="45"/>
      <c r="E323" s="45"/>
      <c r="F323" s="45"/>
      <c r="G323" s="45"/>
      <c r="H323" s="45"/>
      <c r="I323" s="45"/>
      <c r="J323" s="45"/>
      <c r="K323" s="45"/>
      <c r="L323" s="45"/>
      <c r="N323" s="46"/>
      <c r="P323" s="47"/>
      <c r="Q323" s="47"/>
      <c r="R323" s="47"/>
      <c r="V323" s="45"/>
    </row>
    <row r="324" spans="3:22" ht="14.25" customHeight="1">
      <c r="C324" s="45"/>
      <c r="D324" s="45"/>
      <c r="E324" s="45"/>
      <c r="F324" s="45"/>
      <c r="G324" s="45"/>
      <c r="H324" s="45"/>
      <c r="I324" s="45"/>
      <c r="J324" s="45"/>
      <c r="K324" s="45"/>
      <c r="L324" s="45"/>
      <c r="N324" s="46"/>
      <c r="P324" s="47"/>
      <c r="Q324" s="47"/>
      <c r="R324" s="47"/>
      <c r="V324" s="45"/>
    </row>
    <row r="325" spans="3:22" ht="14.25" customHeight="1">
      <c r="C325" s="45"/>
      <c r="D325" s="45"/>
      <c r="E325" s="45"/>
      <c r="F325" s="45"/>
      <c r="G325" s="45"/>
      <c r="H325" s="45"/>
      <c r="I325" s="45"/>
      <c r="J325" s="45"/>
      <c r="K325" s="45"/>
      <c r="L325" s="45"/>
      <c r="N325" s="46"/>
      <c r="P325" s="47"/>
      <c r="Q325" s="47"/>
      <c r="R325" s="47"/>
      <c r="V325" s="45"/>
    </row>
    <row r="326" spans="3:22" ht="14.25" customHeight="1">
      <c r="C326" s="45"/>
      <c r="D326" s="45"/>
      <c r="E326" s="45"/>
      <c r="F326" s="45"/>
      <c r="G326" s="45"/>
      <c r="H326" s="45"/>
      <c r="I326" s="45"/>
      <c r="J326" s="45"/>
      <c r="K326" s="45"/>
      <c r="L326" s="45"/>
      <c r="N326" s="46"/>
      <c r="P326" s="47"/>
      <c r="Q326" s="47"/>
      <c r="R326" s="47"/>
      <c r="V326" s="45"/>
    </row>
    <row r="327" spans="3:22" ht="14.25" customHeight="1">
      <c r="C327" s="45"/>
      <c r="D327" s="45"/>
      <c r="E327" s="45"/>
      <c r="F327" s="45"/>
      <c r="G327" s="45"/>
      <c r="H327" s="45"/>
      <c r="I327" s="45"/>
      <c r="J327" s="45"/>
      <c r="K327" s="45"/>
      <c r="L327" s="45"/>
      <c r="N327" s="46"/>
      <c r="P327" s="47"/>
      <c r="Q327" s="47"/>
      <c r="R327" s="47"/>
      <c r="V327" s="45"/>
    </row>
    <row r="328" spans="3:22" ht="14.25" customHeight="1">
      <c r="C328" s="45"/>
      <c r="D328" s="45"/>
      <c r="E328" s="45"/>
      <c r="F328" s="45"/>
      <c r="G328" s="45"/>
      <c r="H328" s="45"/>
      <c r="I328" s="45"/>
      <c r="J328" s="45"/>
      <c r="K328" s="45"/>
      <c r="L328" s="45"/>
      <c r="N328" s="46"/>
      <c r="P328" s="47"/>
      <c r="Q328" s="47"/>
      <c r="R328" s="47"/>
      <c r="V328" s="45"/>
    </row>
    <row r="329" spans="3:22" ht="14.25" customHeight="1">
      <c r="C329" s="45"/>
      <c r="D329" s="45"/>
      <c r="E329" s="45"/>
      <c r="F329" s="45"/>
      <c r="G329" s="45"/>
      <c r="H329" s="45"/>
      <c r="I329" s="45"/>
      <c r="J329" s="45"/>
      <c r="K329" s="45"/>
      <c r="L329" s="45"/>
      <c r="N329" s="46"/>
      <c r="P329" s="47"/>
      <c r="Q329" s="47"/>
      <c r="R329" s="47"/>
      <c r="V329" s="45"/>
    </row>
    <row r="330" spans="3:22" ht="14.25" customHeight="1">
      <c r="C330" s="45"/>
      <c r="D330" s="45"/>
      <c r="E330" s="45"/>
      <c r="F330" s="45"/>
      <c r="G330" s="45"/>
      <c r="H330" s="45"/>
      <c r="I330" s="45"/>
      <c r="J330" s="45"/>
      <c r="K330" s="45"/>
      <c r="L330" s="45"/>
      <c r="N330" s="46"/>
      <c r="P330" s="47"/>
      <c r="Q330" s="47"/>
      <c r="R330" s="47"/>
      <c r="V330" s="45"/>
    </row>
    <row r="331" spans="3:22" ht="14.25" customHeight="1">
      <c r="C331" s="45"/>
      <c r="D331" s="45"/>
      <c r="E331" s="45"/>
      <c r="F331" s="45"/>
      <c r="G331" s="45"/>
      <c r="H331" s="45"/>
      <c r="I331" s="45"/>
      <c r="J331" s="45"/>
      <c r="K331" s="45"/>
      <c r="L331" s="45"/>
      <c r="N331" s="46"/>
      <c r="P331" s="47"/>
      <c r="Q331" s="47"/>
      <c r="R331" s="47"/>
      <c r="V331" s="45"/>
    </row>
    <row r="332" spans="3:22" ht="14.25" customHeight="1">
      <c r="C332" s="45"/>
      <c r="D332" s="45"/>
      <c r="E332" s="45"/>
      <c r="F332" s="45"/>
      <c r="G332" s="45"/>
      <c r="H332" s="45"/>
      <c r="I332" s="45"/>
      <c r="J332" s="45"/>
      <c r="K332" s="45"/>
      <c r="L332" s="45"/>
      <c r="N332" s="46"/>
      <c r="P332" s="47"/>
      <c r="Q332" s="47"/>
      <c r="R332" s="47"/>
      <c r="V332" s="45"/>
    </row>
    <row r="333" spans="3:22" ht="14.25" customHeight="1">
      <c r="C333" s="45"/>
      <c r="D333" s="45"/>
      <c r="E333" s="45"/>
      <c r="F333" s="45"/>
      <c r="G333" s="45"/>
      <c r="H333" s="45"/>
      <c r="I333" s="45"/>
      <c r="J333" s="45"/>
      <c r="K333" s="45"/>
      <c r="L333" s="45"/>
      <c r="N333" s="46"/>
      <c r="P333" s="47"/>
      <c r="Q333" s="47"/>
      <c r="R333" s="47"/>
      <c r="V333" s="45"/>
    </row>
    <row r="334" spans="3:22" ht="14.25" customHeight="1">
      <c r="C334" s="45"/>
      <c r="D334" s="45"/>
      <c r="E334" s="45"/>
      <c r="F334" s="45"/>
      <c r="G334" s="45"/>
      <c r="H334" s="45"/>
      <c r="I334" s="45"/>
      <c r="J334" s="45"/>
      <c r="K334" s="45"/>
      <c r="L334" s="45"/>
      <c r="N334" s="46"/>
      <c r="P334" s="47"/>
      <c r="Q334" s="47"/>
      <c r="R334" s="47"/>
      <c r="V334" s="45"/>
    </row>
    <row r="335" spans="3:22" ht="14.25" customHeight="1">
      <c r="C335" s="45"/>
      <c r="D335" s="45"/>
      <c r="E335" s="45"/>
      <c r="F335" s="45"/>
      <c r="G335" s="45"/>
      <c r="H335" s="45"/>
      <c r="I335" s="45"/>
      <c r="J335" s="45"/>
      <c r="K335" s="45"/>
      <c r="L335" s="45"/>
      <c r="N335" s="46"/>
      <c r="P335" s="47"/>
      <c r="Q335" s="47"/>
      <c r="R335" s="47"/>
      <c r="V335" s="45"/>
    </row>
    <row r="336" spans="3:22" ht="14.25" customHeight="1">
      <c r="C336" s="45"/>
      <c r="D336" s="45"/>
      <c r="E336" s="45"/>
      <c r="F336" s="45"/>
      <c r="G336" s="45"/>
      <c r="H336" s="45"/>
      <c r="I336" s="45"/>
      <c r="J336" s="45"/>
      <c r="K336" s="45"/>
      <c r="L336" s="45"/>
      <c r="N336" s="46"/>
      <c r="P336" s="47"/>
      <c r="Q336" s="47"/>
      <c r="R336" s="47"/>
      <c r="V336" s="45"/>
    </row>
    <row r="337" spans="3:22" ht="14.25" customHeight="1">
      <c r="C337" s="45"/>
      <c r="D337" s="45"/>
      <c r="E337" s="45"/>
      <c r="F337" s="45"/>
      <c r="G337" s="45"/>
      <c r="H337" s="45"/>
      <c r="I337" s="45"/>
      <c r="J337" s="45"/>
      <c r="K337" s="45"/>
      <c r="L337" s="45"/>
      <c r="N337" s="46"/>
      <c r="P337" s="47"/>
      <c r="Q337" s="47"/>
      <c r="R337" s="47"/>
      <c r="V337" s="45"/>
    </row>
    <row r="338" spans="3:22" ht="14.25" customHeight="1">
      <c r="C338" s="45"/>
      <c r="D338" s="45"/>
      <c r="E338" s="45"/>
      <c r="F338" s="45"/>
      <c r="G338" s="45"/>
      <c r="H338" s="45"/>
      <c r="I338" s="45"/>
      <c r="J338" s="45"/>
      <c r="K338" s="45"/>
      <c r="L338" s="45"/>
      <c r="N338" s="46"/>
      <c r="P338" s="47"/>
      <c r="Q338" s="47"/>
      <c r="R338" s="47"/>
      <c r="V338" s="45"/>
    </row>
    <row r="339" spans="3:22" ht="14.25" customHeight="1">
      <c r="C339" s="45"/>
      <c r="D339" s="45"/>
      <c r="E339" s="45"/>
      <c r="F339" s="45"/>
      <c r="G339" s="45"/>
      <c r="H339" s="45"/>
      <c r="I339" s="45"/>
      <c r="J339" s="45"/>
      <c r="K339" s="45"/>
      <c r="L339" s="45"/>
      <c r="N339" s="46"/>
      <c r="P339" s="47"/>
      <c r="Q339" s="47"/>
      <c r="R339" s="47"/>
      <c r="V339" s="45"/>
    </row>
    <row r="340" spans="3:22" ht="14.25" customHeight="1">
      <c r="C340" s="45"/>
      <c r="D340" s="45"/>
      <c r="E340" s="45"/>
      <c r="F340" s="45"/>
      <c r="G340" s="45"/>
      <c r="H340" s="45"/>
      <c r="I340" s="45"/>
      <c r="J340" s="45"/>
      <c r="K340" s="45"/>
      <c r="L340" s="45"/>
      <c r="N340" s="46"/>
      <c r="P340" s="47"/>
      <c r="Q340" s="47"/>
      <c r="R340" s="47"/>
      <c r="V340" s="45"/>
    </row>
    <row r="341" spans="3:22" ht="14.25" customHeight="1">
      <c r="C341" s="45"/>
      <c r="D341" s="45"/>
      <c r="E341" s="45"/>
      <c r="F341" s="45"/>
      <c r="G341" s="45"/>
      <c r="H341" s="45"/>
      <c r="I341" s="45"/>
      <c r="J341" s="45"/>
      <c r="K341" s="45"/>
      <c r="L341" s="45"/>
      <c r="N341" s="46"/>
      <c r="P341" s="47"/>
      <c r="Q341" s="47"/>
      <c r="R341" s="47"/>
      <c r="V341" s="45"/>
    </row>
    <row r="342" spans="3:22" ht="14.25" customHeight="1">
      <c r="C342" s="45"/>
      <c r="D342" s="45"/>
      <c r="E342" s="45"/>
      <c r="F342" s="45"/>
      <c r="G342" s="45"/>
      <c r="H342" s="45"/>
      <c r="I342" s="45"/>
      <c r="J342" s="45"/>
      <c r="K342" s="45"/>
      <c r="L342" s="45"/>
      <c r="N342" s="46"/>
      <c r="P342" s="47"/>
      <c r="Q342" s="47"/>
      <c r="R342" s="47"/>
      <c r="V342" s="45"/>
    </row>
    <row r="343" spans="3:22" ht="14.25" customHeight="1">
      <c r="C343" s="45"/>
      <c r="D343" s="45"/>
      <c r="E343" s="45"/>
      <c r="F343" s="45"/>
      <c r="G343" s="45"/>
      <c r="H343" s="45"/>
      <c r="I343" s="45"/>
      <c r="J343" s="45"/>
      <c r="K343" s="45"/>
      <c r="L343" s="45"/>
      <c r="N343" s="46"/>
      <c r="P343" s="47"/>
      <c r="Q343" s="47"/>
      <c r="R343" s="47"/>
      <c r="V343" s="45"/>
    </row>
    <row r="344" spans="3:22" ht="14.25" customHeight="1">
      <c r="C344" s="45"/>
      <c r="D344" s="45"/>
      <c r="E344" s="45"/>
      <c r="F344" s="45"/>
      <c r="G344" s="45"/>
      <c r="H344" s="45"/>
      <c r="I344" s="45"/>
      <c r="J344" s="45"/>
      <c r="K344" s="45"/>
      <c r="L344" s="45"/>
      <c r="N344" s="46"/>
      <c r="P344" s="47"/>
      <c r="Q344" s="47"/>
      <c r="R344" s="47"/>
      <c r="V344" s="45"/>
    </row>
    <row r="345" spans="3:22" ht="14.25" customHeight="1">
      <c r="C345" s="45"/>
      <c r="D345" s="45"/>
      <c r="E345" s="45"/>
      <c r="F345" s="45"/>
      <c r="G345" s="45"/>
      <c r="H345" s="45"/>
      <c r="I345" s="45"/>
      <c r="J345" s="45"/>
      <c r="K345" s="45"/>
      <c r="L345" s="45"/>
      <c r="N345" s="46"/>
      <c r="P345" s="47"/>
      <c r="Q345" s="47"/>
      <c r="R345" s="47"/>
      <c r="V345" s="45"/>
    </row>
    <row r="346" spans="3:22" ht="14.25" customHeight="1">
      <c r="C346" s="45"/>
      <c r="D346" s="45"/>
      <c r="E346" s="45"/>
      <c r="F346" s="45"/>
      <c r="G346" s="45"/>
      <c r="H346" s="45"/>
      <c r="I346" s="45"/>
      <c r="J346" s="45"/>
      <c r="K346" s="45"/>
      <c r="L346" s="45"/>
      <c r="N346" s="46"/>
      <c r="P346" s="47"/>
      <c r="Q346" s="47"/>
      <c r="R346" s="47"/>
      <c r="V346" s="45"/>
    </row>
    <row r="347" spans="3:22" ht="14.25" customHeight="1">
      <c r="C347" s="45"/>
      <c r="D347" s="45"/>
      <c r="E347" s="45"/>
      <c r="F347" s="45"/>
      <c r="G347" s="45"/>
      <c r="H347" s="45"/>
      <c r="I347" s="45"/>
      <c r="J347" s="45"/>
      <c r="K347" s="45"/>
      <c r="L347" s="45"/>
      <c r="N347" s="46"/>
      <c r="P347" s="47"/>
      <c r="Q347" s="47"/>
      <c r="R347" s="47"/>
      <c r="V347" s="45"/>
    </row>
    <row r="348" spans="3:22" ht="14.25" customHeight="1">
      <c r="C348" s="45"/>
      <c r="D348" s="45"/>
      <c r="E348" s="45"/>
      <c r="F348" s="45"/>
      <c r="G348" s="45"/>
      <c r="H348" s="45"/>
      <c r="I348" s="45"/>
      <c r="J348" s="45"/>
      <c r="K348" s="45"/>
      <c r="L348" s="45"/>
      <c r="N348" s="46"/>
      <c r="P348" s="47"/>
      <c r="Q348" s="47"/>
      <c r="R348" s="47"/>
      <c r="V348" s="45"/>
    </row>
    <row r="349" spans="3:22" ht="14.25" customHeight="1">
      <c r="C349" s="45"/>
      <c r="D349" s="45"/>
      <c r="E349" s="45"/>
      <c r="F349" s="45"/>
      <c r="G349" s="45"/>
      <c r="H349" s="45"/>
      <c r="I349" s="45"/>
      <c r="J349" s="45"/>
      <c r="K349" s="45"/>
      <c r="L349" s="45"/>
      <c r="N349" s="46"/>
      <c r="P349" s="47"/>
      <c r="Q349" s="47"/>
      <c r="R349" s="47"/>
      <c r="V349" s="45"/>
    </row>
    <row r="350" spans="3:22" ht="14.25" customHeight="1">
      <c r="C350" s="45"/>
      <c r="D350" s="45"/>
      <c r="E350" s="45"/>
      <c r="F350" s="45"/>
      <c r="G350" s="45"/>
      <c r="H350" s="45"/>
      <c r="I350" s="45"/>
      <c r="J350" s="45"/>
      <c r="K350" s="45"/>
      <c r="L350" s="45"/>
      <c r="N350" s="46"/>
      <c r="P350" s="47"/>
      <c r="Q350" s="47"/>
      <c r="R350" s="47"/>
      <c r="V350" s="45"/>
    </row>
    <row r="351" spans="3:22" ht="14.25" customHeight="1">
      <c r="C351" s="45"/>
      <c r="D351" s="45"/>
      <c r="E351" s="45"/>
      <c r="F351" s="45"/>
      <c r="G351" s="45"/>
      <c r="H351" s="45"/>
      <c r="I351" s="45"/>
      <c r="J351" s="45"/>
      <c r="K351" s="45"/>
      <c r="L351" s="45"/>
      <c r="N351" s="46"/>
      <c r="P351" s="47"/>
      <c r="Q351" s="47"/>
      <c r="R351" s="47"/>
      <c r="V351" s="45"/>
    </row>
    <row r="352" spans="3:22" ht="14.25" customHeight="1">
      <c r="C352" s="45"/>
      <c r="D352" s="45"/>
      <c r="E352" s="45"/>
      <c r="F352" s="45"/>
      <c r="G352" s="45"/>
      <c r="H352" s="45"/>
      <c r="I352" s="45"/>
      <c r="J352" s="45"/>
      <c r="K352" s="45"/>
      <c r="L352" s="45"/>
      <c r="N352" s="46"/>
      <c r="P352" s="47"/>
      <c r="Q352" s="47"/>
      <c r="R352" s="47"/>
      <c r="V352" s="45"/>
    </row>
    <row r="353" spans="3:22" ht="14.25" customHeight="1">
      <c r="C353" s="45"/>
      <c r="D353" s="45"/>
      <c r="E353" s="45"/>
      <c r="F353" s="45"/>
      <c r="G353" s="45"/>
      <c r="H353" s="45"/>
      <c r="I353" s="45"/>
      <c r="J353" s="45"/>
      <c r="K353" s="45"/>
      <c r="L353" s="45"/>
      <c r="N353" s="46"/>
      <c r="P353" s="47"/>
      <c r="Q353" s="47"/>
      <c r="R353" s="47"/>
      <c r="V353" s="45"/>
    </row>
    <row r="354" spans="3:22" ht="14.25" customHeight="1">
      <c r="C354" s="45"/>
      <c r="D354" s="45"/>
      <c r="E354" s="45"/>
      <c r="F354" s="45"/>
      <c r="G354" s="45"/>
      <c r="H354" s="45"/>
      <c r="I354" s="45"/>
      <c r="J354" s="45"/>
      <c r="K354" s="45"/>
      <c r="L354" s="45"/>
      <c r="N354" s="46"/>
      <c r="P354" s="47"/>
      <c r="Q354" s="47"/>
      <c r="R354" s="47"/>
      <c r="V354" s="45"/>
    </row>
    <row r="355" spans="3:22" ht="14.25" customHeight="1">
      <c r="C355" s="45"/>
      <c r="D355" s="45"/>
      <c r="E355" s="45"/>
      <c r="F355" s="45"/>
      <c r="G355" s="45"/>
      <c r="H355" s="45"/>
      <c r="I355" s="45"/>
      <c r="J355" s="45"/>
      <c r="K355" s="45"/>
      <c r="L355" s="45"/>
      <c r="N355" s="46"/>
      <c r="P355" s="47"/>
      <c r="Q355" s="47"/>
      <c r="R355" s="47"/>
      <c r="V355" s="45"/>
    </row>
    <row r="356" spans="3:22" ht="14.25" customHeight="1">
      <c r="C356" s="45"/>
      <c r="D356" s="45"/>
      <c r="E356" s="45"/>
      <c r="F356" s="45"/>
      <c r="G356" s="45"/>
      <c r="H356" s="45"/>
      <c r="I356" s="45"/>
      <c r="J356" s="45"/>
      <c r="K356" s="45"/>
      <c r="L356" s="45"/>
      <c r="N356" s="46"/>
      <c r="P356" s="47"/>
      <c r="Q356" s="47"/>
      <c r="R356" s="47"/>
      <c r="V356" s="45"/>
    </row>
    <row r="357" spans="3:22" ht="14.25" customHeight="1">
      <c r="C357" s="45"/>
      <c r="D357" s="45"/>
      <c r="E357" s="45"/>
      <c r="F357" s="45"/>
      <c r="G357" s="45"/>
      <c r="H357" s="45"/>
      <c r="I357" s="45"/>
      <c r="J357" s="45"/>
      <c r="K357" s="45"/>
      <c r="L357" s="45"/>
      <c r="N357" s="46"/>
      <c r="P357" s="47"/>
      <c r="Q357" s="47"/>
      <c r="R357" s="47"/>
      <c r="V357" s="45"/>
    </row>
    <row r="358" spans="3:22" ht="14.25" customHeight="1">
      <c r="C358" s="45"/>
      <c r="D358" s="45"/>
      <c r="E358" s="45"/>
      <c r="F358" s="45"/>
      <c r="G358" s="45"/>
      <c r="H358" s="45"/>
      <c r="I358" s="45"/>
      <c r="J358" s="45"/>
      <c r="K358" s="45"/>
      <c r="L358" s="45"/>
      <c r="N358" s="46"/>
      <c r="P358" s="47"/>
      <c r="Q358" s="47"/>
      <c r="R358" s="47"/>
      <c r="V358" s="45"/>
    </row>
    <row r="359" spans="3:22" ht="14.25" customHeight="1">
      <c r="C359" s="45"/>
      <c r="D359" s="45"/>
      <c r="E359" s="45"/>
      <c r="F359" s="45"/>
      <c r="G359" s="45"/>
      <c r="H359" s="45"/>
      <c r="I359" s="45"/>
      <c r="J359" s="45"/>
      <c r="K359" s="45"/>
      <c r="L359" s="45"/>
      <c r="N359" s="46"/>
      <c r="P359" s="47"/>
      <c r="Q359" s="47"/>
      <c r="R359" s="47"/>
      <c r="V359" s="45"/>
    </row>
    <row r="360" spans="3:22" ht="14.25" customHeight="1">
      <c r="C360" s="45"/>
      <c r="D360" s="45"/>
      <c r="E360" s="45"/>
      <c r="F360" s="45"/>
      <c r="G360" s="45"/>
      <c r="H360" s="45"/>
      <c r="I360" s="45"/>
      <c r="J360" s="45"/>
      <c r="K360" s="45"/>
      <c r="L360" s="45"/>
      <c r="N360" s="46"/>
      <c r="P360" s="47"/>
      <c r="Q360" s="47"/>
      <c r="R360" s="47"/>
      <c r="V360" s="45"/>
    </row>
    <row r="361" spans="3:22" ht="14.25" customHeight="1">
      <c r="C361" s="45"/>
      <c r="D361" s="45"/>
      <c r="E361" s="45"/>
      <c r="F361" s="45"/>
      <c r="G361" s="45"/>
      <c r="H361" s="45"/>
      <c r="I361" s="45"/>
      <c r="J361" s="45"/>
      <c r="K361" s="45"/>
      <c r="L361" s="45"/>
      <c r="N361" s="46"/>
      <c r="P361" s="47"/>
      <c r="Q361" s="47"/>
      <c r="R361" s="47"/>
      <c r="V361" s="45"/>
    </row>
    <row r="362" spans="3:22" ht="14.25" customHeight="1">
      <c r="C362" s="45"/>
      <c r="D362" s="45"/>
      <c r="E362" s="45"/>
      <c r="F362" s="45"/>
      <c r="G362" s="45"/>
      <c r="H362" s="45"/>
      <c r="I362" s="45"/>
      <c r="J362" s="45"/>
      <c r="K362" s="45"/>
      <c r="L362" s="45"/>
      <c r="N362" s="46"/>
      <c r="P362" s="47"/>
      <c r="Q362" s="47"/>
      <c r="R362" s="47"/>
      <c r="V362" s="45"/>
    </row>
    <row r="363" spans="3:22" ht="14.25" customHeight="1">
      <c r="C363" s="45"/>
      <c r="D363" s="45"/>
      <c r="E363" s="45"/>
      <c r="F363" s="45"/>
      <c r="G363" s="45"/>
      <c r="H363" s="45"/>
      <c r="I363" s="45"/>
      <c r="J363" s="45"/>
      <c r="K363" s="45"/>
      <c r="L363" s="45"/>
      <c r="N363" s="46"/>
      <c r="P363" s="47"/>
      <c r="Q363" s="47"/>
      <c r="R363" s="47"/>
      <c r="V363" s="45"/>
    </row>
    <row r="364" spans="3:22" ht="14.25" customHeight="1">
      <c r="C364" s="45"/>
      <c r="D364" s="45"/>
      <c r="E364" s="45"/>
      <c r="F364" s="45"/>
      <c r="G364" s="45"/>
      <c r="H364" s="45"/>
      <c r="I364" s="45"/>
      <c r="J364" s="45"/>
      <c r="K364" s="45"/>
      <c r="L364" s="45"/>
      <c r="N364" s="46"/>
      <c r="P364" s="47"/>
      <c r="Q364" s="47"/>
      <c r="R364" s="47"/>
      <c r="V364" s="45"/>
    </row>
    <row r="365" spans="3:22" ht="14.25" customHeight="1">
      <c r="C365" s="45"/>
      <c r="D365" s="45"/>
      <c r="E365" s="45"/>
      <c r="F365" s="45"/>
      <c r="G365" s="45"/>
      <c r="H365" s="45"/>
      <c r="I365" s="45"/>
      <c r="J365" s="45"/>
      <c r="K365" s="45"/>
      <c r="L365" s="45"/>
      <c r="N365" s="46"/>
      <c r="P365" s="47"/>
      <c r="Q365" s="47"/>
      <c r="R365" s="47"/>
      <c r="V365" s="45"/>
    </row>
    <row r="366" spans="3:22" ht="14.25" customHeight="1">
      <c r="C366" s="45"/>
      <c r="D366" s="45"/>
      <c r="E366" s="45"/>
      <c r="F366" s="45"/>
      <c r="G366" s="45"/>
      <c r="H366" s="45"/>
      <c r="I366" s="45"/>
      <c r="J366" s="45"/>
      <c r="K366" s="45"/>
      <c r="L366" s="45"/>
      <c r="N366" s="46"/>
      <c r="P366" s="47"/>
      <c r="Q366" s="47"/>
      <c r="R366" s="47"/>
      <c r="V366" s="45"/>
    </row>
    <row r="367" spans="3:22" ht="14.25" customHeight="1">
      <c r="C367" s="45"/>
      <c r="D367" s="45"/>
      <c r="E367" s="45"/>
      <c r="F367" s="45"/>
      <c r="G367" s="45"/>
      <c r="H367" s="45"/>
      <c r="I367" s="45"/>
      <c r="J367" s="45"/>
      <c r="K367" s="45"/>
      <c r="L367" s="45"/>
      <c r="N367" s="46"/>
      <c r="P367" s="47"/>
      <c r="Q367" s="47"/>
      <c r="R367" s="47"/>
      <c r="V367" s="45"/>
    </row>
    <row r="368" spans="3:22" ht="14.25" customHeight="1">
      <c r="C368" s="45"/>
      <c r="D368" s="45"/>
      <c r="E368" s="45"/>
      <c r="F368" s="45"/>
      <c r="G368" s="45"/>
      <c r="H368" s="45"/>
      <c r="I368" s="45"/>
      <c r="J368" s="45"/>
      <c r="K368" s="45"/>
      <c r="L368" s="45"/>
      <c r="N368" s="46"/>
      <c r="P368" s="47"/>
      <c r="Q368" s="47"/>
      <c r="R368" s="47"/>
      <c r="V368" s="45"/>
    </row>
    <row r="369" spans="3:22" ht="14.25" customHeight="1">
      <c r="C369" s="45"/>
      <c r="D369" s="45"/>
      <c r="E369" s="45"/>
      <c r="F369" s="45"/>
      <c r="G369" s="45"/>
      <c r="H369" s="45"/>
      <c r="I369" s="45"/>
      <c r="J369" s="45"/>
      <c r="K369" s="45"/>
      <c r="L369" s="45"/>
      <c r="N369" s="46"/>
      <c r="P369" s="47"/>
      <c r="Q369" s="47"/>
      <c r="R369" s="47"/>
      <c r="V369" s="45"/>
    </row>
    <row r="370" spans="3:22" ht="14.25" customHeight="1">
      <c r="C370" s="45"/>
      <c r="D370" s="45"/>
      <c r="E370" s="45"/>
      <c r="F370" s="45"/>
      <c r="G370" s="45"/>
      <c r="H370" s="45"/>
      <c r="I370" s="45"/>
      <c r="J370" s="45"/>
      <c r="K370" s="45"/>
      <c r="L370" s="45"/>
      <c r="N370" s="46"/>
      <c r="P370" s="47"/>
      <c r="Q370" s="47"/>
      <c r="R370" s="47"/>
      <c r="V370" s="45"/>
    </row>
    <row r="371" spans="3:22" ht="14.25" customHeight="1">
      <c r="C371" s="45"/>
      <c r="D371" s="45"/>
      <c r="E371" s="45"/>
      <c r="F371" s="45"/>
      <c r="G371" s="45"/>
      <c r="H371" s="45"/>
      <c r="I371" s="45"/>
      <c r="J371" s="45"/>
      <c r="K371" s="45"/>
      <c r="L371" s="45"/>
      <c r="N371" s="46"/>
      <c r="P371" s="47"/>
      <c r="Q371" s="47"/>
      <c r="R371" s="47"/>
      <c r="V371" s="45"/>
    </row>
    <row r="372" spans="3:22" ht="14.25" customHeight="1">
      <c r="C372" s="45"/>
      <c r="D372" s="45"/>
      <c r="E372" s="45"/>
      <c r="F372" s="45"/>
      <c r="G372" s="45"/>
      <c r="H372" s="45"/>
      <c r="I372" s="45"/>
      <c r="J372" s="45"/>
      <c r="K372" s="45"/>
      <c r="L372" s="45"/>
      <c r="N372" s="46"/>
      <c r="P372" s="47"/>
      <c r="Q372" s="47"/>
      <c r="R372" s="47"/>
      <c r="V372" s="45"/>
    </row>
    <row r="373" spans="3:22" ht="14.25" customHeight="1">
      <c r="C373" s="45"/>
      <c r="D373" s="45"/>
      <c r="E373" s="45"/>
      <c r="F373" s="45"/>
      <c r="G373" s="45"/>
      <c r="H373" s="45"/>
      <c r="I373" s="45"/>
      <c r="J373" s="45"/>
      <c r="K373" s="45"/>
      <c r="L373" s="45"/>
      <c r="N373" s="46"/>
      <c r="P373" s="47"/>
      <c r="Q373" s="47"/>
      <c r="R373" s="47"/>
      <c r="V373" s="45"/>
    </row>
    <row r="374" spans="3:22" ht="14.25" customHeight="1">
      <c r="C374" s="45"/>
      <c r="D374" s="45"/>
      <c r="E374" s="45"/>
      <c r="F374" s="45"/>
      <c r="G374" s="45"/>
      <c r="H374" s="45"/>
      <c r="I374" s="45"/>
      <c r="J374" s="45"/>
      <c r="K374" s="45"/>
      <c r="L374" s="45"/>
      <c r="N374" s="46"/>
      <c r="P374" s="47"/>
      <c r="Q374" s="47"/>
      <c r="R374" s="47"/>
      <c r="V374" s="45"/>
    </row>
    <row r="375" spans="3:22" ht="14.25" customHeight="1">
      <c r="C375" s="45"/>
      <c r="D375" s="45"/>
      <c r="E375" s="45"/>
      <c r="F375" s="45"/>
      <c r="G375" s="45"/>
      <c r="H375" s="45"/>
      <c r="I375" s="45"/>
      <c r="J375" s="45"/>
      <c r="K375" s="45"/>
      <c r="L375" s="45"/>
      <c r="N375" s="46"/>
      <c r="P375" s="47"/>
      <c r="Q375" s="47"/>
      <c r="R375" s="47"/>
      <c r="V375" s="45"/>
    </row>
    <row r="376" spans="3:22" ht="14.25" customHeight="1">
      <c r="C376" s="45"/>
      <c r="D376" s="45"/>
      <c r="E376" s="45"/>
      <c r="F376" s="45"/>
      <c r="G376" s="45"/>
      <c r="H376" s="45"/>
      <c r="I376" s="45"/>
      <c r="J376" s="45"/>
      <c r="K376" s="45"/>
      <c r="L376" s="45"/>
      <c r="N376" s="46"/>
      <c r="P376" s="47"/>
      <c r="Q376" s="47"/>
      <c r="R376" s="47"/>
      <c r="V376" s="45"/>
    </row>
    <row r="377" spans="3:22" ht="14.25" customHeight="1">
      <c r="C377" s="45"/>
      <c r="D377" s="45"/>
      <c r="E377" s="45"/>
      <c r="F377" s="45"/>
      <c r="G377" s="45"/>
      <c r="H377" s="45"/>
      <c r="I377" s="45"/>
      <c r="J377" s="45"/>
      <c r="K377" s="45"/>
      <c r="L377" s="45"/>
      <c r="N377" s="46"/>
      <c r="P377" s="47"/>
      <c r="Q377" s="47"/>
      <c r="R377" s="47"/>
      <c r="V377" s="45"/>
    </row>
    <row r="378" spans="3:22" ht="14.25" customHeight="1">
      <c r="C378" s="45"/>
      <c r="D378" s="45"/>
      <c r="E378" s="45"/>
      <c r="F378" s="45"/>
      <c r="G378" s="45"/>
      <c r="H378" s="45"/>
      <c r="I378" s="45"/>
      <c r="J378" s="45"/>
      <c r="K378" s="45"/>
      <c r="L378" s="45"/>
      <c r="N378" s="46"/>
      <c r="P378" s="47"/>
      <c r="Q378" s="47"/>
      <c r="R378" s="47"/>
      <c r="V378" s="45"/>
    </row>
    <row r="379" spans="3:22" ht="14.25" customHeight="1">
      <c r="C379" s="45"/>
      <c r="D379" s="45"/>
      <c r="E379" s="45"/>
      <c r="F379" s="45"/>
      <c r="G379" s="45"/>
      <c r="H379" s="45"/>
      <c r="I379" s="45"/>
      <c r="J379" s="45"/>
      <c r="K379" s="45"/>
      <c r="L379" s="45"/>
      <c r="N379" s="46"/>
      <c r="P379" s="47"/>
      <c r="Q379" s="47"/>
      <c r="R379" s="47"/>
      <c r="V379" s="45"/>
    </row>
    <row r="380" spans="3:22" ht="14.25" customHeight="1">
      <c r="C380" s="45"/>
      <c r="D380" s="45"/>
      <c r="E380" s="45"/>
      <c r="F380" s="45"/>
      <c r="G380" s="45"/>
      <c r="H380" s="45"/>
      <c r="I380" s="45"/>
      <c r="J380" s="45"/>
      <c r="K380" s="45"/>
      <c r="L380" s="45"/>
      <c r="N380" s="46"/>
      <c r="P380" s="47"/>
      <c r="Q380" s="47"/>
      <c r="R380" s="47"/>
      <c r="V380" s="45"/>
    </row>
    <row r="381" spans="3:22" ht="14.25" customHeight="1">
      <c r="C381" s="45"/>
      <c r="D381" s="45"/>
      <c r="E381" s="45"/>
      <c r="F381" s="45"/>
      <c r="G381" s="45"/>
      <c r="H381" s="45"/>
      <c r="I381" s="45"/>
      <c r="J381" s="45"/>
      <c r="K381" s="45"/>
      <c r="L381" s="45"/>
      <c r="N381" s="46"/>
      <c r="P381" s="47"/>
      <c r="Q381" s="47"/>
      <c r="R381" s="47"/>
      <c r="V381" s="45"/>
    </row>
    <row r="382" spans="3:22" ht="14.25" customHeight="1">
      <c r="C382" s="45"/>
      <c r="D382" s="45"/>
      <c r="E382" s="45"/>
      <c r="F382" s="45"/>
      <c r="G382" s="45"/>
      <c r="H382" s="45"/>
      <c r="I382" s="45"/>
      <c r="J382" s="45"/>
      <c r="K382" s="45"/>
      <c r="L382" s="45"/>
      <c r="N382" s="46"/>
      <c r="P382" s="47"/>
      <c r="Q382" s="47"/>
      <c r="R382" s="47"/>
      <c r="V382" s="45"/>
    </row>
    <row r="383" spans="3:22" ht="14.25" customHeight="1">
      <c r="C383" s="45"/>
      <c r="D383" s="45"/>
      <c r="E383" s="45"/>
      <c r="F383" s="45"/>
      <c r="G383" s="45"/>
      <c r="H383" s="45"/>
      <c r="I383" s="45"/>
      <c r="J383" s="45"/>
      <c r="K383" s="45"/>
      <c r="L383" s="45"/>
      <c r="N383" s="46"/>
      <c r="P383" s="47"/>
      <c r="Q383" s="47"/>
      <c r="R383" s="47"/>
      <c r="V383" s="45"/>
    </row>
    <row r="384" spans="3:22" ht="14.25" customHeight="1">
      <c r="C384" s="45"/>
      <c r="D384" s="45"/>
      <c r="E384" s="45"/>
      <c r="F384" s="45"/>
      <c r="G384" s="45"/>
      <c r="H384" s="45"/>
      <c r="I384" s="45"/>
      <c r="J384" s="45"/>
      <c r="K384" s="45"/>
      <c r="L384" s="45"/>
      <c r="N384" s="46"/>
      <c r="P384" s="47"/>
      <c r="Q384" s="47"/>
      <c r="R384" s="47"/>
      <c r="V384" s="45"/>
    </row>
    <row r="385" spans="3:22" ht="14.25" customHeight="1">
      <c r="C385" s="45"/>
      <c r="D385" s="45"/>
      <c r="E385" s="45"/>
      <c r="F385" s="45"/>
      <c r="G385" s="45"/>
      <c r="H385" s="45"/>
      <c r="I385" s="45"/>
      <c r="J385" s="45"/>
      <c r="K385" s="45"/>
      <c r="L385" s="45"/>
      <c r="N385" s="46"/>
      <c r="P385" s="47"/>
      <c r="Q385" s="47"/>
      <c r="R385" s="47"/>
      <c r="V385" s="45"/>
    </row>
    <row r="386" spans="3:22" ht="14.25" customHeight="1">
      <c r="C386" s="45"/>
      <c r="D386" s="45"/>
      <c r="E386" s="45"/>
      <c r="F386" s="45"/>
      <c r="G386" s="45"/>
      <c r="H386" s="45"/>
      <c r="I386" s="45"/>
      <c r="J386" s="45"/>
      <c r="K386" s="45"/>
      <c r="L386" s="45"/>
      <c r="N386" s="46"/>
      <c r="P386" s="47"/>
      <c r="Q386" s="47"/>
      <c r="R386" s="47"/>
      <c r="V386" s="45"/>
    </row>
    <row r="387" spans="3:22" ht="14.25" customHeight="1">
      <c r="C387" s="45"/>
      <c r="D387" s="45"/>
      <c r="E387" s="45"/>
      <c r="F387" s="45"/>
      <c r="G387" s="45"/>
      <c r="H387" s="45"/>
      <c r="I387" s="45"/>
      <c r="J387" s="45"/>
      <c r="K387" s="45"/>
      <c r="L387" s="45"/>
      <c r="N387" s="46"/>
      <c r="P387" s="47"/>
      <c r="Q387" s="47"/>
      <c r="R387" s="47"/>
      <c r="V387" s="45"/>
    </row>
    <row r="388" spans="3:22" ht="14.25" customHeight="1">
      <c r="C388" s="45"/>
      <c r="D388" s="45"/>
      <c r="E388" s="45"/>
      <c r="F388" s="45"/>
      <c r="G388" s="45"/>
      <c r="H388" s="45"/>
      <c r="I388" s="45"/>
      <c r="J388" s="45"/>
      <c r="K388" s="45"/>
      <c r="L388" s="45"/>
      <c r="N388" s="46"/>
      <c r="P388" s="47"/>
      <c r="Q388" s="47"/>
      <c r="R388" s="47"/>
      <c r="V388" s="45"/>
    </row>
    <row r="389" spans="3:22" ht="14.25" customHeight="1">
      <c r="C389" s="45"/>
      <c r="D389" s="45"/>
      <c r="E389" s="45"/>
      <c r="F389" s="45"/>
      <c r="G389" s="45"/>
      <c r="H389" s="45"/>
      <c r="I389" s="45"/>
      <c r="J389" s="45"/>
      <c r="K389" s="45"/>
      <c r="L389" s="45"/>
      <c r="N389" s="46"/>
      <c r="P389" s="47"/>
      <c r="Q389" s="47"/>
      <c r="R389" s="47"/>
      <c r="V389" s="45"/>
    </row>
    <row r="390" spans="3:22" ht="14.25" customHeight="1">
      <c r="C390" s="45"/>
      <c r="D390" s="45"/>
      <c r="E390" s="45"/>
      <c r="F390" s="45"/>
      <c r="G390" s="45"/>
      <c r="H390" s="45"/>
      <c r="I390" s="45"/>
      <c r="J390" s="45"/>
      <c r="K390" s="45"/>
      <c r="L390" s="45"/>
      <c r="N390" s="46"/>
      <c r="P390" s="47"/>
      <c r="Q390" s="47"/>
      <c r="R390" s="47"/>
      <c r="V390" s="45"/>
    </row>
    <row r="391" spans="3:22" ht="14.25" customHeight="1">
      <c r="C391" s="45"/>
      <c r="D391" s="45"/>
      <c r="E391" s="45"/>
      <c r="F391" s="45"/>
      <c r="G391" s="45"/>
      <c r="H391" s="45"/>
      <c r="I391" s="45"/>
      <c r="J391" s="45"/>
      <c r="K391" s="45"/>
      <c r="L391" s="45"/>
      <c r="N391" s="46"/>
      <c r="P391" s="47"/>
      <c r="Q391" s="47"/>
      <c r="R391" s="47"/>
      <c r="V391" s="45"/>
    </row>
    <row r="392" spans="3:22" ht="14.25" customHeight="1">
      <c r="C392" s="45"/>
      <c r="D392" s="45"/>
      <c r="E392" s="45"/>
      <c r="F392" s="45"/>
      <c r="G392" s="45"/>
      <c r="H392" s="45"/>
      <c r="I392" s="45"/>
      <c r="J392" s="45"/>
      <c r="K392" s="45"/>
      <c r="L392" s="45"/>
      <c r="N392" s="46"/>
      <c r="P392" s="47"/>
      <c r="Q392" s="47"/>
      <c r="R392" s="47"/>
      <c r="V392" s="45"/>
    </row>
    <row r="393" spans="3:22" ht="14.25" customHeight="1">
      <c r="C393" s="45"/>
      <c r="D393" s="45"/>
      <c r="E393" s="45"/>
      <c r="F393" s="45"/>
      <c r="G393" s="45"/>
      <c r="H393" s="45"/>
      <c r="I393" s="45"/>
      <c r="J393" s="45"/>
      <c r="K393" s="45"/>
      <c r="L393" s="45"/>
      <c r="N393" s="46"/>
      <c r="P393" s="47"/>
      <c r="Q393" s="47"/>
      <c r="R393" s="47"/>
      <c r="V393" s="45"/>
    </row>
    <row r="394" spans="3:22" ht="14.25" customHeight="1">
      <c r="C394" s="45"/>
      <c r="D394" s="45"/>
      <c r="E394" s="45"/>
      <c r="F394" s="45"/>
      <c r="G394" s="45"/>
      <c r="H394" s="45"/>
      <c r="I394" s="45"/>
      <c r="J394" s="45"/>
      <c r="K394" s="45"/>
      <c r="L394" s="45"/>
      <c r="N394" s="46"/>
      <c r="P394" s="47"/>
      <c r="Q394" s="47"/>
      <c r="R394" s="47"/>
      <c r="V394" s="45"/>
    </row>
    <row r="395" spans="3:22" ht="14.25" customHeight="1">
      <c r="C395" s="45"/>
      <c r="D395" s="45"/>
      <c r="E395" s="45"/>
      <c r="F395" s="45"/>
      <c r="G395" s="45"/>
      <c r="H395" s="45"/>
      <c r="I395" s="45"/>
      <c r="J395" s="45"/>
      <c r="K395" s="45"/>
      <c r="L395" s="45"/>
      <c r="N395" s="46"/>
      <c r="P395" s="47"/>
      <c r="Q395" s="47"/>
      <c r="R395" s="47"/>
      <c r="V395" s="45"/>
    </row>
    <row r="396" spans="3:22" ht="14.25" customHeight="1">
      <c r="C396" s="45"/>
      <c r="D396" s="45"/>
      <c r="E396" s="45"/>
      <c r="F396" s="45"/>
      <c r="G396" s="45"/>
      <c r="H396" s="45"/>
      <c r="I396" s="45"/>
      <c r="J396" s="45"/>
      <c r="K396" s="45"/>
      <c r="L396" s="45"/>
      <c r="N396" s="46"/>
      <c r="P396" s="47"/>
      <c r="Q396" s="47"/>
      <c r="R396" s="47"/>
      <c r="V396" s="45"/>
    </row>
    <row r="397" spans="3:22" ht="14.25" customHeight="1">
      <c r="C397" s="45"/>
      <c r="D397" s="45"/>
      <c r="E397" s="45"/>
      <c r="F397" s="45"/>
      <c r="G397" s="45"/>
      <c r="H397" s="45"/>
      <c r="I397" s="45"/>
      <c r="J397" s="45"/>
      <c r="K397" s="45"/>
      <c r="L397" s="45"/>
      <c r="N397" s="46"/>
      <c r="P397" s="47"/>
      <c r="Q397" s="47"/>
      <c r="R397" s="47"/>
      <c r="V397" s="45"/>
    </row>
    <row r="398" spans="3:22" ht="14.25" customHeight="1">
      <c r="C398" s="45"/>
      <c r="D398" s="45"/>
      <c r="E398" s="45"/>
      <c r="F398" s="45"/>
      <c r="G398" s="45"/>
      <c r="H398" s="45"/>
      <c r="I398" s="45"/>
      <c r="J398" s="45"/>
      <c r="K398" s="45"/>
      <c r="L398" s="45"/>
      <c r="N398" s="46"/>
      <c r="P398" s="47"/>
      <c r="Q398" s="47"/>
      <c r="R398" s="47"/>
      <c r="V398" s="45"/>
    </row>
    <row r="399" spans="3:22" ht="14.25" customHeight="1">
      <c r="C399" s="45"/>
      <c r="D399" s="45"/>
      <c r="E399" s="45"/>
      <c r="F399" s="45"/>
      <c r="G399" s="45"/>
      <c r="H399" s="45"/>
      <c r="I399" s="45"/>
      <c r="J399" s="45"/>
      <c r="K399" s="45"/>
      <c r="L399" s="45"/>
      <c r="N399" s="46"/>
      <c r="P399" s="47"/>
      <c r="Q399" s="47"/>
      <c r="R399" s="47"/>
      <c r="V399" s="45"/>
    </row>
    <row r="400" spans="3:22" ht="14.25" customHeight="1">
      <c r="C400" s="45"/>
      <c r="D400" s="45"/>
      <c r="E400" s="45"/>
      <c r="F400" s="45"/>
      <c r="G400" s="45"/>
      <c r="H400" s="45"/>
      <c r="I400" s="45"/>
      <c r="J400" s="45"/>
      <c r="K400" s="45"/>
      <c r="L400" s="45"/>
      <c r="N400" s="46"/>
      <c r="P400" s="47"/>
      <c r="Q400" s="47"/>
      <c r="R400" s="47"/>
      <c r="V400" s="45"/>
    </row>
    <row r="401" spans="3:22" ht="14.25" customHeight="1">
      <c r="C401" s="45"/>
      <c r="D401" s="45"/>
      <c r="E401" s="45"/>
      <c r="F401" s="45"/>
      <c r="G401" s="45"/>
      <c r="H401" s="45"/>
      <c r="I401" s="45"/>
      <c r="J401" s="45"/>
      <c r="K401" s="45"/>
      <c r="L401" s="45"/>
      <c r="N401" s="46"/>
      <c r="P401" s="47"/>
      <c r="Q401" s="47"/>
      <c r="R401" s="47"/>
      <c r="V401" s="45"/>
    </row>
    <row r="402" spans="3:22" ht="14.25" customHeight="1">
      <c r="C402" s="45"/>
      <c r="D402" s="45"/>
      <c r="E402" s="45"/>
      <c r="F402" s="45"/>
      <c r="G402" s="45"/>
      <c r="H402" s="45"/>
      <c r="I402" s="45"/>
      <c r="J402" s="45"/>
      <c r="K402" s="45"/>
      <c r="L402" s="45"/>
      <c r="N402" s="46"/>
      <c r="P402" s="47"/>
      <c r="Q402" s="47"/>
      <c r="R402" s="47"/>
      <c r="V402" s="45"/>
    </row>
    <row r="403" spans="3:22" ht="14.25" customHeight="1">
      <c r="C403" s="45"/>
      <c r="D403" s="45"/>
      <c r="E403" s="45"/>
      <c r="F403" s="45"/>
      <c r="G403" s="45"/>
      <c r="H403" s="45"/>
      <c r="I403" s="45"/>
      <c r="J403" s="45"/>
      <c r="K403" s="45"/>
      <c r="L403" s="45"/>
      <c r="N403" s="46"/>
      <c r="P403" s="47"/>
      <c r="Q403" s="47"/>
      <c r="R403" s="47"/>
      <c r="V403" s="45"/>
    </row>
    <row r="404" spans="3:22" ht="14.25" customHeight="1">
      <c r="C404" s="45"/>
      <c r="D404" s="45"/>
      <c r="E404" s="45"/>
      <c r="F404" s="45"/>
      <c r="G404" s="45"/>
      <c r="H404" s="45"/>
      <c r="I404" s="45"/>
      <c r="J404" s="45"/>
      <c r="K404" s="45"/>
      <c r="L404" s="45"/>
      <c r="N404" s="46"/>
      <c r="P404" s="47"/>
      <c r="Q404" s="47"/>
      <c r="R404" s="47"/>
      <c r="V404" s="45"/>
    </row>
    <row r="405" spans="3:22" ht="14.25" customHeight="1">
      <c r="C405" s="45"/>
      <c r="D405" s="45"/>
      <c r="E405" s="45"/>
      <c r="F405" s="45"/>
      <c r="G405" s="45"/>
      <c r="H405" s="45"/>
      <c r="I405" s="45"/>
      <c r="J405" s="45"/>
      <c r="K405" s="45"/>
      <c r="L405" s="45"/>
      <c r="N405" s="46"/>
      <c r="P405" s="47"/>
      <c r="Q405" s="47"/>
      <c r="R405" s="47"/>
      <c r="V405" s="45"/>
    </row>
    <row r="406" spans="3:22" ht="14.25" customHeight="1">
      <c r="C406" s="45"/>
      <c r="D406" s="45"/>
      <c r="E406" s="45"/>
      <c r="F406" s="45"/>
      <c r="G406" s="45"/>
      <c r="H406" s="45"/>
      <c r="I406" s="45"/>
      <c r="J406" s="45"/>
      <c r="K406" s="45"/>
      <c r="L406" s="45"/>
      <c r="N406" s="46"/>
      <c r="P406" s="47"/>
      <c r="Q406" s="47"/>
      <c r="R406" s="47"/>
      <c r="V406" s="45"/>
    </row>
    <row r="407" spans="3:22" ht="14.25" customHeight="1">
      <c r="C407" s="45"/>
      <c r="D407" s="45"/>
      <c r="E407" s="45"/>
      <c r="F407" s="45"/>
      <c r="G407" s="45"/>
      <c r="H407" s="45"/>
      <c r="I407" s="45"/>
      <c r="J407" s="45"/>
      <c r="K407" s="45"/>
      <c r="L407" s="45"/>
      <c r="N407" s="46"/>
      <c r="P407" s="47"/>
      <c r="Q407" s="47"/>
      <c r="R407" s="47"/>
      <c r="V407" s="45"/>
    </row>
    <row r="408" spans="3:22" ht="14.25" customHeight="1">
      <c r="C408" s="45"/>
      <c r="D408" s="45"/>
      <c r="E408" s="45"/>
      <c r="F408" s="45"/>
      <c r="G408" s="45"/>
      <c r="H408" s="45"/>
      <c r="I408" s="45"/>
      <c r="J408" s="45"/>
      <c r="K408" s="45"/>
      <c r="L408" s="45"/>
      <c r="N408" s="46"/>
      <c r="P408" s="47"/>
      <c r="Q408" s="47"/>
      <c r="R408" s="47"/>
      <c r="V408" s="45"/>
    </row>
    <row r="409" spans="3:22" ht="14.25" customHeight="1">
      <c r="C409" s="45"/>
      <c r="D409" s="45"/>
      <c r="E409" s="45"/>
      <c r="F409" s="45"/>
      <c r="G409" s="45"/>
      <c r="H409" s="45"/>
      <c r="I409" s="45"/>
      <c r="J409" s="45"/>
      <c r="K409" s="45"/>
      <c r="L409" s="45"/>
      <c r="N409" s="46"/>
      <c r="P409" s="47"/>
      <c r="Q409" s="47"/>
      <c r="R409" s="47"/>
      <c r="V409" s="45"/>
    </row>
    <row r="410" spans="3:22" ht="14.25" customHeight="1">
      <c r="C410" s="45"/>
      <c r="D410" s="45"/>
      <c r="E410" s="45"/>
      <c r="F410" s="45"/>
      <c r="G410" s="45"/>
      <c r="H410" s="45"/>
      <c r="I410" s="45"/>
      <c r="J410" s="45"/>
      <c r="K410" s="45"/>
      <c r="L410" s="45"/>
      <c r="N410" s="46"/>
      <c r="P410" s="47"/>
      <c r="Q410" s="47"/>
      <c r="R410" s="47"/>
      <c r="V410" s="45"/>
    </row>
    <row r="411" spans="3:22" ht="14.25" customHeight="1">
      <c r="C411" s="45"/>
      <c r="D411" s="45"/>
      <c r="E411" s="45"/>
      <c r="F411" s="45"/>
      <c r="G411" s="45"/>
      <c r="H411" s="45"/>
      <c r="I411" s="45"/>
      <c r="J411" s="45"/>
      <c r="K411" s="45"/>
      <c r="L411" s="45"/>
      <c r="N411" s="46"/>
      <c r="P411" s="47"/>
      <c r="Q411" s="47"/>
      <c r="R411" s="47"/>
      <c r="V411" s="45"/>
    </row>
    <row r="412" spans="3:22" ht="14.25" customHeight="1">
      <c r="C412" s="45"/>
      <c r="D412" s="45"/>
      <c r="E412" s="45"/>
      <c r="F412" s="45"/>
      <c r="G412" s="45"/>
      <c r="H412" s="45"/>
      <c r="I412" s="45"/>
      <c r="J412" s="45"/>
      <c r="K412" s="45"/>
      <c r="L412" s="45"/>
      <c r="N412" s="46"/>
      <c r="P412" s="47"/>
      <c r="Q412" s="47"/>
      <c r="R412" s="47"/>
      <c r="V412" s="45"/>
    </row>
    <row r="413" spans="3:22" ht="14.25" customHeight="1">
      <c r="C413" s="45"/>
      <c r="D413" s="45"/>
      <c r="E413" s="45"/>
      <c r="F413" s="45"/>
      <c r="G413" s="45"/>
      <c r="H413" s="45"/>
      <c r="I413" s="45"/>
      <c r="J413" s="45"/>
      <c r="K413" s="45"/>
      <c r="L413" s="45"/>
      <c r="N413" s="46"/>
      <c r="P413" s="47"/>
      <c r="Q413" s="47"/>
      <c r="R413" s="47"/>
      <c r="V413" s="45"/>
    </row>
    <row r="414" spans="3:22" ht="14.25" customHeight="1">
      <c r="C414" s="45"/>
      <c r="D414" s="45"/>
      <c r="E414" s="45"/>
      <c r="F414" s="45"/>
      <c r="G414" s="45"/>
      <c r="H414" s="45"/>
      <c r="I414" s="45"/>
      <c r="J414" s="45"/>
      <c r="K414" s="45"/>
      <c r="L414" s="45"/>
      <c r="N414" s="46"/>
      <c r="P414" s="47"/>
      <c r="Q414" s="47"/>
      <c r="R414" s="47"/>
      <c r="V414" s="45"/>
    </row>
    <row r="415" spans="3:22" ht="14.25" customHeight="1">
      <c r="C415" s="45"/>
      <c r="D415" s="45"/>
      <c r="E415" s="45"/>
      <c r="F415" s="45"/>
      <c r="G415" s="45"/>
      <c r="H415" s="45"/>
      <c r="I415" s="45"/>
      <c r="J415" s="45"/>
      <c r="K415" s="45"/>
      <c r="L415" s="45"/>
      <c r="N415" s="46"/>
      <c r="P415" s="47"/>
      <c r="Q415" s="47"/>
      <c r="R415" s="47"/>
      <c r="V415" s="45"/>
    </row>
    <row r="416" spans="3:22" ht="14.25" customHeight="1">
      <c r="C416" s="45"/>
      <c r="D416" s="45"/>
      <c r="E416" s="45"/>
      <c r="F416" s="45"/>
      <c r="G416" s="45"/>
      <c r="H416" s="45"/>
      <c r="I416" s="45"/>
      <c r="J416" s="45"/>
      <c r="K416" s="45"/>
      <c r="L416" s="45"/>
      <c r="N416" s="46"/>
      <c r="P416" s="47"/>
      <c r="Q416" s="47"/>
      <c r="R416" s="47"/>
      <c r="V416" s="45"/>
    </row>
    <row r="417" spans="3:22" ht="14.25" customHeight="1">
      <c r="C417" s="45"/>
      <c r="D417" s="45"/>
      <c r="E417" s="45"/>
      <c r="F417" s="45"/>
      <c r="G417" s="45"/>
      <c r="H417" s="45"/>
      <c r="I417" s="45"/>
      <c r="J417" s="45"/>
      <c r="K417" s="45"/>
      <c r="L417" s="45"/>
      <c r="N417" s="46"/>
      <c r="P417" s="47"/>
      <c r="Q417" s="47"/>
      <c r="R417" s="47"/>
      <c r="V417" s="45"/>
    </row>
    <row r="418" spans="3:22" ht="14.25" customHeight="1">
      <c r="C418" s="45"/>
      <c r="D418" s="45"/>
      <c r="E418" s="45"/>
      <c r="F418" s="45"/>
      <c r="G418" s="45"/>
      <c r="H418" s="45"/>
      <c r="I418" s="45"/>
      <c r="J418" s="45"/>
      <c r="K418" s="45"/>
      <c r="L418" s="45"/>
      <c r="N418" s="46"/>
      <c r="P418" s="47"/>
      <c r="Q418" s="47"/>
      <c r="R418" s="47"/>
      <c r="V418" s="45"/>
    </row>
    <row r="419" spans="3:22" ht="14.25" customHeight="1">
      <c r="C419" s="45"/>
      <c r="D419" s="45"/>
      <c r="E419" s="45"/>
      <c r="F419" s="45"/>
      <c r="G419" s="45"/>
      <c r="H419" s="45"/>
      <c r="I419" s="45"/>
      <c r="J419" s="45"/>
      <c r="K419" s="45"/>
      <c r="L419" s="45"/>
      <c r="N419" s="46"/>
      <c r="P419" s="47"/>
      <c r="Q419" s="47"/>
      <c r="R419" s="47"/>
      <c r="V419" s="45"/>
    </row>
    <row r="420" spans="3:22" ht="14.25" customHeight="1">
      <c r="C420" s="45"/>
      <c r="D420" s="45"/>
      <c r="E420" s="45"/>
      <c r="F420" s="45"/>
      <c r="G420" s="45"/>
      <c r="H420" s="45"/>
      <c r="I420" s="45"/>
      <c r="J420" s="45"/>
      <c r="K420" s="45"/>
      <c r="L420" s="45"/>
      <c r="N420" s="46"/>
      <c r="P420" s="47"/>
      <c r="Q420" s="47"/>
      <c r="R420" s="47"/>
      <c r="V420" s="45"/>
    </row>
    <row r="421" spans="3:22" ht="14.25" customHeight="1">
      <c r="C421" s="45"/>
      <c r="D421" s="45"/>
      <c r="E421" s="45"/>
      <c r="F421" s="45"/>
      <c r="G421" s="45"/>
      <c r="H421" s="45"/>
      <c r="I421" s="45"/>
      <c r="J421" s="45"/>
      <c r="K421" s="45"/>
      <c r="L421" s="45"/>
      <c r="N421" s="46"/>
      <c r="P421" s="47"/>
      <c r="Q421" s="47"/>
      <c r="R421" s="47"/>
      <c r="V421" s="45"/>
    </row>
    <row r="422" spans="3:22" ht="14.25" customHeight="1">
      <c r="C422" s="45"/>
      <c r="D422" s="45"/>
      <c r="E422" s="45"/>
      <c r="F422" s="45"/>
      <c r="G422" s="45"/>
      <c r="H422" s="45"/>
      <c r="I422" s="45"/>
      <c r="J422" s="45"/>
      <c r="K422" s="45"/>
      <c r="L422" s="45"/>
      <c r="N422" s="46"/>
      <c r="P422" s="47"/>
      <c r="Q422" s="47"/>
      <c r="R422" s="47"/>
      <c r="V422" s="45"/>
    </row>
    <row r="423" spans="3:22" ht="14.25" customHeight="1">
      <c r="C423" s="45"/>
      <c r="D423" s="45"/>
      <c r="E423" s="45"/>
      <c r="F423" s="45"/>
      <c r="G423" s="45"/>
      <c r="H423" s="45"/>
      <c r="I423" s="45"/>
      <c r="J423" s="45"/>
      <c r="K423" s="45"/>
      <c r="L423" s="45"/>
      <c r="N423" s="46"/>
      <c r="P423" s="47"/>
      <c r="Q423" s="47"/>
      <c r="R423" s="47"/>
      <c r="V423" s="45"/>
    </row>
    <row r="424" spans="3:22" ht="14.25" customHeight="1">
      <c r="C424" s="45"/>
      <c r="D424" s="45"/>
      <c r="E424" s="45"/>
      <c r="F424" s="45"/>
      <c r="G424" s="45"/>
      <c r="H424" s="45"/>
      <c r="I424" s="45"/>
      <c r="J424" s="45"/>
      <c r="K424" s="45"/>
      <c r="L424" s="45"/>
      <c r="N424" s="46"/>
      <c r="P424" s="47"/>
      <c r="Q424" s="47"/>
      <c r="R424" s="47"/>
      <c r="V424" s="45"/>
    </row>
    <row r="425" spans="3:22" ht="14.25" customHeight="1">
      <c r="C425" s="45"/>
      <c r="D425" s="45"/>
      <c r="E425" s="45"/>
      <c r="F425" s="45"/>
      <c r="G425" s="45"/>
      <c r="H425" s="45"/>
      <c r="I425" s="45"/>
      <c r="J425" s="45"/>
      <c r="K425" s="45"/>
      <c r="L425" s="45"/>
      <c r="N425" s="46"/>
      <c r="P425" s="47"/>
      <c r="Q425" s="47"/>
      <c r="R425" s="47"/>
      <c r="V425" s="45"/>
    </row>
    <row r="426" spans="3:22" ht="14.25" customHeight="1">
      <c r="C426" s="45"/>
      <c r="D426" s="45"/>
      <c r="E426" s="45"/>
      <c r="F426" s="45"/>
      <c r="G426" s="45"/>
      <c r="H426" s="45"/>
      <c r="I426" s="45"/>
      <c r="J426" s="45"/>
      <c r="K426" s="45"/>
      <c r="L426" s="45"/>
      <c r="N426" s="46"/>
      <c r="P426" s="47"/>
      <c r="Q426" s="47"/>
      <c r="R426" s="47"/>
      <c r="V426" s="45"/>
    </row>
    <row r="427" spans="3:22" ht="14.25" customHeight="1">
      <c r="C427" s="45"/>
      <c r="D427" s="45"/>
      <c r="E427" s="45"/>
      <c r="F427" s="45"/>
      <c r="G427" s="45"/>
      <c r="H427" s="45"/>
      <c r="I427" s="45"/>
      <c r="J427" s="45"/>
      <c r="K427" s="45"/>
      <c r="L427" s="45"/>
      <c r="N427" s="46"/>
      <c r="P427" s="47"/>
      <c r="Q427" s="47"/>
      <c r="R427" s="47"/>
      <c r="V427" s="45"/>
    </row>
    <row r="428" spans="3:22" ht="14.25" customHeight="1">
      <c r="C428" s="45"/>
      <c r="D428" s="45"/>
      <c r="E428" s="45"/>
      <c r="F428" s="45"/>
      <c r="G428" s="45"/>
      <c r="H428" s="45"/>
      <c r="I428" s="45"/>
      <c r="J428" s="45"/>
      <c r="K428" s="45"/>
      <c r="L428" s="45"/>
      <c r="N428" s="46"/>
      <c r="P428" s="47"/>
      <c r="Q428" s="47"/>
      <c r="R428" s="47"/>
      <c r="V428" s="45"/>
    </row>
    <row r="429" spans="3:22" ht="14.25" customHeight="1">
      <c r="C429" s="45"/>
      <c r="D429" s="45"/>
      <c r="E429" s="45"/>
      <c r="F429" s="45"/>
      <c r="G429" s="45"/>
      <c r="H429" s="45"/>
      <c r="I429" s="45"/>
      <c r="J429" s="45"/>
      <c r="K429" s="45"/>
      <c r="L429" s="45"/>
      <c r="N429" s="46"/>
      <c r="P429" s="47"/>
      <c r="Q429" s="47"/>
      <c r="R429" s="47"/>
      <c r="V429" s="45"/>
    </row>
    <row r="430" spans="3:22" ht="14.25" customHeight="1">
      <c r="C430" s="45"/>
      <c r="D430" s="45"/>
      <c r="E430" s="45"/>
      <c r="F430" s="45"/>
      <c r="G430" s="45"/>
      <c r="H430" s="45"/>
      <c r="I430" s="45"/>
      <c r="J430" s="45"/>
      <c r="K430" s="45"/>
      <c r="L430" s="45"/>
      <c r="N430" s="46"/>
      <c r="P430" s="47"/>
      <c r="Q430" s="47"/>
      <c r="R430" s="47"/>
      <c r="V430" s="45"/>
    </row>
    <row r="431" spans="3:22" ht="14.25" customHeight="1">
      <c r="C431" s="45"/>
      <c r="D431" s="45"/>
      <c r="E431" s="45"/>
      <c r="F431" s="45"/>
      <c r="G431" s="45"/>
      <c r="H431" s="45"/>
      <c r="I431" s="45"/>
      <c r="J431" s="45"/>
      <c r="K431" s="45"/>
      <c r="L431" s="45"/>
      <c r="N431" s="46"/>
      <c r="P431" s="47"/>
      <c r="Q431" s="47"/>
      <c r="R431" s="47"/>
      <c r="V431" s="45"/>
    </row>
    <row r="432" spans="3:22" ht="14.25" customHeight="1">
      <c r="C432" s="45"/>
      <c r="D432" s="45"/>
      <c r="E432" s="45"/>
      <c r="F432" s="45"/>
      <c r="G432" s="45"/>
      <c r="H432" s="45"/>
      <c r="I432" s="45"/>
      <c r="J432" s="45"/>
      <c r="K432" s="45"/>
      <c r="L432" s="45"/>
      <c r="N432" s="46"/>
      <c r="P432" s="47"/>
      <c r="Q432" s="47"/>
      <c r="R432" s="47"/>
      <c r="V432" s="45"/>
    </row>
    <row r="433" spans="3:22" ht="14.25" customHeight="1">
      <c r="C433" s="45"/>
      <c r="D433" s="45"/>
      <c r="E433" s="45"/>
      <c r="F433" s="45"/>
      <c r="G433" s="45"/>
      <c r="H433" s="45"/>
      <c r="I433" s="45"/>
      <c r="J433" s="45"/>
      <c r="K433" s="45"/>
      <c r="L433" s="45"/>
      <c r="N433" s="46"/>
      <c r="P433" s="47"/>
      <c r="Q433" s="47"/>
      <c r="R433" s="47"/>
      <c r="V433" s="45"/>
    </row>
    <row r="434" spans="3:22" ht="14.25" customHeight="1">
      <c r="C434" s="45"/>
      <c r="D434" s="45"/>
      <c r="E434" s="45"/>
      <c r="F434" s="45"/>
      <c r="G434" s="45"/>
      <c r="H434" s="45"/>
      <c r="I434" s="45"/>
      <c r="J434" s="45"/>
      <c r="K434" s="45"/>
      <c r="L434" s="45"/>
      <c r="N434" s="46"/>
      <c r="P434" s="47"/>
      <c r="Q434" s="47"/>
      <c r="R434" s="47"/>
      <c r="V434" s="45"/>
    </row>
    <row r="435" spans="3:22" ht="14.25" customHeight="1">
      <c r="C435" s="45"/>
      <c r="D435" s="45"/>
      <c r="E435" s="45"/>
      <c r="F435" s="45"/>
      <c r="G435" s="45"/>
      <c r="H435" s="45"/>
      <c r="I435" s="45"/>
      <c r="J435" s="45"/>
      <c r="K435" s="45"/>
      <c r="L435" s="45"/>
      <c r="N435" s="46"/>
      <c r="P435" s="47"/>
      <c r="Q435" s="47"/>
      <c r="R435" s="47"/>
      <c r="V435" s="45"/>
    </row>
    <row r="436" spans="3:22" ht="14.25" customHeight="1">
      <c r="C436" s="45"/>
      <c r="D436" s="45"/>
      <c r="E436" s="45"/>
      <c r="F436" s="45"/>
      <c r="G436" s="45"/>
      <c r="H436" s="45"/>
      <c r="I436" s="45"/>
      <c r="J436" s="45"/>
      <c r="K436" s="45"/>
      <c r="L436" s="45"/>
      <c r="N436" s="46"/>
      <c r="P436" s="47"/>
      <c r="Q436" s="47"/>
      <c r="R436" s="47"/>
      <c r="V436" s="45"/>
    </row>
    <row r="437" spans="3:22" ht="14.25" customHeight="1">
      <c r="C437" s="45"/>
      <c r="D437" s="45"/>
      <c r="E437" s="45"/>
      <c r="F437" s="45"/>
      <c r="G437" s="45"/>
      <c r="H437" s="45"/>
      <c r="I437" s="45"/>
      <c r="J437" s="45"/>
      <c r="K437" s="45"/>
      <c r="L437" s="45"/>
      <c r="N437" s="46"/>
      <c r="P437" s="47"/>
      <c r="Q437" s="47"/>
      <c r="R437" s="47"/>
      <c r="V437" s="45"/>
    </row>
    <row r="438" spans="3:22" ht="14.25" customHeight="1">
      <c r="C438" s="45"/>
      <c r="D438" s="45"/>
      <c r="E438" s="45"/>
      <c r="F438" s="45"/>
      <c r="G438" s="45"/>
      <c r="H438" s="45"/>
      <c r="I438" s="45"/>
      <c r="J438" s="45"/>
      <c r="K438" s="45"/>
      <c r="L438" s="45"/>
      <c r="N438" s="46"/>
      <c r="P438" s="47"/>
      <c r="Q438" s="47"/>
      <c r="R438" s="47"/>
      <c r="V438" s="45"/>
    </row>
    <row r="439" spans="3:22" ht="14.25" customHeight="1">
      <c r="C439" s="45"/>
      <c r="D439" s="45"/>
      <c r="E439" s="45"/>
      <c r="F439" s="45"/>
      <c r="G439" s="45"/>
      <c r="H439" s="45"/>
      <c r="I439" s="45"/>
      <c r="J439" s="45"/>
      <c r="K439" s="45"/>
      <c r="L439" s="45"/>
      <c r="N439" s="46"/>
      <c r="P439" s="47"/>
      <c r="Q439" s="47"/>
      <c r="R439" s="47"/>
      <c r="V439" s="45"/>
    </row>
    <row r="440" spans="3:22" ht="14.25" customHeight="1">
      <c r="C440" s="45"/>
      <c r="D440" s="45"/>
      <c r="E440" s="45"/>
      <c r="F440" s="45"/>
      <c r="G440" s="45"/>
      <c r="H440" s="45"/>
      <c r="I440" s="45"/>
      <c r="J440" s="45"/>
      <c r="K440" s="45"/>
      <c r="L440" s="45"/>
      <c r="N440" s="46"/>
      <c r="P440" s="47"/>
      <c r="Q440" s="47"/>
      <c r="R440" s="47"/>
      <c r="V440" s="45"/>
    </row>
    <row r="441" spans="3:22" ht="14.25" customHeight="1">
      <c r="C441" s="45"/>
      <c r="D441" s="45"/>
      <c r="E441" s="45"/>
      <c r="F441" s="45"/>
      <c r="G441" s="45"/>
      <c r="H441" s="45"/>
      <c r="I441" s="45"/>
      <c r="J441" s="45"/>
      <c r="K441" s="45"/>
      <c r="L441" s="45"/>
      <c r="N441" s="46"/>
      <c r="P441" s="47"/>
      <c r="Q441" s="47"/>
      <c r="R441" s="47"/>
      <c r="V441" s="45"/>
    </row>
    <row r="442" spans="3:22" ht="14.25" customHeight="1">
      <c r="C442" s="45"/>
      <c r="D442" s="45"/>
      <c r="E442" s="45"/>
      <c r="F442" s="45"/>
      <c r="G442" s="45"/>
      <c r="H442" s="45"/>
      <c r="I442" s="45"/>
      <c r="J442" s="45"/>
      <c r="K442" s="45"/>
      <c r="L442" s="45"/>
      <c r="N442" s="46"/>
      <c r="P442" s="47"/>
      <c r="Q442" s="47"/>
      <c r="R442" s="47"/>
      <c r="V442" s="45"/>
    </row>
    <row r="443" spans="3:22" ht="14.25" customHeight="1">
      <c r="C443" s="45"/>
      <c r="D443" s="45"/>
      <c r="E443" s="45"/>
      <c r="F443" s="45"/>
      <c r="G443" s="45"/>
      <c r="H443" s="45"/>
      <c r="I443" s="45"/>
      <c r="J443" s="45"/>
      <c r="K443" s="45"/>
      <c r="L443" s="45"/>
      <c r="N443" s="46"/>
      <c r="P443" s="47"/>
      <c r="Q443" s="47"/>
      <c r="R443" s="47"/>
      <c r="V443" s="45"/>
    </row>
    <row r="444" spans="3:22" ht="14.25" customHeight="1">
      <c r="C444" s="45"/>
      <c r="D444" s="45"/>
      <c r="E444" s="45"/>
      <c r="F444" s="45"/>
      <c r="G444" s="45"/>
      <c r="H444" s="45"/>
      <c r="I444" s="45"/>
      <c r="J444" s="45"/>
      <c r="K444" s="45"/>
      <c r="L444" s="45"/>
      <c r="N444" s="46"/>
      <c r="P444" s="47"/>
      <c r="Q444" s="47"/>
      <c r="R444" s="47"/>
      <c r="V444" s="45"/>
    </row>
    <row r="445" spans="3:22" ht="14.25" customHeight="1">
      <c r="C445" s="45"/>
      <c r="D445" s="45"/>
      <c r="E445" s="45"/>
      <c r="F445" s="45"/>
      <c r="G445" s="45"/>
      <c r="H445" s="45"/>
      <c r="I445" s="45"/>
      <c r="J445" s="45"/>
      <c r="K445" s="45"/>
      <c r="L445" s="45"/>
      <c r="N445" s="46"/>
      <c r="P445" s="47"/>
      <c r="Q445" s="47"/>
      <c r="R445" s="47"/>
      <c r="V445" s="45"/>
    </row>
    <row r="446" spans="3:22" ht="14.25" customHeight="1">
      <c r="C446" s="45"/>
      <c r="D446" s="45"/>
      <c r="E446" s="45"/>
      <c r="F446" s="45"/>
      <c r="G446" s="45"/>
      <c r="H446" s="45"/>
      <c r="I446" s="45"/>
      <c r="J446" s="45"/>
      <c r="K446" s="45"/>
      <c r="L446" s="45"/>
      <c r="N446" s="46"/>
      <c r="P446" s="47"/>
      <c r="Q446" s="47"/>
      <c r="R446" s="47"/>
      <c r="V446" s="45"/>
    </row>
    <row r="447" spans="3:22" ht="14.25" customHeight="1">
      <c r="C447" s="45"/>
      <c r="D447" s="45"/>
      <c r="E447" s="45"/>
      <c r="F447" s="45"/>
      <c r="G447" s="45"/>
      <c r="H447" s="45"/>
      <c r="I447" s="45"/>
      <c r="J447" s="45"/>
      <c r="K447" s="45"/>
      <c r="L447" s="45"/>
      <c r="N447" s="46"/>
      <c r="P447" s="47"/>
      <c r="Q447" s="47"/>
      <c r="R447" s="47"/>
      <c r="V447" s="45"/>
    </row>
    <row r="448" spans="3:22" ht="14.25" customHeight="1">
      <c r="C448" s="45"/>
      <c r="D448" s="45"/>
      <c r="E448" s="45"/>
      <c r="F448" s="45"/>
      <c r="G448" s="45"/>
      <c r="H448" s="45"/>
      <c r="I448" s="45"/>
      <c r="J448" s="45"/>
      <c r="K448" s="45"/>
      <c r="L448" s="45"/>
      <c r="N448" s="46"/>
      <c r="P448" s="47"/>
      <c r="Q448" s="47"/>
      <c r="R448" s="47"/>
      <c r="V448" s="45"/>
    </row>
    <row r="449" spans="3:22" ht="14.25" customHeight="1">
      <c r="C449" s="45"/>
      <c r="D449" s="45"/>
      <c r="E449" s="45"/>
      <c r="F449" s="45"/>
      <c r="G449" s="45"/>
      <c r="H449" s="45"/>
      <c r="I449" s="45"/>
      <c r="J449" s="45"/>
      <c r="K449" s="45"/>
      <c r="L449" s="45"/>
      <c r="N449" s="46"/>
      <c r="P449" s="47"/>
      <c r="Q449" s="47"/>
      <c r="R449" s="47"/>
      <c r="V449" s="45"/>
    </row>
    <row r="450" spans="3:22" ht="14.25" customHeight="1">
      <c r="C450" s="45"/>
      <c r="D450" s="45"/>
      <c r="E450" s="45"/>
      <c r="F450" s="45"/>
      <c r="G450" s="45"/>
      <c r="H450" s="45"/>
      <c r="I450" s="45"/>
      <c r="J450" s="45"/>
      <c r="K450" s="45"/>
      <c r="L450" s="45"/>
      <c r="N450" s="46"/>
      <c r="P450" s="47"/>
      <c r="Q450" s="47"/>
      <c r="R450" s="47"/>
      <c r="V450" s="45"/>
    </row>
    <row r="451" spans="3:22" ht="14.25" customHeight="1">
      <c r="C451" s="45"/>
      <c r="D451" s="45"/>
      <c r="E451" s="45"/>
      <c r="F451" s="45"/>
      <c r="G451" s="45"/>
      <c r="H451" s="45"/>
      <c r="I451" s="45"/>
      <c r="J451" s="45"/>
      <c r="K451" s="45"/>
      <c r="L451" s="45"/>
      <c r="N451" s="46"/>
      <c r="P451" s="47"/>
      <c r="Q451" s="47"/>
      <c r="R451" s="47"/>
      <c r="V451" s="45"/>
    </row>
    <row r="452" spans="3:22" ht="14.25" customHeight="1">
      <c r="C452" s="45"/>
      <c r="D452" s="45"/>
      <c r="E452" s="45"/>
      <c r="F452" s="45"/>
      <c r="G452" s="45"/>
      <c r="H452" s="45"/>
      <c r="I452" s="45"/>
      <c r="J452" s="45"/>
      <c r="K452" s="45"/>
      <c r="L452" s="45"/>
      <c r="N452" s="46"/>
      <c r="P452" s="47"/>
      <c r="Q452" s="47"/>
      <c r="R452" s="47"/>
      <c r="V452" s="45"/>
    </row>
    <row r="453" spans="3:22" ht="14.25" customHeight="1">
      <c r="C453" s="45"/>
      <c r="D453" s="45"/>
      <c r="E453" s="45"/>
      <c r="F453" s="45"/>
      <c r="G453" s="45"/>
      <c r="H453" s="45"/>
      <c r="I453" s="45"/>
      <c r="J453" s="45"/>
      <c r="K453" s="45"/>
      <c r="L453" s="45"/>
      <c r="N453" s="46"/>
      <c r="P453" s="47"/>
      <c r="Q453" s="47"/>
      <c r="R453" s="47"/>
      <c r="V453" s="45"/>
    </row>
    <row r="454" spans="3:22" ht="14.25" customHeight="1">
      <c r="C454" s="45"/>
      <c r="D454" s="45"/>
      <c r="E454" s="45"/>
      <c r="F454" s="45"/>
      <c r="G454" s="45"/>
      <c r="H454" s="45"/>
      <c r="I454" s="45"/>
      <c r="J454" s="45"/>
      <c r="K454" s="45"/>
      <c r="L454" s="45"/>
      <c r="N454" s="46"/>
      <c r="P454" s="47"/>
      <c r="Q454" s="47"/>
      <c r="R454" s="47"/>
      <c r="V454" s="45"/>
    </row>
    <row r="455" spans="3:22" ht="14.25" customHeight="1">
      <c r="C455" s="45"/>
      <c r="D455" s="45"/>
      <c r="E455" s="45"/>
      <c r="F455" s="45"/>
      <c r="G455" s="45"/>
      <c r="H455" s="45"/>
      <c r="I455" s="45"/>
      <c r="J455" s="45"/>
      <c r="K455" s="45"/>
      <c r="L455" s="45"/>
      <c r="N455" s="46"/>
      <c r="P455" s="47"/>
      <c r="Q455" s="47"/>
      <c r="R455" s="47"/>
      <c r="V455" s="45"/>
    </row>
    <row r="456" spans="3:22" ht="14.25" customHeight="1">
      <c r="C456" s="45"/>
      <c r="D456" s="45"/>
      <c r="E456" s="45"/>
      <c r="F456" s="45"/>
      <c r="G456" s="45"/>
      <c r="H456" s="45"/>
      <c r="I456" s="45"/>
      <c r="J456" s="45"/>
      <c r="K456" s="45"/>
      <c r="L456" s="45"/>
      <c r="N456" s="46"/>
      <c r="P456" s="47"/>
      <c r="Q456" s="47"/>
      <c r="R456" s="47"/>
      <c r="V456" s="45"/>
    </row>
    <row r="457" spans="3:22" ht="14.25" customHeight="1">
      <c r="C457" s="45"/>
      <c r="D457" s="45"/>
      <c r="E457" s="45"/>
      <c r="F457" s="45"/>
      <c r="G457" s="45"/>
      <c r="H457" s="45"/>
      <c r="I457" s="45"/>
      <c r="J457" s="45"/>
      <c r="K457" s="45"/>
      <c r="L457" s="45"/>
      <c r="N457" s="46"/>
      <c r="P457" s="47"/>
      <c r="Q457" s="47"/>
      <c r="R457" s="47"/>
      <c r="V457" s="45"/>
    </row>
    <row r="458" spans="3:22" ht="14.25" customHeight="1">
      <c r="C458" s="45"/>
      <c r="D458" s="45"/>
      <c r="E458" s="45"/>
      <c r="F458" s="45"/>
      <c r="G458" s="45"/>
      <c r="H458" s="45"/>
      <c r="I458" s="45"/>
      <c r="J458" s="45"/>
      <c r="K458" s="45"/>
      <c r="L458" s="45"/>
      <c r="N458" s="46"/>
      <c r="P458" s="47"/>
      <c r="Q458" s="47"/>
      <c r="R458" s="47"/>
      <c r="V458" s="45"/>
    </row>
    <row r="459" spans="3:22" ht="14.25" customHeight="1">
      <c r="C459" s="45"/>
      <c r="D459" s="45"/>
      <c r="E459" s="45"/>
      <c r="F459" s="45"/>
      <c r="G459" s="45"/>
      <c r="H459" s="45"/>
      <c r="I459" s="45"/>
      <c r="J459" s="45"/>
      <c r="K459" s="45"/>
      <c r="L459" s="45"/>
      <c r="N459" s="46"/>
      <c r="P459" s="47"/>
      <c r="Q459" s="47"/>
      <c r="R459" s="47"/>
      <c r="V459" s="45"/>
    </row>
    <row r="460" spans="3:22" ht="14.25" customHeight="1">
      <c r="C460" s="45"/>
      <c r="D460" s="45"/>
      <c r="E460" s="45"/>
      <c r="F460" s="45"/>
      <c r="G460" s="45"/>
      <c r="H460" s="45"/>
      <c r="I460" s="45"/>
      <c r="J460" s="45"/>
      <c r="K460" s="45"/>
      <c r="L460" s="45"/>
      <c r="N460" s="46"/>
      <c r="P460" s="47"/>
      <c r="Q460" s="47"/>
      <c r="R460" s="47"/>
      <c r="V460" s="45"/>
    </row>
    <row r="461" spans="3:22" ht="14.25" customHeight="1">
      <c r="C461" s="45"/>
      <c r="D461" s="45"/>
      <c r="E461" s="45"/>
      <c r="F461" s="45"/>
      <c r="G461" s="45"/>
      <c r="H461" s="45"/>
      <c r="I461" s="45"/>
      <c r="J461" s="45"/>
      <c r="K461" s="45"/>
      <c r="L461" s="45"/>
      <c r="N461" s="46"/>
      <c r="P461" s="47"/>
      <c r="Q461" s="47"/>
      <c r="R461" s="47"/>
      <c r="V461" s="45"/>
    </row>
    <row r="462" spans="3:22" ht="14.25" customHeight="1">
      <c r="C462" s="45"/>
      <c r="D462" s="45"/>
      <c r="E462" s="45"/>
      <c r="F462" s="45"/>
      <c r="G462" s="45"/>
      <c r="H462" s="45"/>
      <c r="I462" s="45"/>
      <c r="J462" s="45"/>
      <c r="K462" s="45"/>
      <c r="L462" s="45"/>
      <c r="N462" s="46"/>
      <c r="P462" s="47"/>
      <c r="Q462" s="47"/>
      <c r="R462" s="47"/>
      <c r="V462" s="45"/>
    </row>
    <row r="463" spans="3:22" ht="14.25" customHeight="1">
      <c r="C463" s="45"/>
      <c r="D463" s="45"/>
      <c r="E463" s="45"/>
      <c r="F463" s="45"/>
      <c r="G463" s="45"/>
      <c r="H463" s="45"/>
      <c r="I463" s="45"/>
      <c r="J463" s="45"/>
      <c r="K463" s="45"/>
      <c r="L463" s="45"/>
      <c r="N463" s="46"/>
      <c r="P463" s="47"/>
      <c r="Q463" s="47"/>
      <c r="R463" s="47"/>
      <c r="V463" s="45"/>
    </row>
    <row r="464" spans="3:22" ht="14.25" customHeight="1">
      <c r="C464" s="45"/>
      <c r="D464" s="45"/>
      <c r="E464" s="45"/>
      <c r="F464" s="45"/>
      <c r="G464" s="45"/>
      <c r="H464" s="45"/>
      <c r="I464" s="45"/>
      <c r="J464" s="45"/>
      <c r="K464" s="45"/>
      <c r="L464" s="45"/>
      <c r="N464" s="46"/>
      <c r="P464" s="47"/>
      <c r="Q464" s="47"/>
      <c r="R464" s="47"/>
      <c r="V464" s="45"/>
    </row>
    <row r="465" spans="3:22" ht="14.25" customHeight="1">
      <c r="C465" s="45"/>
      <c r="D465" s="45"/>
      <c r="E465" s="45"/>
      <c r="F465" s="45"/>
      <c r="G465" s="45"/>
      <c r="H465" s="45"/>
      <c r="I465" s="45"/>
      <c r="J465" s="45"/>
      <c r="K465" s="45"/>
      <c r="L465" s="45"/>
      <c r="N465" s="46"/>
      <c r="P465" s="47"/>
      <c r="Q465" s="47"/>
      <c r="R465" s="47"/>
      <c r="V465" s="45"/>
    </row>
    <row r="466" spans="3:22" ht="14.25" customHeight="1">
      <c r="C466" s="45"/>
      <c r="D466" s="45"/>
      <c r="E466" s="45"/>
      <c r="F466" s="45"/>
      <c r="G466" s="45"/>
      <c r="H466" s="45"/>
      <c r="I466" s="45"/>
      <c r="J466" s="45"/>
      <c r="K466" s="45"/>
      <c r="L466" s="45"/>
      <c r="N466" s="46"/>
      <c r="P466" s="47"/>
      <c r="Q466" s="47"/>
      <c r="R466" s="47"/>
      <c r="V466" s="45"/>
    </row>
    <row r="467" spans="3:22" ht="14.25" customHeight="1">
      <c r="C467" s="45"/>
      <c r="D467" s="45"/>
      <c r="E467" s="45"/>
      <c r="F467" s="45"/>
      <c r="G467" s="45"/>
      <c r="H467" s="45"/>
      <c r="I467" s="45"/>
      <c r="J467" s="45"/>
      <c r="K467" s="45"/>
      <c r="L467" s="45"/>
      <c r="N467" s="46"/>
      <c r="P467" s="47"/>
      <c r="Q467" s="47"/>
      <c r="R467" s="47"/>
      <c r="V467" s="45"/>
    </row>
    <row r="468" spans="3:22" ht="14.25" customHeight="1">
      <c r="C468" s="45"/>
      <c r="D468" s="45"/>
      <c r="E468" s="45"/>
      <c r="F468" s="45"/>
      <c r="G468" s="45"/>
      <c r="H468" s="45"/>
      <c r="I468" s="45"/>
      <c r="J468" s="45"/>
      <c r="K468" s="45"/>
      <c r="L468" s="45"/>
      <c r="N468" s="46"/>
      <c r="P468" s="47"/>
      <c r="Q468" s="47"/>
      <c r="R468" s="47"/>
      <c r="V468" s="45"/>
    </row>
    <row r="469" spans="3:22" ht="14.25" customHeight="1">
      <c r="C469" s="45"/>
      <c r="D469" s="45"/>
      <c r="E469" s="45"/>
      <c r="F469" s="45"/>
      <c r="G469" s="45"/>
      <c r="H469" s="45"/>
      <c r="I469" s="45"/>
      <c r="J469" s="45"/>
      <c r="K469" s="45"/>
      <c r="L469" s="45"/>
      <c r="N469" s="46"/>
      <c r="P469" s="47"/>
      <c r="Q469" s="47"/>
      <c r="R469" s="47"/>
      <c r="V469" s="45"/>
    </row>
    <row r="470" spans="3:22" ht="14.25" customHeight="1">
      <c r="C470" s="45"/>
      <c r="D470" s="45"/>
      <c r="E470" s="45"/>
      <c r="F470" s="45"/>
      <c r="G470" s="45"/>
      <c r="H470" s="45"/>
      <c r="I470" s="45"/>
      <c r="J470" s="45"/>
      <c r="K470" s="45"/>
      <c r="L470" s="45"/>
      <c r="N470" s="46"/>
      <c r="P470" s="47"/>
      <c r="Q470" s="47"/>
      <c r="R470" s="47"/>
      <c r="V470" s="45"/>
    </row>
    <row r="471" spans="3:22" ht="14.25" customHeight="1">
      <c r="C471" s="45"/>
      <c r="D471" s="45"/>
      <c r="E471" s="45"/>
      <c r="F471" s="45"/>
      <c r="G471" s="45"/>
      <c r="H471" s="45"/>
      <c r="I471" s="45"/>
      <c r="J471" s="45"/>
      <c r="K471" s="45"/>
      <c r="L471" s="45"/>
      <c r="N471" s="46"/>
      <c r="P471" s="47"/>
      <c r="Q471" s="47"/>
      <c r="R471" s="47"/>
      <c r="V471" s="45"/>
    </row>
    <row r="472" spans="3:22" ht="14.25" customHeight="1">
      <c r="C472" s="45"/>
      <c r="D472" s="45"/>
      <c r="E472" s="45"/>
      <c r="F472" s="45"/>
      <c r="G472" s="45"/>
      <c r="H472" s="45"/>
      <c r="I472" s="45"/>
      <c r="J472" s="45"/>
      <c r="K472" s="45"/>
      <c r="L472" s="45"/>
      <c r="N472" s="46"/>
      <c r="P472" s="47"/>
      <c r="Q472" s="47"/>
      <c r="R472" s="47"/>
      <c r="V472" s="45"/>
    </row>
    <row r="473" spans="3:22" ht="14.25" customHeight="1">
      <c r="C473" s="45"/>
      <c r="D473" s="45"/>
      <c r="E473" s="45"/>
      <c r="F473" s="45"/>
      <c r="G473" s="45"/>
      <c r="H473" s="45"/>
      <c r="I473" s="45"/>
      <c r="J473" s="45"/>
      <c r="K473" s="45"/>
      <c r="L473" s="45"/>
      <c r="N473" s="46"/>
      <c r="P473" s="47"/>
      <c r="Q473" s="47"/>
      <c r="R473" s="47"/>
      <c r="V473" s="45"/>
    </row>
    <row r="474" spans="3:22" ht="14.25" customHeight="1">
      <c r="C474" s="45"/>
      <c r="D474" s="45"/>
      <c r="E474" s="45"/>
      <c r="F474" s="45"/>
      <c r="G474" s="45"/>
      <c r="H474" s="45"/>
      <c r="I474" s="45"/>
      <c r="J474" s="45"/>
      <c r="K474" s="45"/>
      <c r="L474" s="45"/>
      <c r="N474" s="46"/>
      <c r="P474" s="47"/>
      <c r="Q474" s="47"/>
      <c r="R474" s="47"/>
      <c r="V474" s="45"/>
    </row>
    <row r="475" spans="3:22" ht="14.25" customHeight="1">
      <c r="C475" s="45"/>
      <c r="D475" s="45"/>
      <c r="E475" s="45"/>
      <c r="F475" s="45"/>
      <c r="G475" s="45"/>
      <c r="H475" s="45"/>
      <c r="I475" s="45"/>
      <c r="J475" s="45"/>
      <c r="K475" s="45"/>
      <c r="L475" s="45"/>
      <c r="N475" s="46"/>
      <c r="P475" s="47"/>
      <c r="Q475" s="47"/>
      <c r="R475" s="47"/>
      <c r="V475" s="45"/>
    </row>
    <row r="476" spans="3:22" ht="14.25" customHeight="1">
      <c r="C476" s="45"/>
      <c r="D476" s="45"/>
      <c r="E476" s="45"/>
      <c r="F476" s="45"/>
      <c r="G476" s="45"/>
      <c r="H476" s="45"/>
      <c r="I476" s="45"/>
      <c r="J476" s="45"/>
      <c r="K476" s="45"/>
      <c r="L476" s="45"/>
      <c r="N476" s="46"/>
      <c r="P476" s="47"/>
      <c r="Q476" s="47"/>
      <c r="R476" s="47"/>
      <c r="V476" s="45"/>
    </row>
    <row r="477" spans="3:22" ht="14.25" customHeight="1">
      <c r="C477" s="45"/>
      <c r="D477" s="45"/>
      <c r="E477" s="45"/>
      <c r="F477" s="45"/>
      <c r="G477" s="45"/>
      <c r="H477" s="45"/>
      <c r="I477" s="45"/>
      <c r="J477" s="45"/>
      <c r="K477" s="45"/>
      <c r="L477" s="45"/>
      <c r="N477" s="46"/>
      <c r="P477" s="47"/>
      <c r="Q477" s="47"/>
      <c r="R477" s="47"/>
      <c r="V477" s="45"/>
    </row>
    <row r="478" spans="3:22" ht="14.25" customHeight="1">
      <c r="C478" s="45"/>
      <c r="D478" s="45"/>
      <c r="E478" s="45"/>
      <c r="F478" s="45"/>
      <c r="G478" s="45"/>
      <c r="H478" s="45"/>
      <c r="I478" s="45"/>
      <c r="J478" s="45"/>
      <c r="K478" s="45"/>
      <c r="L478" s="45"/>
      <c r="N478" s="46"/>
      <c r="P478" s="47"/>
      <c r="Q478" s="47"/>
      <c r="R478" s="47"/>
      <c r="V478" s="45"/>
    </row>
    <row r="479" spans="3:22" ht="14.25" customHeight="1">
      <c r="C479" s="45"/>
      <c r="D479" s="45"/>
      <c r="E479" s="45"/>
      <c r="F479" s="45"/>
      <c r="G479" s="45"/>
      <c r="H479" s="45"/>
      <c r="I479" s="45"/>
      <c r="J479" s="45"/>
      <c r="K479" s="45"/>
      <c r="L479" s="45"/>
      <c r="N479" s="46"/>
      <c r="P479" s="47"/>
      <c r="Q479" s="47"/>
      <c r="R479" s="47"/>
      <c r="V479" s="45"/>
    </row>
    <row r="480" spans="3:22" ht="14.25" customHeight="1">
      <c r="C480" s="45"/>
      <c r="D480" s="45"/>
      <c r="E480" s="45"/>
      <c r="F480" s="45"/>
      <c r="G480" s="45"/>
      <c r="H480" s="45"/>
      <c r="I480" s="45"/>
      <c r="J480" s="45"/>
      <c r="K480" s="45"/>
      <c r="L480" s="45"/>
      <c r="N480" s="46"/>
      <c r="P480" s="47"/>
      <c r="Q480" s="47"/>
      <c r="R480" s="47"/>
      <c r="V480" s="45"/>
    </row>
    <row r="481" spans="3:22" ht="14.25" customHeight="1">
      <c r="C481" s="45"/>
      <c r="D481" s="45"/>
      <c r="E481" s="45"/>
      <c r="F481" s="45"/>
      <c r="G481" s="45"/>
      <c r="H481" s="45"/>
      <c r="I481" s="45"/>
      <c r="J481" s="45"/>
      <c r="K481" s="45"/>
      <c r="L481" s="45"/>
      <c r="N481" s="46"/>
      <c r="P481" s="47"/>
      <c r="Q481" s="47"/>
      <c r="R481" s="47"/>
      <c r="V481" s="45"/>
    </row>
    <row r="482" spans="3:22" ht="14.25" customHeight="1">
      <c r="C482" s="45"/>
      <c r="D482" s="45"/>
      <c r="E482" s="45"/>
      <c r="F482" s="45"/>
      <c r="G482" s="45"/>
      <c r="H482" s="45"/>
      <c r="I482" s="45"/>
      <c r="J482" s="45"/>
      <c r="K482" s="45"/>
      <c r="L482" s="45"/>
      <c r="N482" s="46"/>
      <c r="P482" s="47"/>
      <c r="Q482" s="47"/>
      <c r="R482" s="47"/>
      <c r="V482" s="45"/>
    </row>
    <row r="483" spans="3:22" ht="14.25" customHeight="1">
      <c r="C483" s="45"/>
      <c r="D483" s="45"/>
      <c r="E483" s="45"/>
      <c r="F483" s="45"/>
      <c r="G483" s="45"/>
      <c r="H483" s="45"/>
      <c r="I483" s="45"/>
      <c r="J483" s="45"/>
      <c r="K483" s="45"/>
      <c r="L483" s="45"/>
      <c r="N483" s="46"/>
      <c r="P483" s="47"/>
      <c r="Q483" s="47"/>
      <c r="R483" s="47"/>
      <c r="V483" s="45"/>
    </row>
    <row r="484" spans="3:22" ht="14.25" customHeight="1">
      <c r="C484" s="45"/>
      <c r="D484" s="45"/>
      <c r="E484" s="45"/>
      <c r="F484" s="45"/>
      <c r="G484" s="45"/>
      <c r="H484" s="45"/>
      <c r="I484" s="45"/>
      <c r="J484" s="45"/>
      <c r="K484" s="45"/>
      <c r="L484" s="45"/>
      <c r="N484" s="46"/>
      <c r="P484" s="47"/>
      <c r="Q484" s="47"/>
      <c r="R484" s="47"/>
      <c r="V484" s="45"/>
    </row>
    <row r="485" spans="3:22" ht="14.25" customHeight="1">
      <c r="C485" s="45"/>
      <c r="D485" s="45"/>
      <c r="E485" s="45"/>
      <c r="F485" s="45"/>
      <c r="G485" s="45"/>
      <c r="H485" s="45"/>
      <c r="I485" s="45"/>
      <c r="J485" s="45"/>
      <c r="K485" s="45"/>
      <c r="L485" s="45"/>
      <c r="N485" s="46"/>
      <c r="P485" s="47"/>
      <c r="Q485" s="47"/>
      <c r="R485" s="47"/>
      <c r="V485" s="45"/>
    </row>
    <row r="486" spans="3:22" ht="14.25" customHeight="1">
      <c r="C486" s="45"/>
      <c r="D486" s="45"/>
      <c r="E486" s="45"/>
      <c r="F486" s="45"/>
      <c r="G486" s="45"/>
      <c r="H486" s="45"/>
      <c r="I486" s="45"/>
      <c r="J486" s="45"/>
      <c r="K486" s="45"/>
      <c r="L486" s="45"/>
      <c r="N486" s="46"/>
      <c r="P486" s="47"/>
      <c r="Q486" s="47"/>
      <c r="R486" s="47"/>
      <c r="V486" s="45"/>
    </row>
    <row r="487" spans="3:22" ht="14.25" customHeight="1">
      <c r="C487" s="45"/>
      <c r="D487" s="45"/>
      <c r="E487" s="45"/>
      <c r="F487" s="45"/>
      <c r="G487" s="45"/>
      <c r="H487" s="45"/>
      <c r="I487" s="45"/>
      <c r="J487" s="45"/>
      <c r="K487" s="45"/>
      <c r="L487" s="45"/>
      <c r="N487" s="46"/>
      <c r="P487" s="47"/>
      <c r="Q487" s="47"/>
      <c r="R487" s="47"/>
      <c r="V487" s="45"/>
    </row>
    <row r="488" spans="3:22" ht="14.25" customHeight="1">
      <c r="C488" s="45"/>
      <c r="D488" s="45"/>
      <c r="E488" s="45"/>
      <c r="F488" s="45"/>
      <c r="G488" s="45"/>
      <c r="H488" s="45"/>
      <c r="I488" s="45"/>
      <c r="J488" s="45"/>
      <c r="K488" s="45"/>
      <c r="L488" s="45"/>
      <c r="N488" s="46"/>
      <c r="P488" s="47"/>
      <c r="Q488" s="47"/>
      <c r="R488" s="47"/>
      <c r="V488" s="45"/>
    </row>
    <row r="489" spans="3:22" ht="14.25" customHeight="1">
      <c r="C489" s="45"/>
      <c r="D489" s="45"/>
      <c r="E489" s="45"/>
      <c r="F489" s="45"/>
      <c r="G489" s="45"/>
      <c r="H489" s="45"/>
      <c r="I489" s="45"/>
      <c r="J489" s="45"/>
      <c r="K489" s="45"/>
      <c r="L489" s="45"/>
      <c r="N489" s="46"/>
      <c r="P489" s="47"/>
      <c r="Q489" s="47"/>
      <c r="R489" s="47"/>
      <c r="V489" s="45"/>
    </row>
    <row r="490" spans="3:22" ht="14.25" customHeight="1">
      <c r="C490" s="45"/>
      <c r="D490" s="45"/>
      <c r="E490" s="45"/>
      <c r="F490" s="45"/>
      <c r="G490" s="45"/>
      <c r="H490" s="45"/>
      <c r="I490" s="45"/>
      <c r="J490" s="45"/>
      <c r="K490" s="45"/>
      <c r="L490" s="45"/>
      <c r="N490" s="46"/>
      <c r="P490" s="47"/>
      <c r="Q490" s="47"/>
      <c r="R490" s="47"/>
      <c r="V490" s="45"/>
    </row>
    <row r="491" spans="3:22" ht="14.25" customHeight="1">
      <c r="C491" s="45"/>
      <c r="D491" s="45"/>
      <c r="E491" s="45"/>
      <c r="F491" s="45"/>
      <c r="G491" s="45"/>
      <c r="H491" s="45"/>
      <c r="I491" s="45"/>
      <c r="J491" s="45"/>
      <c r="K491" s="45"/>
      <c r="L491" s="45"/>
      <c r="N491" s="46"/>
      <c r="P491" s="47"/>
      <c r="Q491" s="47"/>
      <c r="R491" s="47"/>
      <c r="V491" s="45"/>
    </row>
    <row r="492" spans="3:22" ht="14.25" customHeight="1">
      <c r="C492" s="45"/>
      <c r="D492" s="45"/>
      <c r="E492" s="45"/>
      <c r="F492" s="45"/>
      <c r="G492" s="45"/>
      <c r="H492" s="45"/>
      <c r="I492" s="45"/>
      <c r="J492" s="45"/>
      <c r="K492" s="45"/>
      <c r="L492" s="45"/>
      <c r="N492" s="46"/>
      <c r="P492" s="47"/>
      <c r="Q492" s="47"/>
      <c r="R492" s="47"/>
      <c r="V492" s="45"/>
    </row>
    <row r="493" spans="3:22" ht="14.25" customHeight="1">
      <c r="C493" s="45"/>
      <c r="D493" s="45"/>
      <c r="E493" s="45"/>
      <c r="F493" s="45"/>
      <c r="G493" s="45"/>
      <c r="H493" s="45"/>
      <c r="I493" s="45"/>
      <c r="J493" s="45"/>
      <c r="K493" s="45"/>
      <c r="L493" s="45"/>
      <c r="N493" s="46"/>
      <c r="P493" s="47"/>
      <c r="Q493" s="47"/>
      <c r="R493" s="47"/>
      <c r="V493" s="45"/>
    </row>
    <row r="494" spans="3:22" ht="14.25" customHeight="1">
      <c r="C494" s="45"/>
      <c r="D494" s="45"/>
      <c r="E494" s="45"/>
      <c r="F494" s="45"/>
      <c r="G494" s="45"/>
      <c r="H494" s="45"/>
      <c r="I494" s="45"/>
      <c r="J494" s="45"/>
      <c r="K494" s="45"/>
      <c r="L494" s="45"/>
      <c r="N494" s="46"/>
      <c r="P494" s="47"/>
      <c r="Q494" s="47"/>
      <c r="R494" s="47"/>
      <c r="V494" s="45"/>
    </row>
    <row r="495" spans="3:22" ht="14.25" customHeight="1">
      <c r="C495" s="45"/>
      <c r="D495" s="45"/>
      <c r="E495" s="45"/>
      <c r="F495" s="45"/>
      <c r="G495" s="45"/>
      <c r="H495" s="45"/>
      <c r="I495" s="45"/>
      <c r="J495" s="45"/>
      <c r="K495" s="45"/>
      <c r="L495" s="45"/>
      <c r="N495" s="46"/>
      <c r="P495" s="47"/>
      <c r="Q495" s="47"/>
      <c r="R495" s="47"/>
      <c r="V495" s="45"/>
    </row>
    <row r="496" spans="3:22" ht="14.25" customHeight="1">
      <c r="C496" s="45"/>
      <c r="D496" s="45"/>
      <c r="E496" s="45"/>
      <c r="F496" s="45"/>
      <c r="G496" s="45"/>
      <c r="H496" s="45"/>
      <c r="I496" s="45"/>
      <c r="J496" s="45"/>
      <c r="K496" s="45"/>
      <c r="L496" s="45"/>
      <c r="N496" s="46"/>
      <c r="P496" s="47"/>
      <c r="Q496" s="47"/>
      <c r="R496" s="47"/>
      <c r="V496" s="45"/>
    </row>
    <row r="497" spans="3:22" ht="14.25" customHeight="1">
      <c r="C497" s="45"/>
      <c r="D497" s="45"/>
      <c r="E497" s="45"/>
      <c r="F497" s="45"/>
      <c r="G497" s="45"/>
      <c r="H497" s="45"/>
      <c r="I497" s="45"/>
      <c r="J497" s="45"/>
      <c r="K497" s="45"/>
      <c r="L497" s="45"/>
      <c r="N497" s="46"/>
      <c r="P497" s="47"/>
      <c r="Q497" s="47"/>
      <c r="R497" s="47"/>
      <c r="V497" s="45"/>
    </row>
    <row r="498" spans="3:22" ht="14.25" customHeight="1">
      <c r="C498" s="45"/>
      <c r="D498" s="45"/>
      <c r="E498" s="45"/>
      <c r="F498" s="45"/>
      <c r="G498" s="45"/>
      <c r="H498" s="45"/>
      <c r="I498" s="45"/>
      <c r="J498" s="45"/>
      <c r="K498" s="45"/>
      <c r="L498" s="45"/>
      <c r="N498" s="46"/>
      <c r="P498" s="47"/>
      <c r="Q498" s="47"/>
      <c r="R498" s="47"/>
      <c r="V498" s="45"/>
    </row>
    <row r="499" spans="3:22" ht="14.25" customHeight="1">
      <c r="C499" s="45"/>
      <c r="D499" s="45"/>
      <c r="E499" s="45"/>
      <c r="F499" s="45"/>
      <c r="G499" s="45"/>
      <c r="H499" s="45"/>
      <c r="I499" s="45"/>
      <c r="J499" s="45"/>
      <c r="K499" s="45"/>
      <c r="L499" s="45"/>
      <c r="N499" s="46"/>
      <c r="P499" s="47"/>
      <c r="Q499" s="47"/>
      <c r="R499" s="47"/>
      <c r="V499" s="45"/>
    </row>
    <row r="500" spans="3:22" ht="14.25" customHeight="1">
      <c r="C500" s="45"/>
      <c r="D500" s="45"/>
      <c r="E500" s="45"/>
      <c r="F500" s="45"/>
      <c r="G500" s="45"/>
      <c r="H500" s="45"/>
      <c r="I500" s="45"/>
      <c r="J500" s="45"/>
      <c r="K500" s="45"/>
      <c r="L500" s="45"/>
      <c r="N500" s="46"/>
      <c r="P500" s="47"/>
      <c r="Q500" s="47"/>
      <c r="R500" s="47"/>
      <c r="V500" s="45"/>
    </row>
    <row r="501" spans="3:22" ht="14.25" customHeight="1">
      <c r="C501" s="45"/>
      <c r="D501" s="45"/>
      <c r="E501" s="45"/>
      <c r="F501" s="45"/>
      <c r="G501" s="45"/>
      <c r="H501" s="45"/>
      <c r="I501" s="45"/>
      <c r="J501" s="45"/>
      <c r="K501" s="45"/>
      <c r="L501" s="45"/>
      <c r="N501" s="46"/>
      <c r="P501" s="47"/>
      <c r="Q501" s="47"/>
      <c r="R501" s="47"/>
      <c r="V501" s="45"/>
    </row>
    <row r="502" spans="3:22" ht="14.25" customHeight="1">
      <c r="C502" s="45"/>
      <c r="D502" s="45"/>
      <c r="E502" s="45"/>
      <c r="F502" s="45"/>
      <c r="G502" s="45"/>
      <c r="H502" s="45"/>
      <c r="I502" s="45"/>
      <c r="J502" s="45"/>
      <c r="K502" s="45"/>
      <c r="L502" s="45"/>
      <c r="N502" s="46"/>
      <c r="P502" s="47"/>
      <c r="Q502" s="47"/>
      <c r="R502" s="47"/>
      <c r="V502" s="45"/>
    </row>
    <row r="503" spans="3:22" ht="14.25" customHeight="1">
      <c r="C503" s="45"/>
      <c r="D503" s="45"/>
      <c r="E503" s="45"/>
      <c r="F503" s="45"/>
      <c r="G503" s="45"/>
      <c r="H503" s="45"/>
      <c r="I503" s="45"/>
      <c r="J503" s="45"/>
      <c r="K503" s="45"/>
      <c r="L503" s="45"/>
      <c r="N503" s="46"/>
      <c r="P503" s="47"/>
      <c r="Q503" s="47"/>
      <c r="R503" s="47"/>
      <c r="V503" s="45"/>
    </row>
    <row r="504" spans="3:22" ht="14.25" customHeight="1">
      <c r="C504" s="45"/>
      <c r="D504" s="45"/>
      <c r="E504" s="45"/>
      <c r="F504" s="45"/>
      <c r="G504" s="45"/>
      <c r="H504" s="45"/>
      <c r="I504" s="45"/>
      <c r="J504" s="45"/>
      <c r="K504" s="45"/>
      <c r="L504" s="45"/>
      <c r="N504" s="46"/>
      <c r="P504" s="47"/>
      <c r="Q504" s="47"/>
      <c r="R504" s="47"/>
      <c r="V504" s="45"/>
    </row>
    <row r="505" spans="3:22" ht="14.25" customHeight="1">
      <c r="C505" s="45"/>
      <c r="D505" s="45"/>
      <c r="E505" s="45"/>
      <c r="F505" s="45"/>
      <c r="G505" s="45"/>
      <c r="H505" s="45"/>
      <c r="I505" s="45"/>
      <c r="J505" s="45"/>
      <c r="K505" s="45"/>
      <c r="L505" s="45"/>
      <c r="N505" s="46"/>
      <c r="P505" s="47"/>
      <c r="Q505" s="47"/>
      <c r="R505" s="47"/>
      <c r="V505" s="45"/>
    </row>
    <row r="506" spans="3:22" ht="14.25" customHeight="1">
      <c r="C506" s="45"/>
      <c r="D506" s="45"/>
      <c r="E506" s="45"/>
      <c r="F506" s="45"/>
      <c r="G506" s="45"/>
      <c r="H506" s="45"/>
      <c r="I506" s="45"/>
      <c r="J506" s="45"/>
      <c r="K506" s="45"/>
      <c r="L506" s="45"/>
      <c r="N506" s="46"/>
      <c r="P506" s="47"/>
      <c r="Q506" s="47"/>
      <c r="R506" s="47"/>
      <c r="V506" s="45"/>
    </row>
    <row r="507" spans="3:22" ht="14.25" customHeight="1">
      <c r="C507" s="45"/>
      <c r="D507" s="45"/>
      <c r="E507" s="45"/>
      <c r="F507" s="45"/>
      <c r="G507" s="45"/>
      <c r="H507" s="45"/>
      <c r="I507" s="45"/>
      <c r="J507" s="45"/>
      <c r="K507" s="45"/>
      <c r="L507" s="45"/>
      <c r="N507" s="46"/>
      <c r="P507" s="47"/>
      <c r="Q507" s="47"/>
      <c r="R507" s="47"/>
      <c r="V507" s="45"/>
    </row>
    <row r="508" spans="3:22" ht="14.25" customHeight="1">
      <c r="C508" s="45"/>
      <c r="D508" s="45"/>
      <c r="E508" s="45"/>
      <c r="F508" s="45"/>
      <c r="G508" s="45"/>
      <c r="H508" s="45"/>
      <c r="I508" s="45"/>
      <c r="J508" s="45"/>
      <c r="K508" s="45"/>
      <c r="L508" s="45"/>
      <c r="N508" s="46"/>
      <c r="P508" s="47"/>
      <c r="Q508" s="47"/>
      <c r="R508" s="47"/>
      <c r="V508" s="45"/>
    </row>
    <row r="509" spans="3:22" ht="14.25" customHeight="1">
      <c r="C509" s="45"/>
      <c r="D509" s="45"/>
      <c r="E509" s="45"/>
      <c r="F509" s="45"/>
      <c r="G509" s="45"/>
      <c r="H509" s="45"/>
      <c r="I509" s="45"/>
      <c r="J509" s="45"/>
      <c r="K509" s="45"/>
      <c r="L509" s="45"/>
      <c r="N509" s="46"/>
      <c r="P509" s="47"/>
      <c r="Q509" s="47"/>
      <c r="R509" s="47"/>
      <c r="V509" s="45"/>
    </row>
    <row r="510" spans="3:22" ht="14.25" customHeight="1">
      <c r="C510" s="45"/>
      <c r="D510" s="45"/>
      <c r="E510" s="45"/>
      <c r="F510" s="45"/>
      <c r="G510" s="45"/>
      <c r="H510" s="45"/>
      <c r="I510" s="45"/>
      <c r="J510" s="45"/>
      <c r="K510" s="45"/>
      <c r="L510" s="45"/>
      <c r="N510" s="46"/>
      <c r="P510" s="47"/>
      <c r="Q510" s="47"/>
      <c r="R510" s="47"/>
      <c r="V510" s="45"/>
    </row>
    <row r="511" spans="3:22" ht="14.25" customHeight="1">
      <c r="C511" s="45"/>
      <c r="D511" s="45"/>
      <c r="E511" s="45"/>
      <c r="F511" s="45"/>
      <c r="G511" s="45"/>
      <c r="H511" s="45"/>
      <c r="I511" s="45"/>
      <c r="J511" s="45"/>
      <c r="K511" s="45"/>
      <c r="L511" s="45"/>
      <c r="N511" s="46"/>
      <c r="P511" s="47"/>
      <c r="Q511" s="47"/>
      <c r="R511" s="47"/>
      <c r="V511" s="45"/>
    </row>
    <row r="512" spans="3:22" ht="14.25" customHeight="1">
      <c r="C512" s="45"/>
      <c r="D512" s="45"/>
      <c r="E512" s="45"/>
      <c r="F512" s="45"/>
      <c r="G512" s="45"/>
      <c r="H512" s="45"/>
      <c r="I512" s="45"/>
      <c r="J512" s="45"/>
      <c r="K512" s="45"/>
      <c r="L512" s="45"/>
      <c r="N512" s="46"/>
      <c r="P512" s="47"/>
      <c r="Q512" s="47"/>
      <c r="R512" s="47"/>
      <c r="V512" s="45"/>
    </row>
    <row r="513" spans="3:22" ht="14.25" customHeight="1">
      <c r="C513" s="45"/>
      <c r="D513" s="45"/>
      <c r="E513" s="45"/>
      <c r="F513" s="45"/>
      <c r="G513" s="45"/>
      <c r="H513" s="45"/>
      <c r="I513" s="45"/>
      <c r="J513" s="45"/>
      <c r="K513" s="45"/>
      <c r="L513" s="45"/>
      <c r="N513" s="46"/>
      <c r="P513" s="47"/>
      <c r="Q513" s="47"/>
      <c r="R513" s="47"/>
      <c r="V513" s="45"/>
    </row>
    <row r="514" spans="3:22" ht="14.25" customHeight="1">
      <c r="C514" s="45"/>
      <c r="D514" s="45"/>
      <c r="E514" s="45"/>
      <c r="F514" s="45"/>
      <c r="G514" s="45"/>
      <c r="H514" s="45"/>
      <c r="I514" s="45"/>
      <c r="J514" s="45"/>
      <c r="K514" s="45"/>
      <c r="L514" s="45"/>
      <c r="N514" s="46"/>
      <c r="P514" s="47"/>
      <c r="Q514" s="47"/>
      <c r="R514" s="47"/>
      <c r="V514" s="45"/>
    </row>
    <row r="515" spans="3:22" ht="14.25" customHeight="1">
      <c r="C515" s="45"/>
      <c r="D515" s="45"/>
      <c r="E515" s="45"/>
      <c r="F515" s="45"/>
      <c r="G515" s="45"/>
      <c r="H515" s="45"/>
      <c r="I515" s="45"/>
      <c r="J515" s="45"/>
      <c r="K515" s="45"/>
      <c r="L515" s="45"/>
      <c r="N515" s="46"/>
      <c r="P515" s="47"/>
      <c r="Q515" s="47"/>
      <c r="R515" s="47"/>
      <c r="V515" s="45"/>
    </row>
    <row r="516" spans="3:22" ht="14.25" customHeight="1">
      <c r="C516" s="45"/>
      <c r="D516" s="45"/>
      <c r="E516" s="45"/>
      <c r="F516" s="45"/>
      <c r="G516" s="45"/>
      <c r="H516" s="45"/>
      <c r="I516" s="45"/>
      <c r="J516" s="45"/>
      <c r="K516" s="45"/>
      <c r="L516" s="45"/>
      <c r="N516" s="46"/>
      <c r="P516" s="47"/>
      <c r="Q516" s="47"/>
      <c r="R516" s="47"/>
      <c r="V516" s="45"/>
    </row>
    <row r="517" spans="3:22" ht="14.25" customHeight="1">
      <c r="C517" s="45"/>
      <c r="D517" s="45"/>
      <c r="E517" s="45"/>
      <c r="F517" s="45"/>
      <c r="G517" s="45"/>
      <c r="H517" s="45"/>
      <c r="I517" s="45"/>
      <c r="J517" s="45"/>
      <c r="K517" s="45"/>
      <c r="L517" s="45"/>
      <c r="N517" s="46"/>
      <c r="P517" s="47"/>
      <c r="Q517" s="47"/>
      <c r="R517" s="47"/>
      <c r="V517" s="45"/>
    </row>
    <row r="518" spans="3:22" ht="14.25" customHeight="1">
      <c r="C518" s="45"/>
      <c r="D518" s="45"/>
      <c r="E518" s="45"/>
      <c r="F518" s="45"/>
      <c r="G518" s="45"/>
      <c r="H518" s="45"/>
      <c r="I518" s="45"/>
      <c r="J518" s="45"/>
      <c r="K518" s="45"/>
      <c r="L518" s="45"/>
      <c r="N518" s="46"/>
      <c r="P518" s="47"/>
      <c r="Q518" s="47"/>
      <c r="R518" s="47"/>
      <c r="V518" s="45"/>
    </row>
    <row r="519" spans="3:22" ht="14.25" customHeight="1">
      <c r="C519" s="45"/>
      <c r="D519" s="45"/>
      <c r="E519" s="45"/>
      <c r="F519" s="45"/>
      <c r="G519" s="45"/>
      <c r="H519" s="45"/>
      <c r="I519" s="45"/>
      <c r="J519" s="45"/>
      <c r="K519" s="45"/>
      <c r="L519" s="45"/>
      <c r="N519" s="46"/>
      <c r="P519" s="47"/>
      <c r="Q519" s="47"/>
      <c r="R519" s="47"/>
      <c r="V519" s="45"/>
    </row>
    <row r="520" spans="3:22" ht="14.25" customHeight="1">
      <c r="C520" s="45"/>
      <c r="D520" s="45"/>
      <c r="E520" s="45"/>
      <c r="F520" s="45"/>
      <c r="G520" s="45"/>
      <c r="H520" s="45"/>
      <c r="I520" s="45"/>
      <c r="J520" s="45"/>
      <c r="K520" s="45"/>
      <c r="L520" s="45"/>
      <c r="N520" s="46"/>
      <c r="P520" s="47"/>
      <c r="Q520" s="47"/>
      <c r="R520" s="47"/>
      <c r="V520" s="45"/>
    </row>
    <row r="521" spans="3:22" ht="14.25" customHeight="1">
      <c r="C521" s="45"/>
      <c r="D521" s="45"/>
      <c r="E521" s="45"/>
      <c r="F521" s="45"/>
      <c r="G521" s="45"/>
      <c r="H521" s="45"/>
      <c r="I521" s="45"/>
      <c r="J521" s="45"/>
      <c r="K521" s="45"/>
      <c r="L521" s="45"/>
      <c r="N521" s="46"/>
      <c r="P521" s="47"/>
      <c r="Q521" s="47"/>
      <c r="R521" s="47"/>
      <c r="V521" s="45"/>
    </row>
    <row r="522" spans="3:22" ht="14.25" customHeight="1">
      <c r="C522" s="45"/>
      <c r="D522" s="45"/>
      <c r="E522" s="45"/>
      <c r="F522" s="45"/>
      <c r="G522" s="45"/>
      <c r="H522" s="45"/>
      <c r="I522" s="45"/>
      <c r="J522" s="45"/>
      <c r="K522" s="45"/>
      <c r="L522" s="45"/>
      <c r="N522" s="46"/>
      <c r="P522" s="47"/>
      <c r="Q522" s="47"/>
      <c r="R522" s="47"/>
      <c r="V522" s="45"/>
    </row>
    <row r="523" spans="3:22" ht="14.25" customHeight="1">
      <c r="C523" s="45"/>
      <c r="D523" s="45"/>
      <c r="E523" s="45"/>
      <c r="F523" s="45"/>
      <c r="G523" s="45"/>
      <c r="H523" s="45"/>
      <c r="I523" s="45"/>
      <c r="J523" s="45"/>
      <c r="K523" s="45"/>
      <c r="L523" s="45"/>
      <c r="N523" s="46"/>
      <c r="P523" s="47"/>
      <c r="Q523" s="47"/>
      <c r="R523" s="47"/>
      <c r="V523" s="45"/>
    </row>
    <row r="524" spans="3:22" ht="14.25" customHeight="1">
      <c r="C524" s="45"/>
      <c r="D524" s="45"/>
      <c r="E524" s="45"/>
      <c r="F524" s="45"/>
      <c r="G524" s="45"/>
      <c r="H524" s="45"/>
      <c r="I524" s="45"/>
      <c r="J524" s="45"/>
      <c r="K524" s="45"/>
      <c r="L524" s="45"/>
      <c r="N524" s="46"/>
      <c r="P524" s="47"/>
      <c r="Q524" s="47"/>
      <c r="R524" s="47"/>
      <c r="V524" s="45"/>
    </row>
    <row r="525" spans="3:22" ht="14.25" customHeight="1">
      <c r="C525" s="45"/>
      <c r="D525" s="45"/>
      <c r="E525" s="45"/>
      <c r="F525" s="45"/>
      <c r="G525" s="45"/>
      <c r="H525" s="45"/>
      <c r="I525" s="45"/>
      <c r="J525" s="45"/>
      <c r="K525" s="45"/>
      <c r="L525" s="45"/>
      <c r="N525" s="46"/>
      <c r="P525" s="47"/>
      <c r="Q525" s="47"/>
      <c r="R525" s="47"/>
      <c r="V525" s="45"/>
    </row>
    <row r="526" spans="3:22" ht="14.25" customHeight="1">
      <c r="C526" s="45"/>
      <c r="D526" s="45"/>
      <c r="E526" s="45"/>
      <c r="F526" s="45"/>
      <c r="G526" s="45"/>
      <c r="H526" s="45"/>
      <c r="I526" s="45"/>
      <c r="J526" s="45"/>
      <c r="K526" s="45"/>
      <c r="L526" s="45"/>
      <c r="N526" s="46"/>
      <c r="P526" s="47"/>
      <c r="Q526" s="47"/>
      <c r="R526" s="47"/>
      <c r="V526" s="45"/>
    </row>
    <row r="527" spans="3:22" ht="14.25" customHeight="1">
      <c r="C527" s="45"/>
      <c r="D527" s="45"/>
      <c r="E527" s="45"/>
      <c r="F527" s="45"/>
      <c r="G527" s="45"/>
      <c r="H527" s="45"/>
      <c r="I527" s="45"/>
      <c r="J527" s="45"/>
      <c r="K527" s="45"/>
      <c r="L527" s="45"/>
      <c r="N527" s="46"/>
      <c r="P527" s="47"/>
      <c r="Q527" s="47"/>
      <c r="R527" s="47"/>
      <c r="V527" s="45"/>
    </row>
    <row r="528" spans="3:22" ht="14.25" customHeight="1">
      <c r="C528" s="45"/>
      <c r="D528" s="45"/>
      <c r="E528" s="45"/>
      <c r="F528" s="45"/>
      <c r="G528" s="45"/>
      <c r="H528" s="45"/>
      <c r="I528" s="45"/>
      <c r="J528" s="45"/>
      <c r="K528" s="45"/>
      <c r="L528" s="45"/>
      <c r="N528" s="46"/>
      <c r="P528" s="47"/>
      <c r="Q528" s="47"/>
      <c r="R528" s="47"/>
      <c r="V528" s="45"/>
    </row>
    <row r="529" spans="3:22" ht="14.25" customHeight="1">
      <c r="C529" s="45"/>
      <c r="D529" s="45"/>
      <c r="E529" s="45"/>
      <c r="F529" s="45"/>
      <c r="G529" s="45"/>
      <c r="H529" s="45"/>
      <c r="I529" s="45"/>
      <c r="J529" s="45"/>
      <c r="K529" s="45"/>
      <c r="L529" s="45"/>
      <c r="N529" s="46"/>
      <c r="P529" s="47"/>
      <c r="Q529" s="47"/>
      <c r="R529" s="47"/>
      <c r="V529" s="45"/>
    </row>
    <row r="530" spans="3:22" ht="14.25" customHeight="1">
      <c r="C530" s="45"/>
      <c r="D530" s="45"/>
      <c r="E530" s="45"/>
      <c r="F530" s="45"/>
      <c r="G530" s="45"/>
      <c r="H530" s="45"/>
      <c r="I530" s="45"/>
      <c r="J530" s="45"/>
      <c r="K530" s="45"/>
      <c r="L530" s="45"/>
      <c r="N530" s="46"/>
      <c r="P530" s="47"/>
      <c r="Q530" s="47"/>
      <c r="R530" s="47"/>
      <c r="V530" s="45"/>
    </row>
    <row r="531" spans="3:22" ht="14.25" customHeight="1">
      <c r="C531" s="45"/>
      <c r="D531" s="45"/>
      <c r="E531" s="45"/>
      <c r="F531" s="45"/>
      <c r="G531" s="45"/>
      <c r="H531" s="45"/>
      <c r="I531" s="45"/>
      <c r="J531" s="45"/>
      <c r="K531" s="45"/>
      <c r="L531" s="45"/>
      <c r="N531" s="46"/>
      <c r="P531" s="47"/>
      <c r="Q531" s="47"/>
      <c r="R531" s="47"/>
      <c r="V531" s="45"/>
    </row>
    <row r="532" spans="3:22" ht="14.25" customHeight="1">
      <c r="C532" s="45"/>
      <c r="D532" s="45"/>
      <c r="E532" s="45"/>
      <c r="F532" s="45"/>
      <c r="G532" s="45"/>
      <c r="H532" s="45"/>
      <c r="I532" s="45"/>
      <c r="J532" s="45"/>
      <c r="K532" s="45"/>
      <c r="L532" s="45"/>
      <c r="N532" s="46"/>
      <c r="P532" s="47"/>
      <c r="Q532" s="47"/>
      <c r="R532" s="47"/>
      <c r="V532" s="45"/>
    </row>
    <row r="533" spans="3:22" ht="14.25" customHeight="1">
      <c r="C533" s="45"/>
      <c r="D533" s="45"/>
      <c r="E533" s="45"/>
      <c r="F533" s="45"/>
      <c r="G533" s="45"/>
      <c r="H533" s="45"/>
      <c r="I533" s="45"/>
      <c r="J533" s="45"/>
      <c r="K533" s="45"/>
      <c r="L533" s="45"/>
      <c r="N533" s="46"/>
      <c r="P533" s="47"/>
      <c r="Q533" s="47"/>
      <c r="R533" s="47"/>
      <c r="V533" s="45"/>
    </row>
    <row r="534" spans="3:22" ht="14.25" customHeight="1">
      <c r="C534" s="45"/>
      <c r="D534" s="45"/>
      <c r="E534" s="45"/>
      <c r="F534" s="45"/>
      <c r="G534" s="45"/>
      <c r="H534" s="45"/>
      <c r="I534" s="45"/>
      <c r="J534" s="45"/>
      <c r="K534" s="45"/>
      <c r="L534" s="45"/>
      <c r="N534" s="46"/>
      <c r="P534" s="47"/>
      <c r="Q534" s="47"/>
      <c r="R534" s="47"/>
      <c r="V534" s="45"/>
    </row>
    <row r="535" spans="3:22" ht="14.25" customHeight="1">
      <c r="C535" s="45"/>
      <c r="D535" s="45"/>
      <c r="E535" s="45"/>
      <c r="F535" s="45"/>
      <c r="G535" s="45"/>
      <c r="H535" s="45"/>
      <c r="I535" s="45"/>
      <c r="J535" s="45"/>
      <c r="K535" s="45"/>
      <c r="L535" s="45"/>
      <c r="N535" s="46"/>
      <c r="P535" s="47"/>
      <c r="Q535" s="47"/>
      <c r="R535" s="47"/>
      <c r="V535" s="45"/>
    </row>
    <row r="536" spans="3:22" ht="14.25" customHeight="1">
      <c r="C536" s="45"/>
      <c r="D536" s="45"/>
      <c r="E536" s="45"/>
      <c r="F536" s="45"/>
      <c r="G536" s="45"/>
      <c r="H536" s="45"/>
      <c r="I536" s="45"/>
      <c r="J536" s="45"/>
      <c r="K536" s="45"/>
      <c r="L536" s="45"/>
      <c r="N536" s="46"/>
      <c r="P536" s="47"/>
      <c r="Q536" s="47"/>
      <c r="R536" s="47"/>
      <c r="V536" s="45"/>
    </row>
    <row r="537" spans="3:22" ht="14.25" customHeight="1">
      <c r="C537" s="45"/>
      <c r="D537" s="45"/>
      <c r="E537" s="45"/>
      <c r="F537" s="45"/>
      <c r="G537" s="45"/>
      <c r="H537" s="45"/>
      <c r="I537" s="45"/>
      <c r="J537" s="45"/>
      <c r="K537" s="45"/>
      <c r="L537" s="45"/>
      <c r="N537" s="46"/>
      <c r="P537" s="47"/>
      <c r="Q537" s="47"/>
      <c r="R537" s="47"/>
      <c r="V537" s="45"/>
    </row>
    <row r="538" spans="3:22" ht="14.25" customHeight="1">
      <c r="C538" s="45"/>
      <c r="D538" s="45"/>
      <c r="E538" s="45"/>
      <c r="F538" s="45"/>
      <c r="G538" s="45"/>
      <c r="H538" s="45"/>
      <c r="I538" s="45"/>
      <c r="J538" s="45"/>
      <c r="K538" s="45"/>
      <c r="L538" s="45"/>
      <c r="N538" s="46"/>
      <c r="P538" s="47"/>
      <c r="Q538" s="47"/>
      <c r="R538" s="47"/>
      <c r="V538" s="45"/>
    </row>
    <row r="539" spans="3:22" ht="14.25" customHeight="1">
      <c r="C539" s="45"/>
      <c r="D539" s="45"/>
      <c r="E539" s="45"/>
      <c r="F539" s="45"/>
      <c r="G539" s="45"/>
      <c r="H539" s="45"/>
      <c r="I539" s="45"/>
      <c r="J539" s="45"/>
      <c r="K539" s="45"/>
      <c r="L539" s="45"/>
      <c r="N539" s="46"/>
      <c r="P539" s="47"/>
      <c r="Q539" s="47"/>
      <c r="R539" s="47"/>
      <c r="V539" s="45"/>
    </row>
    <row r="540" spans="3:22" ht="14.25" customHeight="1">
      <c r="C540" s="45"/>
      <c r="D540" s="45"/>
      <c r="E540" s="45"/>
      <c r="F540" s="45"/>
      <c r="G540" s="45"/>
      <c r="H540" s="45"/>
      <c r="I540" s="45"/>
      <c r="J540" s="45"/>
      <c r="K540" s="45"/>
      <c r="L540" s="45"/>
      <c r="N540" s="46"/>
      <c r="P540" s="47"/>
      <c r="Q540" s="47"/>
      <c r="R540" s="47"/>
      <c r="V540" s="45"/>
    </row>
    <row r="541" spans="3:22" ht="14.25" customHeight="1">
      <c r="C541" s="45"/>
      <c r="D541" s="45"/>
      <c r="E541" s="45"/>
      <c r="F541" s="45"/>
      <c r="G541" s="45"/>
      <c r="H541" s="45"/>
      <c r="I541" s="45"/>
      <c r="J541" s="45"/>
      <c r="K541" s="45"/>
      <c r="L541" s="45"/>
      <c r="N541" s="46"/>
      <c r="P541" s="47"/>
      <c r="Q541" s="47"/>
      <c r="R541" s="47"/>
      <c r="V541" s="45"/>
    </row>
    <row r="542" spans="3:22" ht="14.25" customHeight="1">
      <c r="C542" s="45"/>
      <c r="D542" s="45"/>
      <c r="E542" s="45"/>
      <c r="F542" s="45"/>
      <c r="G542" s="45"/>
      <c r="H542" s="45"/>
      <c r="I542" s="45"/>
      <c r="J542" s="45"/>
      <c r="K542" s="45"/>
      <c r="L542" s="45"/>
      <c r="N542" s="46"/>
      <c r="P542" s="47"/>
      <c r="Q542" s="47"/>
      <c r="R542" s="47"/>
      <c r="V542" s="45"/>
    </row>
    <row r="543" spans="3:22" ht="14.25" customHeight="1">
      <c r="C543" s="45"/>
      <c r="D543" s="45"/>
      <c r="E543" s="45"/>
      <c r="F543" s="45"/>
      <c r="G543" s="45"/>
      <c r="H543" s="45"/>
      <c r="I543" s="45"/>
      <c r="J543" s="45"/>
      <c r="K543" s="45"/>
      <c r="L543" s="45"/>
      <c r="N543" s="46"/>
      <c r="P543" s="47"/>
      <c r="Q543" s="47"/>
      <c r="R543" s="47"/>
      <c r="V543" s="45"/>
    </row>
    <row r="544" spans="3:22" ht="14.25" customHeight="1">
      <c r="C544" s="45"/>
      <c r="D544" s="45"/>
      <c r="E544" s="45"/>
      <c r="F544" s="45"/>
      <c r="G544" s="45"/>
      <c r="H544" s="45"/>
      <c r="I544" s="45"/>
      <c r="J544" s="45"/>
      <c r="K544" s="45"/>
      <c r="L544" s="45"/>
      <c r="N544" s="46"/>
      <c r="P544" s="47"/>
      <c r="Q544" s="47"/>
      <c r="R544" s="47"/>
      <c r="V544" s="45"/>
    </row>
    <row r="545" spans="3:22" ht="14.25" customHeight="1">
      <c r="C545" s="45"/>
      <c r="D545" s="45"/>
      <c r="E545" s="45"/>
      <c r="F545" s="45"/>
      <c r="G545" s="45"/>
      <c r="H545" s="45"/>
      <c r="I545" s="45"/>
      <c r="J545" s="45"/>
      <c r="K545" s="45"/>
      <c r="L545" s="45"/>
      <c r="N545" s="46"/>
      <c r="P545" s="47"/>
      <c r="Q545" s="47"/>
      <c r="R545" s="47"/>
      <c r="V545" s="45"/>
    </row>
    <row r="546" spans="3:22" ht="14.25" customHeight="1">
      <c r="C546" s="45"/>
      <c r="D546" s="45"/>
      <c r="E546" s="45"/>
      <c r="F546" s="45"/>
      <c r="G546" s="45"/>
      <c r="H546" s="45"/>
      <c r="I546" s="45"/>
      <c r="J546" s="45"/>
      <c r="K546" s="45"/>
      <c r="L546" s="45"/>
      <c r="N546" s="46"/>
      <c r="P546" s="47"/>
      <c r="Q546" s="47"/>
      <c r="R546" s="47"/>
      <c r="V546" s="45"/>
    </row>
    <row r="547" spans="3:22" ht="14.25" customHeight="1">
      <c r="C547" s="45"/>
      <c r="D547" s="45"/>
      <c r="E547" s="45"/>
      <c r="F547" s="45"/>
      <c r="G547" s="45"/>
      <c r="H547" s="45"/>
      <c r="I547" s="45"/>
      <c r="J547" s="45"/>
      <c r="K547" s="45"/>
      <c r="L547" s="45"/>
      <c r="N547" s="46"/>
      <c r="P547" s="47"/>
      <c r="Q547" s="47"/>
      <c r="R547" s="47"/>
      <c r="V547" s="45"/>
    </row>
    <row r="548" spans="3:22" ht="14.25" customHeight="1">
      <c r="C548" s="45"/>
      <c r="D548" s="45"/>
      <c r="E548" s="45"/>
      <c r="F548" s="45"/>
      <c r="G548" s="45"/>
      <c r="H548" s="45"/>
      <c r="I548" s="45"/>
      <c r="J548" s="45"/>
      <c r="K548" s="45"/>
      <c r="L548" s="45"/>
      <c r="N548" s="46"/>
      <c r="P548" s="47"/>
      <c r="Q548" s="47"/>
      <c r="R548" s="47"/>
      <c r="V548" s="45"/>
    </row>
    <row r="549" spans="3:22" ht="14.25" customHeight="1">
      <c r="C549" s="45"/>
      <c r="D549" s="45"/>
      <c r="E549" s="45"/>
      <c r="F549" s="45"/>
      <c r="G549" s="45"/>
      <c r="H549" s="45"/>
      <c r="I549" s="45"/>
      <c r="J549" s="45"/>
      <c r="K549" s="45"/>
      <c r="L549" s="45"/>
      <c r="N549" s="46"/>
      <c r="P549" s="47"/>
      <c r="Q549" s="47"/>
      <c r="R549" s="47"/>
      <c r="V549" s="45"/>
    </row>
    <row r="550" spans="3:22" ht="14.25" customHeight="1">
      <c r="C550" s="45"/>
      <c r="D550" s="45"/>
      <c r="E550" s="45"/>
      <c r="F550" s="45"/>
      <c r="G550" s="45"/>
      <c r="H550" s="45"/>
      <c r="I550" s="45"/>
      <c r="J550" s="45"/>
      <c r="K550" s="45"/>
      <c r="L550" s="45"/>
      <c r="N550" s="46"/>
      <c r="P550" s="47"/>
      <c r="Q550" s="47"/>
      <c r="R550" s="47"/>
      <c r="V550" s="45"/>
    </row>
    <row r="551" spans="3:22" ht="14.25" customHeight="1">
      <c r="C551" s="45"/>
      <c r="D551" s="45"/>
      <c r="E551" s="45"/>
      <c r="F551" s="45"/>
      <c r="G551" s="45"/>
      <c r="H551" s="45"/>
      <c r="I551" s="45"/>
      <c r="J551" s="45"/>
      <c r="K551" s="45"/>
      <c r="L551" s="45"/>
      <c r="N551" s="46"/>
      <c r="P551" s="47"/>
      <c r="Q551" s="47"/>
      <c r="R551" s="47"/>
      <c r="V551" s="45"/>
    </row>
    <row r="552" spans="3:22" ht="14.25" customHeight="1">
      <c r="C552" s="45"/>
      <c r="D552" s="45"/>
      <c r="E552" s="45"/>
      <c r="F552" s="45"/>
      <c r="G552" s="45"/>
      <c r="H552" s="45"/>
      <c r="I552" s="45"/>
      <c r="J552" s="45"/>
      <c r="K552" s="45"/>
      <c r="L552" s="45"/>
      <c r="N552" s="46"/>
      <c r="P552" s="47"/>
      <c r="Q552" s="47"/>
      <c r="R552" s="47"/>
      <c r="V552" s="45"/>
    </row>
    <row r="553" spans="3:22" ht="14.25" customHeight="1">
      <c r="C553" s="45"/>
      <c r="D553" s="45"/>
      <c r="E553" s="45"/>
      <c r="F553" s="45"/>
      <c r="G553" s="45"/>
      <c r="H553" s="45"/>
      <c r="I553" s="45"/>
      <c r="J553" s="45"/>
      <c r="K553" s="45"/>
      <c r="L553" s="45"/>
      <c r="N553" s="46"/>
      <c r="P553" s="47"/>
      <c r="Q553" s="47"/>
      <c r="R553" s="47"/>
      <c r="V553" s="45"/>
    </row>
    <row r="554" spans="3:22" ht="14.25" customHeight="1">
      <c r="C554" s="45"/>
      <c r="D554" s="45"/>
      <c r="E554" s="45"/>
      <c r="F554" s="45"/>
      <c r="G554" s="45"/>
      <c r="H554" s="45"/>
      <c r="I554" s="45"/>
      <c r="J554" s="45"/>
      <c r="K554" s="45"/>
      <c r="L554" s="45"/>
      <c r="N554" s="46"/>
      <c r="P554" s="47"/>
      <c r="Q554" s="47"/>
      <c r="R554" s="47"/>
      <c r="V554" s="45"/>
    </row>
    <row r="555" spans="3:22" ht="14.25" customHeight="1">
      <c r="C555" s="45"/>
      <c r="D555" s="45"/>
      <c r="E555" s="45"/>
      <c r="F555" s="45"/>
      <c r="G555" s="45"/>
      <c r="H555" s="45"/>
      <c r="I555" s="45"/>
      <c r="J555" s="45"/>
      <c r="K555" s="45"/>
      <c r="L555" s="45"/>
      <c r="N555" s="46"/>
      <c r="P555" s="47"/>
      <c r="Q555" s="47"/>
      <c r="R555" s="47"/>
      <c r="V555" s="45"/>
    </row>
    <row r="556" spans="3:22" ht="14.25" customHeight="1">
      <c r="C556" s="45"/>
      <c r="D556" s="45"/>
      <c r="E556" s="45"/>
      <c r="F556" s="45"/>
      <c r="G556" s="45"/>
      <c r="H556" s="45"/>
      <c r="I556" s="45"/>
      <c r="J556" s="45"/>
      <c r="K556" s="45"/>
      <c r="L556" s="45"/>
      <c r="N556" s="46"/>
      <c r="P556" s="47"/>
      <c r="Q556" s="47"/>
      <c r="R556" s="47"/>
      <c r="V556" s="45"/>
    </row>
    <row r="557" spans="3:22" ht="14.25" customHeight="1">
      <c r="C557" s="45"/>
      <c r="D557" s="45"/>
      <c r="E557" s="45"/>
      <c r="F557" s="45"/>
      <c r="G557" s="45"/>
      <c r="H557" s="45"/>
      <c r="I557" s="45"/>
      <c r="J557" s="45"/>
      <c r="K557" s="45"/>
      <c r="L557" s="45"/>
      <c r="N557" s="46"/>
      <c r="P557" s="47"/>
      <c r="Q557" s="47"/>
      <c r="R557" s="47"/>
      <c r="V557" s="45"/>
    </row>
    <row r="558" spans="3:22" ht="14.25" customHeight="1">
      <c r="C558" s="45"/>
      <c r="D558" s="45"/>
      <c r="E558" s="45"/>
      <c r="F558" s="45"/>
      <c r="G558" s="45"/>
      <c r="H558" s="45"/>
      <c r="I558" s="45"/>
      <c r="J558" s="45"/>
      <c r="K558" s="45"/>
      <c r="L558" s="45"/>
      <c r="N558" s="46"/>
      <c r="P558" s="47"/>
      <c r="Q558" s="47"/>
      <c r="R558" s="47"/>
      <c r="V558" s="45"/>
    </row>
    <row r="559" spans="3:22" ht="14.25" customHeight="1">
      <c r="C559" s="45"/>
      <c r="D559" s="45"/>
      <c r="E559" s="45"/>
      <c r="F559" s="45"/>
      <c r="G559" s="45"/>
      <c r="H559" s="45"/>
      <c r="I559" s="45"/>
      <c r="J559" s="45"/>
      <c r="K559" s="45"/>
      <c r="L559" s="45"/>
      <c r="N559" s="46"/>
      <c r="P559" s="47"/>
      <c r="Q559" s="47"/>
      <c r="R559" s="47"/>
      <c r="V559" s="45"/>
    </row>
    <row r="560" spans="3:22" ht="14.25" customHeight="1">
      <c r="C560" s="45"/>
      <c r="D560" s="45"/>
      <c r="E560" s="45"/>
      <c r="F560" s="45"/>
      <c r="G560" s="45"/>
      <c r="H560" s="45"/>
      <c r="I560" s="45"/>
      <c r="J560" s="45"/>
      <c r="K560" s="45"/>
      <c r="L560" s="45"/>
      <c r="N560" s="46"/>
      <c r="P560" s="47"/>
      <c r="Q560" s="47"/>
      <c r="R560" s="47"/>
      <c r="V560" s="45"/>
    </row>
    <row r="561" spans="3:22" ht="14.25" customHeight="1">
      <c r="C561" s="45"/>
      <c r="D561" s="45"/>
      <c r="E561" s="45"/>
      <c r="F561" s="45"/>
      <c r="G561" s="45"/>
      <c r="H561" s="45"/>
      <c r="I561" s="45"/>
      <c r="J561" s="45"/>
      <c r="K561" s="45"/>
      <c r="L561" s="45"/>
      <c r="N561" s="46"/>
      <c r="P561" s="47"/>
      <c r="Q561" s="47"/>
      <c r="R561" s="47"/>
      <c r="V561" s="45"/>
    </row>
    <row r="562" spans="3:22" ht="14.25" customHeight="1">
      <c r="C562" s="45"/>
      <c r="D562" s="45"/>
      <c r="E562" s="45"/>
      <c r="F562" s="45"/>
      <c r="G562" s="45"/>
      <c r="H562" s="45"/>
      <c r="I562" s="45"/>
      <c r="J562" s="45"/>
      <c r="K562" s="45"/>
      <c r="L562" s="45"/>
      <c r="N562" s="46"/>
      <c r="P562" s="47"/>
      <c r="Q562" s="47"/>
      <c r="R562" s="47"/>
      <c r="V562" s="45"/>
    </row>
    <row r="563" spans="3:22" ht="14.25" customHeight="1">
      <c r="C563" s="45"/>
      <c r="D563" s="45"/>
      <c r="E563" s="45"/>
      <c r="F563" s="45"/>
      <c r="G563" s="45"/>
      <c r="H563" s="45"/>
      <c r="I563" s="45"/>
      <c r="J563" s="45"/>
      <c r="K563" s="45"/>
      <c r="L563" s="45"/>
      <c r="N563" s="46"/>
      <c r="P563" s="47"/>
      <c r="Q563" s="47"/>
      <c r="R563" s="47"/>
      <c r="V563" s="45"/>
    </row>
    <row r="564" spans="3:22" ht="14.25" customHeight="1">
      <c r="C564" s="45"/>
      <c r="D564" s="45"/>
      <c r="E564" s="45"/>
      <c r="F564" s="45"/>
      <c r="G564" s="45"/>
      <c r="H564" s="45"/>
      <c r="I564" s="45"/>
      <c r="J564" s="45"/>
      <c r="K564" s="45"/>
      <c r="L564" s="45"/>
      <c r="N564" s="46"/>
      <c r="P564" s="47"/>
      <c r="Q564" s="47"/>
      <c r="R564" s="47"/>
      <c r="V564" s="45"/>
    </row>
    <row r="565" spans="3:22" ht="14.25" customHeight="1">
      <c r="C565" s="45"/>
      <c r="D565" s="45"/>
      <c r="E565" s="45"/>
      <c r="F565" s="45"/>
      <c r="G565" s="45"/>
      <c r="H565" s="45"/>
      <c r="I565" s="45"/>
      <c r="J565" s="45"/>
      <c r="K565" s="45"/>
      <c r="L565" s="45"/>
      <c r="N565" s="46"/>
      <c r="P565" s="47"/>
      <c r="Q565" s="47"/>
      <c r="R565" s="47"/>
      <c r="V565" s="45"/>
    </row>
    <row r="566" spans="3:22" ht="14.25" customHeight="1">
      <c r="C566" s="45"/>
      <c r="D566" s="45"/>
      <c r="E566" s="45"/>
      <c r="F566" s="45"/>
      <c r="G566" s="45"/>
      <c r="H566" s="45"/>
      <c r="I566" s="45"/>
      <c r="J566" s="45"/>
      <c r="K566" s="45"/>
      <c r="L566" s="45"/>
      <c r="N566" s="46"/>
      <c r="P566" s="47"/>
      <c r="Q566" s="47"/>
      <c r="R566" s="47"/>
      <c r="V566" s="45"/>
    </row>
    <row r="567" spans="3:22" ht="14.25" customHeight="1">
      <c r="C567" s="45"/>
      <c r="D567" s="45"/>
      <c r="E567" s="45"/>
      <c r="F567" s="45"/>
      <c r="G567" s="45"/>
      <c r="H567" s="45"/>
      <c r="I567" s="45"/>
      <c r="J567" s="45"/>
      <c r="K567" s="45"/>
      <c r="L567" s="45"/>
      <c r="N567" s="46"/>
      <c r="P567" s="47"/>
      <c r="Q567" s="47"/>
      <c r="R567" s="47"/>
      <c r="V567" s="45"/>
    </row>
    <row r="568" spans="3:22" ht="14.25" customHeight="1">
      <c r="C568" s="45"/>
      <c r="D568" s="45"/>
      <c r="E568" s="45"/>
      <c r="F568" s="45"/>
      <c r="G568" s="45"/>
      <c r="H568" s="45"/>
      <c r="I568" s="45"/>
      <c r="J568" s="45"/>
      <c r="K568" s="45"/>
      <c r="L568" s="45"/>
      <c r="N568" s="46"/>
      <c r="P568" s="47"/>
      <c r="Q568" s="47"/>
      <c r="R568" s="47"/>
      <c r="V568" s="45"/>
    </row>
    <row r="569" spans="3:22" ht="14.25" customHeight="1">
      <c r="C569" s="45"/>
      <c r="D569" s="45"/>
      <c r="E569" s="45"/>
      <c r="F569" s="45"/>
      <c r="G569" s="45"/>
      <c r="H569" s="45"/>
      <c r="I569" s="45"/>
      <c r="J569" s="45"/>
      <c r="K569" s="45"/>
      <c r="L569" s="45"/>
      <c r="N569" s="46"/>
      <c r="P569" s="47"/>
      <c r="Q569" s="47"/>
      <c r="R569" s="47"/>
      <c r="V569" s="45"/>
    </row>
    <row r="570" spans="3:22" ht="14.25" customHeight="1">
      <c r="C570" s="45"/>
      <c r="D570" s="45"/>
      <c r="E570" s="45"/>
      <c r="F570" s="45"/>
      <c r="G570" s="45"/>
      <c r="H570" s="45"/>
      <c r="I570" s="45"/>
      <c r="J570" s="45"/>
      <c r="K570" s="45"/>
      <c r="L570" s="45"/>
      <c r="N570" s="46"/>
      <c r="P570" s="47"/>
      <c r="Q570" s="47"/>
      <c r="R570" s="47"/>
      <c r="V570" s="45"/>
    </row>
    <row r="571" spans="3:22" ht="14.25" customHeight="1">
      <c r="C571" s="45"/>
      <c r="D571" s="45"/>
      <c r="E571" s="45"/>
      <c r="F571" s="45"/>
      <c r="G571" s="45"/>
      <c r="H571" s="45"/>
      <c r="I571" s="45"/>
      <c r="J571" s="45"/>
      <c r="K571" s="45"/>
      <c r="L571" s="45"/>
      <c r="N571" s="46"/>
      <c r="P571" s="47"/>
      <c r="Q571" s="47"/>
      <c r="R571" s="47"/>
      <c r="V571" s="45"/>
    </row>
    <row r="572" spans="3:22" ht="14.25" customHeight="1">
      <c r="C572" s="45"/>
      <c r="D572" s="45"/>
      <c r="E572" s="45"/>
      <c r="F572" s="45"/>
      <c r="G572" s="45"/>
      <c r="H572" s="45"/>
      <c r="I572" s="45"/>
      <c r="J572" s="45"/>
      <c r="K572" s="45"/>
      <c r="L572" s="45"/>
      <c r="N572" s="46"/>
      <c r="P572" s="47"/>
      <c r="Q572" s="47"/>
      <c r="R572" s="47"/>
      <c r="V572" s="45"/>
    </row>
    <row r="573" spans="3:22" ht="14.25" customHeight="1">
      <c r="C573" s="45"/>
      <c r="D573" s="45"/>
      <c r="E573" s="45"/>
      <c r="F573" s="45"/>
      <c r="G573" s="45"/>
      <c r="H573" s="45"/>
      <c r="I573" s="45"/>
      <c r="J573" s="45"/>
      <c r="K573" s="45"/>
      <c r="L573" s="45"/>
      <c r="N573" s="46"/>
      <c r="P573" s="47"/>
      <c r="Q573" s="47"/>
      <c r="R573" s="47"/>
      <c r="V573" s="45"/>
    </row>
    <row r="574" spans="3:22" ht="14.25" customHeight="1">
      <c r="C574" s="45"/>
      <c r="D574" s="45"/>
      <c r="E574" s="45"/>
      <c r="F574" s="45"/>
      <c r="G574" s="45"/>
      <c r="H574" s="45"/>
      <c r="I574" s="45"/>
      <c r="J574" s="45"/>
      <c r="K574" s="45"/>
      <c r="L574" s="45"/>
      <c r="N574" s="46"/>
      <c r="P574" s="47"/>
      <c r="Q574" s="47"/>
      <c r="R574" s="47"/>
      <c r="V574" s="45"/>
    </row>
    <row r="575" spans="3:22" ht="14.25" customHeight="1">
      <c r="C575" s="45"/>
      <c r="D575" s="45"/>
      <c r="E575" s="45"/>
      <c r="F575" s="45"/>
      <c r="G575" s="45"/>
      <c r="H575" s="45"/>
      <c r="I575" s="45"/>
      <c r="J575" s="45"/>
      <c r="K575" s="45"/>
      <c r="L575" s="45"/>
      <c r="N575" s="46"/>
      <c r="P575" s="47"/>
      <c r="Q575" s="47"/>
      <c r="R575" s="47"/>
      <c r="V575" s="45"/>
    </row>
    <row r="576" spans="3:22" ht="14.25" customHeight="1">
      <c r="C576" s="45"/>
      <c r="D576" s="45"/>
      <c r="E576" s="45"/>
      <c r="F576" s="45"/>
      <c r="G576" s="45"/>
      <c r="H576" s="45"/>
      <c r="I576" s="45"/>
      <c r="J576" s="45"/>
      <c r="K576" s="45"/>
      <c r="L576" s="45"/>
      <c r="N576" s="46"/>
      <c r="P576" s="47"/>
      <c r="Q576" s="47"/>
      <c r="R576" s="47"/>
      <c r="V576" s="45"/>
    </row>
    <row r="577" spans="3:22" ht="14.25" customHeight="1">
      <c r="C577" s="45"/>
      <c r="D577" s="45"/>
      <c r="E577" s="45"/>
      <c r="F577" s="45"/>
      <c r="G577" s="45"/>
      <c r="H577" s="45"/>
      <c r="I577" s="45"/>
      <c r="J577" s="45"/>
      <c r="K577" s="45"/>
      <c r="L577" s="45"/>
      <c r="N577" s="46"/>
      <c r="P577" s="47"/>
      <c r="Q577" s="47"/>
      <c r="R577" s="47"/>
      <c r="V577" s="45"/>
    </row>
    <row r="578" spans="3:22" ht="14.25" customHeight="1">
      <c r="C578" s="45"/>
      <c r="D578" s="45"/>
      <c r="E578" s="45"/>
      <c r="F578" s="45"/>
      <c r="G578" s="45"/>
      <c r="H578" s="45"/>
      <c r="I578" s="45"/>
      <c r="J578" s="45"/>
      <c r="K578" s="45"/>
      <c r="L578" s="45"/>
      <c r="N578" s="46"/>
      <c r="P578" s="47"/>
      <c r="Q578" s="47"/>
      <c r="R578" s="47"/>
      <c r="V578" s="45"/>
    </row>
    <row r="579" spans="3:22" ht="14.25" customHeight="1">
      <c r="C579" s="45"/>
      <c r="D579" s="45"/>
      <c r="E579" s="45"/>
      <c r="F579" s="45"/>
      <c r="G579" s="45"/>
      <c r="H579" s="45"/>
      <c r="I579" s="45"/>
      <c r="J579" s="45"/>
      <c r="K579" s="45"/>
      <c r="L579" s="45"/>
      <c r="N579" s="46"/>
      <c r="P579" s="47"/>
      <c r="Q579" s="47"/>
      <c r="R579" s="47"/>
      <c r="V579" s="45"/>
    </row>
    <row r="580" spans="3:22" ht="14.25" customHeight="1">
      <c r="C580" s="45"/>
      <c r="D580" s="45"/>
      <c r="E580" s="45"/>
      <c r="F580" s="45"/>
      <c r="G580" s="45"/>
      <c r="H580" s="45"/>
      <c r="I580" s="45"/>
      <c r="J580" s="45"/>
      <c r="K580" s="45"/>
      <c r="L580" s="45"/>
      <c r="N580" s="46"/>
      <c r="P580" s="47"/>
      <c r="Q580" s="47"/>
      <c r="R580" s="47"/>
      <c r="V580" s="45"/>
    </row>
    <row r="581" spans="3:22" ht="14.25" customHeight="1">
      <c r="C581" s="45"/>
      <c r="D581" s="45"/>
      <c r="E581" s="45"/>
      <c r="F581" s="45"/>
      <c r="G581" s="45"/>
      <c r="H581" s="45"/>
      <c r="I581" s="45"/>
      <c r="J581" s="45"/>
      <c r="K581" s="45"/>
      <c r="L581" s="45"/>
      <c r="N581" s="46"/>
      <c r="P581" s="47"/>
      <c r="Q581" s="47"/>
      <c r="R581" s="47"/>
      <c r="V581" s="45"/>
    </row>
    <row r="582" spans="3:22" ht="14.25" customHeight="1">
      <c r="C582" s="45"/>
      <c r="D582" s="45"/>
      <c r="E582" s="45"/>
      <c r="F582" s="45"/>
      <c r="G582" s="45"/>
      <c r="H582" s="45"/>
      <c r="I582" s="45"/>
      <c r="J582" s="45"/>
      <c r="K582" s="45"/>
      <c r="L582" s="45"/>
      <c r="N582" s="46"/>
      <c r="P582" s="47"/>
      <c r="Q582" s="47"/>
      <c r="R582" s="47"/>
      <c r="V582" s="45"/>
    </row>
    <row r="583" spans="3:22" ht="14.25" customHeight="1">
      <c r="C583" s="45"/>
      <c r="D583" s="45"/>
      <c r="E583" s="45"/>
      <c r="F583" s="45"/>
      <c r="G583" s="45"/>
      <c r="H583" s="45"/>
      <c r="I583" s="45"/>
      <c r="J583" s="45"/>
      <c r="K583" s="45"/>
      <c r="L583" s="45"/>
      <c r="N583" s="46"/>
      <c r="P583" s="47"/>
      <c r="Q583" s="47"/>
      <c r="R583" s="47"/>
      <c r="V583" s="45"/>
    </row>
    <row r="584" spans="3:22" ht="14.25" customHeight="1">
      <c r="C584" s="45"/>
      <c r="D584" s="45"/>
      <c r="E584" s="45"/>
      <c r="F584" s="45"/>
      <c r="G584" s="45"/>
      <c r="H584" s="45"/>
      <c r="I584" s="45"/>
      <c r="J584" s="45"/>
      <c r="K584" s="45"/>
      <c r="L584" s="45"/>
      <c r="N584" s="46"/>
      <c r="P584" s="47"/>
      <c r="Q584" s="47"/>
      <c r="R584" s="47"/>
      <c r="V584" s="45"/>
    </row>
    <row r="585" spans="3:22" ht="14.25" customHeight="1">
      <c r="C585" s="45"/>
      <c r="D585" s="45"/>
      <c r="E585" s="45"/>
      <c r="F585" s="45"/>
      <c r="G585" s="45"/>
      <c r="H585" s="45"/>
      <c r="I585" s="45"/>
      <c r="J585" s="45"/>
      <c r="K585" s="45"/>
      <c r="L585" s="45"/>
      <c r="N585" s="46"/>
      <c r="P585" s="47"/>
      <c r="Q585" s="47"/>
      <c r="R585" s="47"/>
      <c r="V585" s="45"/>
    </row>
    <row r="586" spans="3:22" ht="14.25" customHeight="1">
      <c r="C586" s="45"/>
      <c r="D586" s="45"/>
      <c r="E586" s="45"/>
      <c r="F586" s="45"/>
      <c r="G586" s="45"/>
      <c r="H586" s="45"/>
      <c r="I586" s="45"/>
      <c r="J586" s="45"/>
      <c r="K586" s="45"/>
      <c r="L586" s="45"/>
      <c r="N586" s="46"/>
      <c r="P586" s="47"/>
      <c r="Q586" s="47"/>
      <c r="R586" s="47"/>
      <c r="V586" s="45"/>
    </row>
    <row r="587" spans="3:22" ht="14.25" customHeight="1">
      <c r="C587" s="45"/>
      <c r="D587" s="45"/>
      <c r="E587" s="45"/>
      <c r="F587" s="45"/>
      <c r="G587" s="45"/>
      <c r="H587" s="45"/>
      <c r="I587" s="45"/>
      <c r="J587" s="45"/>
      <c r="K587" s="45"/>
      <c r="L587" s="45"/>
      <c r="N587" s="46"/>
      <c r="P587" s="47"/>
      <c r="Q587" s="47"/>
      <c r="R587" s="47"/>
      <c r="V587" s="45"/>
    </row>
    <row r="588" spans="3:22" ht="14.25" customHeight="1">
      <c r="C588" s="45"/>
      <c r="D588" s="45"/>
      <c r="E588" s="45"/>
      <c r="F588" s="45"/>
      <c r="G588" s="45"/>
      <c r="H588" s="45"/>
      <c r="I588" s="45"/>
      <c r="J588" s="45"/>
      <c r="K588" s="45"/>
      <c r="L588" s="45"/>
      <c r="N588" s="46"/>
      <c r="P588" s="47"/>
      <c r="Q588" s="47"/>
      <c r="R588" s="47"/>
      <c r="V588" s="45"/>
    </row>
    <row r="589" spans="3:22" ht="14.25" customHeight="1">
      <c r="C589" s="45"/>
      <c r="D589" s="45"/>
      <c r="E589" s="45"/>
      <c r="F589" s="45"/>
      <c r="G589" s="45"/>
      <c r="H589" s="45"/>
      <c r="I589" s="45"/>
      <c r="J589" s="45"/>
      <c r="K589" s="45"/>
      <c r="L589" s="45"/>
      <c r="N589" s="46"/>
      <c r="P589" s="47"/>
      <c r="Q589" s="47"/>
      <c r="R589" s="47"/>
      <c r="V589" s="45"/>
    </row>
    <row r="590" spans="3:22" ht="14.25" customHeight="1">
      <c r="C590" s="45"/>
      <c r="D590" s="45"/>
      <c r="E590" s="45"/>
      <c r="F590" s="45"/>
      <c r="G590" s="45"/>
      <c r="H590" s="45"/>
      <c r="I590" s="45"/>
      <c r="J590" s="45"/>
      <c r="K590" s="45"/>
      <c r="L590" s="45"/>
      <c r="N590" s="46"/>
      <c r="P590" s="47"/>
      <c r="Q590" s="47"/>
      <c r="R590" s="47"/>
      <c r="V590" s="45"/>
    </row>
    <row r="591" spans="3:22" ht="14.25" customHeight="1">
      <c r="C591" s="45"/>
      <c r="D591" s="45"/>
      <c r="E591" s="45"/>
      <c r="F591" s="45"/>
      <c r="G591" s="45"/>
      <c r="H591" s="45"/>
      <c r="I591" s="45"/>
      <c r="J591" s="45"/>
      <c r="K591" s="45"/>
      <c r="L591" s="45"/>
      <c r="N591" s="46"/>
      <c r="P591" s="47"/>
      <c r="Q591" s="47"/>
      <c r="R591" s="47"/>
      <c r="V591" s="45"/>
    </row>
    <row r="592" spans="3:22" ht="14.25" customHeight="1">
      <c r="C592" s="45"/>
      <c r="D592" s="45"/>
      <c r="E592" s="45"/>
      <c r="F592" s="45"/>
      <c r="G592" s="45"/>
      <c r="H592" s="45"/>
      <c r="I592" s="45"/>
      <c r="J592" s="45"/>
      <c r="K592" s="45"/>
      <c r="L592" s="45"/>
      <c r="N592" s="46"/>
      <c r="P592" s="47"/>
      <c r="Q592" s="47"/>
      <c r="R592" s="47"/>
      <c r="V592" s="45"/>
    </row>
    <row r="593" spans="3:22" ht="14.25" customHeight="1">
      <c r="C593" s="45"/>
      <c r="D593" s="45"/>
      <c r="E593" s="45"/>
      <c r="F593" s="45"/>
      <c r="G593" s="45"/>
      <c r="H593" s="45"/>
      <c r="I593" s="45"/>
      <c r="J593" s="45"/>
      <c r="K593" s="45"/>
      <c r="L593" s="45"/>
      <c r="N593" s="46"/>
      <c r="P593" s="47"/>
      <c r="Q593" s="47"/>
      <c r="R593" s="47"/>
      <c r="V593" s="45"/>
    </row>
    <row r="594" spans="3:22" ht="14.25" customHeight="1">
      <c r="C594" s="45"/>
      <c r="D594" s="45"/>
      <c r="E594" s="45"/>
      <c r="F594" s="45"/>
      <c r="G594" s="45"/>
      <c r="H594" s="45"/>
      <c r="I594" s="45"/>
      <c r="J594" s="45"/>
      <c r="K594" s="45"/>
      <c r="L594" s="45"/>
      <c r="N594" s="46"/>
      <c r="P594" s="47"/>
      <c r="Q594" s="47"/>
      <c r="R594" s="47"/>
      <c r="V594" s="45"/>
    </row>
    <row r="595" spans="3:22" ht="14.25" customHeight="1">
      <c r="C595" s="45"/>
      <c r="D595" s="45"/>
      <c r="E595" s="45"/>
      <c r="F595" s="45"/>
      <c r="G595" s="45"/>
      <c r="H595" s="45"/>
      <c r="I595" s="45"/>
      <c r="J595" s="45"/>
      <c r="K595" s="45"/>
      <c r="L595" s="45"/>
      <c r="N595" s="46"/>
      <c r="P595" s="47"/>
      <c r="Q595" s="47"/>
      <c r="R595" s="47"/>
      <c r="V595" s="45"/>
    </row>
    <row r="596" spans="3:22" ht="14.25" customHeight="1">
      <c r="C596" s="45"/>
      <c r="D596" s="45"/>
      <c r="E596" s="45"/>
      <c r="F596" s="45"/>
      <c r="G596" s="45"/>
      <c r="H596" s="45"/>
      <c r="I596" s="45"/>
      <c r="J596" s="45"/>
      <c r="K596" s="45"/>
      <c r="L596" s="45"/>
      <c r="N596" s="46"/>
      <c r="P596" s="47"/>
      <c r="Q596" s="47"/>
      <c r="R596" s="47"/>
      <c r="V596" s="45"/>
    </row>
    <row r="597" spans="3:22" ht="14.25" customHeight="1">
      <c r="C597" s="45"/>
      <c r="D597" s="45"/>
      <c r="E597" s="45"/>
      <c r="F597" s="45"/>
      <c r="G597" s="45"/>
      <c r="H597" s="45"/>
      <c r="I597" s="45"/>
      <c r="J597" s="45"/>
      <c r="K597" s="45"/>
      <c r="L597" s="45"/>
      <c r="N597" s="46"/>
      <c r="P597" s="47"/>
      <c r="Q597" s="47"/>
      <c r="R597" s="47"/>
      <c r="V597" s="45"/>
    </row>
    <row r="598" spans="3:22" ht="14.25" customHeight="1">
      <c r="C598" s="45"/>
      <c r="D598" s="45"/>
      <c r="E598" s="45"/>
      <c r="F598" s="45"/>
      <c r="G598" s="45"/>
      <c r="H598" s="45"/>
      <c r="I598" s="45"/>
      <c r="J598" s="45"/>
      <c r="K598" s="45"/>
      <c r="L598" s="45"/>
      <c r="N598" s="46"/>
      <c r="P598" s="47"/>
      <c r="Q598" s="47"/>
      <c r="R598" s="47"/>
      <c r="V598" s="45"/>
    </row>
    <row r="599" spans="3:22" ht="14.25" customHeight="1">
      <c r="C599" s="45"/>
      <c r="D599" s="45"/>
      <c r="E599" s="45"/>
      <c r="F599" s="45"/>
      <c r="G599" s="45"/>
      <c r="H599" s="45"/>
      <c r="I599" s="45"/>
      <c r="J599" s="45"/>
      <c r="K599" s="45"/>
      <c r="L599" s="45"/>
      <c r="N599" s="46"/>
      <c r="P599" s="47"/>
      <c r="Q599" s="47"/>
      <c r="R599" s="47"/>
      <c r="V599" s="45"/>
    </row>
    <row r="600" spans="3:22" ht="14.25" customHeight="1">
      <c r="C600" s="45"/>
      <c r="D600" s="45"/>
      <c r="E600" s="45"/>
      <c r="F600" s="45"/>
      <c r="G600" s="45"/>
      <c r="H600" s="45"/>
      <c r="I600" s="45"/>
      <c r="J600" s="45"/>
      <c r="K600" s="45"/>
      <c r="L600" s="45"/>
      <c r="N600" s="46"/>
      <c r="P600" s="47"/>
      <c r="Q600" s="47"/>
      <c r="R600" s="47"/>
      <c r="V600" s="45"/>
    </row>
    <row r="601" spans="3:22" ht="14.25" customHeight="1">
      <c r="C601" s="45"/>
      <c r="D601" s="45"/>
      <c r="E601" s="45"/>
      <c r="F601" s="45"/>
      <c r="G601" s="45"/>
      <c r="H601" s="45"/>
      <c r="I601" s="45"/>
      <c r="J601" s="45"/>
      <c r="K601" s="45"/>
      <c r="L601" s="45"/>
      <c r="N601" s="46"/>
      <c r="P601" s="47"/>
      <c r="Q601" s="47"/>
      <c r="R601" s="47"/>
      <c r="V601" s="45"/>
    </row>
    <row r="602" spans="3:22" ht="14.25" customHeight="1">
      <c r="C602" s="45"/>
      <c r="D602" s="45"/>
      <c r="E602" s="45"/>
      <c r="F602" s="45"/>
      <c r="G602" s="45"/>
      <c r="H602" s="45"/>
      <c r="I602" s="45"/>
      <c r="J602" s="45"/>
      <c r="K602" s="45"/>
      <c r="L602" s="45"/>
      <c r="N602" s="46"/>
      <c r="P602" s="47"/>
      <c r="Q602" s="47"/>
      <c r="R602" s="47"/>
      <c r="V602" s="45"/>
    </row>
    <row r="603" spans="3:22" ht="14.25" customHeight="1">
      <c r="C603" s="45"/>
      <c r="D603" s="45"/>
      <c r="E603" s="45"/>
      <c r="F603" s="45"/>
      <c r="G603" s="45"/>
      <c r="H603" s="45"/>
      <c r="I603" s="45"/>
      <c r="J603" s="45"/>
      <c r="K603" s="45"/>
      <c r="L603" s="45"/>
      <c r="N603" s="46"/>
      <c r="P603" s="47"/>
      <c r="Q603" s="47"/>
      <c r="R603" s="47"/>
      <c r="V603" s="45"/>
    </row>
    <row r="604" spans="3:22" ht="14.25" customHeight="1">
      <c r="C604" s="45"/>
      <c r="D604" s="45"/>
      <c r="E604" s="45"/>
      <c r="F604" s="45"/>
      <c r="G604" s="45"/>
      <c r="H604" s="45"/>
      <c r="I604" s="45"/>
      <c r="J604" s="45"/>
      <c r="K604" s="45"/>
      <c r="L604" s="45"/>
      <c r="N604" s="46"/>
      <c r="P604" s="47"/>
      <c r="Q604" s="47"/>
      <c r="R604" s="47"/>
      <c r="V604" s="45"/>
    </row>
    <row r="605" spans="3:22" ht="14.25" customHeight="1">
      <c r="C605" s="45"/>
      <c r="D605" s="45"/>
      <c r="E605" s="45"/>
      <c r="F605" s="45"/>
      <c r="G605" s="45"/>
      <c r="H605" s="45"/>
      <c r="I605" s="45"/>
      <c r="J605" s="45"/>
      <c r="K605" s="45"/>
      <c r="L605" s="45"/>
      <c r="N605" s="46"/>
      <c r="P605" s="47"/>
      <c r="Q605" s="47"/>
      <c r="R605" s="47"/>
      <c r="V605" s="45"/>
    </row>
    <row r="606" spans="3:22" ht="14.25" customHeight="1">
      <c r="C606" s="45"/>
      <c r="D606" s="45"/>
      <c r="E606" s="45"/>
      <c r="F606" s="45"/>
      <c r="G606" s="45"/>
      <c r="H606" s="45"/>
      <c r="I606" s="45"/>
      <c r="J606" s="45"/>
      <c r="K606" s="45"/>
      <c r="L606" s="45"/>
      <c r="N606" s="46"/>
      <c r="P606" s="47"/>
      <c r="Q606" s="47"/>
      <c r="R606" s="47"/>
      <c r="V606" s="45"/>
    </row>
    <row r="607" spans="3:22" ht="14.25" customHeight="1">
      <c r="C607" s="45"/>
      <c r="D607" s="45"/>
      <c r="E607" s="45"/>
      <c r="F607" s="45"/>
      <c r="G607" s="45"/>
      <c r="H607" s="45"/>
      <c r="I607" s="45"/>
      <c r="J607" s="45"/>
      <c r="K607" s="45"/>
      <c r="L607" s="45"/>
      <c r="N607" s="46"/>
      <c r="P607" s="47"/>
      <c r="Q607" s="47"/>
      <c r="R607" s="47"/>
      <c r="V607" s="45"/>
    </row>
    <row r="608" spans="3:22" ht="14.25" customHeight="1">
      <c r="C608" s="45"/>
      <c r="D608" s="45"/>
      <c r="E608" s="45"/>
      <c r="F608" s="45"/>
      <c r="G608" s="45"/>
      <c r="H608" s="45"/>
      <c r="I608" s="45"/>
      <c r="J608" s="45"/>
      <c r="K608" s="45"/>
      <c r="L608" s="45"/>
      <c r="N608" s="46"/>
      <c r="P608" s="47"/>
      <c r="Q608" s="47"/>
      <c r="R608" s="47"/>
      <c r="V608" s="45"/>
    </row>
    <row r="609" spans="3:22" ht="14.25" customHeight="1">
      <c r="C609" s="45"/>
      <c r="D609" s="45"/>
      <c r="E609" s="45"/>
      <c r="F609" s="45"/>
      <c r="G609" s="45"/>
      <c r="H609" s="45"/>
      <c r="I609" s="45"/>
      <c r="J609" s="45"/>
      <c r="K609" s="45"/>
      <c r="L609" s="45"/>
      <c r="N609" s="46"/>
      <c r="P609" s="47"/>
      <c r="Q609" s="47"/>
      <c r="R609" s="47"/>
      <c r="V609" s="45"/>
    </row>
    <row r="610" spans="3:22" ht="14.25" customHeight="1">
      <c r="C610" s="45"/>
      <c r="D610" s="45"/>
      <c r="E610" s="45"/>
      <c r="F610" s="45"/>
      <c r="G610" s="45"/>
      <c r="H610" s="45"/>
      <c r="I610" s="45"/>
      <c r="J610" s="45"/>
      <c r="K610" s="45"/>
      <c r="L610" s="45"/>
      <c r="N610" s="46"/>
      <c r="P610" s="47"/>
      <c r="Q610" s="47"/>
      <c r="R610" s="47"/>
      <c r="V610" s="45"/>
    </row>
    <row r="611" spans="3:22" ht="14.25" customHeight="1">
      <c r="C611" s="45"/>
      <c r="D611" s="45"/>
      <c r="E611" s="45"/>
      <c r="F611" s="45"/>
      <c r="G611" s="45"/>
      <c r="H611" s="45"/>
      <c r="I611" s="45"/>
      <c r="J611" s="45"/>
      <c r="K611" s="45"/>
      <c r="L611" s="45"/>
      <c r="N611" s="46"/>
      <c r="P611" s="47"/>
      <c r="Q611" s="47"/>
      <c r="R611" s="47"/>
      <c r="V611" s="45"/>
    </row>
    <row r="612" spans="3:22" ht="14.25" customHeight="1">
      <c r="C612" s="45"/>
      <c r="D612" s="45"/>
      <c r="E612" s="45"/>
      <c r="F612" s="45"/>
      <c r="G612" s="45"/>
      <c r="H612" s="45"/>
      <c r="I612" s="45"/>
      <c r="J612" s="45"/>
      <c r="K612" s="45"/>
      <c r="L612" s="45"/>
      <c r="N612" s="46"/>
      <c r="P612" s="47"/>
      <c r="Q612" s="47"/>
      <c r="R612" s="47"/>
      <c r="V612" s="45"/>
    </row>
    <row r="613" spans="3:22" ht="14.25" customHeight="1">
      <c r="C613" s="45"/>
      <c r="D613" s="45"/>
      <c r="E613" s="45"/>
      <c r="F613" s="45"/>
      <c r="G613" s="45"/>
      <c r="H613" s="45"/>
      <c r="I613" s="45"/>
      <c r="J613" s="45"/>
      <c r="K613" s="45"/>
      <c r="L613" s="45"/>
      <c r="N613" s="46"/>
      <c r="P613" s="47"/>
      <c r="Q613" s="47"/>
      <c r="R613" s="47"/>
      <c r="V613" s="45"/>
    </row>
    <row r="614" spans="3:22" ht="14.25" customHeight="1">
      <c r="C614" s="45"/>
      <c r="D614" s="45"/>
      <c r="E614" s="45"/>
      <c r="F614" s="45"/>
      <c r="G614" s="45"/>
      <c r="H614" s="45"/>
      <c r="I614" s="45"/>
      <c r="J614" s="45"/>
      <c r="K614" s="45"/>
      <c r="L614" s="45"/>
      <c r="N614" s="46"/>
      <c r="P614" s="47"/>
      <c r="Q614" s="47"/>
      <c r="R614" s="47"/>
      <c r="V614" s="45"/>
    </row>
    <row r="615" spans="3:22" ht="14.25" customHeight="1">
      <c r="C615" s="45"/>
      <c r="D615" s="45"/>
      <c r="E615" s="45"/>
      <c r="F615" s="45"/>
      <c r="G615" s="45"/>
      <c r="H615" s="45"/>
      <c r="I615" s="45"/>
      <c r="J615" s="45"/>
      <c r="K615" s="45"/>
      <c r="L615" s="45"/>
      <c r="N615" s="46"/>
      <c r="P615" s="47"/>
      <c r="Q615" s="47"/>
      <c r="R615" s="47"/>
      <c r="V615" s="45"/>
    </row>
    <row r="616" spans="3:22" ht="14.25" customHeight="1">
      <c r="C616" s="45"/>
      <c r="D616" s="45"/>
      <c r="E616" s="45"/>
      <c r="F616" s="45"/>
      <c r="G616" s="45"/>
      <c r="H616" s="45"/>
      <c r="I616" s="45"/>
      <c r="J616" s="45"/>
      <c r="K616" s="45"/>
      <c r="L616" s="45"/>
      <c r="N616" s="46"/>
      <c r="P616" s="47"/>
      <c r="Q616" s="47"/>
      <c r="R616" s="47"/>
      <c r="V616" s="45"/>
    </row>
    <row r="617" spans="3:22" ht="14.25" customHeight="1">
      <c r="C617" s="45"/>
      <c r="D617" s="45"/>
      <c r="E617" s="45"/>
      <c r="F617" s="45"/>
      <c r="G617" s="45"/>
      <c r="H617" s="45"/>
      <c r="I617" s="45"/>
      <c r="J617" s="45"/>
      <c r="K617" s="45"/>
      <c r="L617" s="45"/>
      <c r="N617" s="46"/>
      <c r="P617" s="47"/>
      <c r="Q617" s="47"/>
      <c r="R617" s="47"/>
      <c r="V617" s="45"/>
    </row>
    <row r="618" spans="3:22" ht="14.25" customHeight="1">
      <c r="C618" s="45"/>
      <c r="D618" s="45"/>
      <c r="E618" s="45"/>
      <c r="F618" s="45"/>
      <c r="G618" s="45"/>
      <c r="H618" s="45"/>
      <c r="I618" s="45"/>
      <c r="J618" s="45"/>
      <c r="K618" s="45"/>
      <c r="L618" s="45"/>
      <c r="N618" s="46"/>
      <c r="P618" s="47"/>
      <c r="Q618" s="47"/>
      <c r="R618" s="47"/>
      <c r="V618" s="45"/>
    </row>
    <row r="619" spans="3:22" ht="14.25" customHeight="1">
      <c r="C619" s="45"/>
      <c r="D619" s="45"/>
      <c r="E619" s="45"/>
      <c r="F619" s="45"/>
      <c r="G619" s="45"/>
      <c r="H619" s="45"/>
      <c r="I619" s="45"/>
      <c r="J619" s="45"/>
      <c r="K619" s="45"/>
      <c r="L619" s="45"/>
      <c r="N619" s="46"/>
      <c r="P619" s="47"/>
      <c r="Q619" s="47"/>
      <c r="R619" s="47"/>
      <c r="V619" s="45"/>
    </row>
    <row r="620" spans="3:22" ht="14.25" customHeight="1">
      <c r="C620" s="45"/>
      <c r="D620" s="45"/>
      <c r="E620" s="45"/>
      <c r="F620" s="45"/>
      <c r="G620" s="45"/>
      <c r="H620" s="45"/>
      <c r="I620" s="45"/>
      <c r="J620" s="45"/>
      <c r="K620" s="45"/>
      <c r="L620" s="45"/>
      <c r="N620" s="46"/>
      <c r="P620" s="47"/>
      <c r="Q620" s="47"/>
      <c r="R620" s="47"/>
      <c r="V620" s="45"/>
    </row>
    <row r="621" spans="3:22" ht="14.25" customHeight="1">
      <c r="C621" s="45"/>
      <c r="D621" s="45"/>
      <c r="E621" s="45"/>
      <c r="F621" s="45"/>
      <c r="G621" s="45"/>
      <c r="H621" s="45"/>
      <c r="I621" s="45"/>
      <c r="J621" s="45"/>
      <c r="K621" s="45"/>
      <c r="L621" s="45"/>
      <c r="N621" s="46"/>
      <c r="P621" s="47"/>
      <c r="Q621" s="47"/>
      <c r="R621" s="47"/>
      <c r="V621" s="45"/>
    </row>
    <row r="622" spans="3:22" ht="14.25" customHeight="1">
      <c r="C622" s="45"/>
      <c r="D622" s="45"/>
      <c r="E622" s="45"/>
      <c r="F622" s="45"/>
      <c r="G622" s="45"/>
      <c r="H622" s="45"/>
      <c r="I622" s="45"/>
      <c r="J622" s="45"/>
      <c r="K622" s="45"/>
      <c r="L622" s="45"/>
      <c r="N622" s="46"/>
      <c r="P622" s="47"/>
      <c r="Q622" s="47"/>
      <c r="R622" s="47"/>
      <c r="V622" s="45"/>
    </row>
    <row r="623" spans="3:22" ht="14.25" customHeight="1">
      <c r="C623" s="45"/>
      <c r="D623" s="45"/>
      <c r="E623" s="45"/>
      <c r="F623" s="45"/>
      <c r="G623" s="45"/>
      <c r="H623" s="45"/>
      <c r="I623" s="45"/>
      <c r="J623" s="45"/>
      <c r="K623" s="45"/>
      <c r="L623" s="45"/>
      <c r="N623" s="46"/>
      <c r="P623" s="47"/>
      <c r="Q623" s="47"/>
      <c r="R623" s="47"/>
      <c r="V623" s="45"/>
    </row>
    <row r="624" spans="3:22" ht="14.25" customHeight="1">
      <c r="C624" s="45"/>
      <c r="D624" s="45"/>
      <c r="E624" s="45"/>
      <c r="F624" s="45"/>
      <c r="G624" s="45"/>
      <c r="H624" s="45"/>
      <c r="I624" s="45"/>
      <c r="J624" s="45"/>
      <c r="K624" s="45"/>
      <c r="L624" s="45"/>
      <c r="N624" s="46"/>
      <c r="P624" s="47"/>
      <c r="Q624" s="47"/>
      <c r="R624" s="47"/>
      <c r="V624" s="45"/>
    </row>
    <row r="625" spans="3:22" ht="14.25" customHeight="1">
      <c r="C625" s="45"/>
      <c r="D625" s="45"/>
      <c r="E625" s="45"/>
      <c r="F625" s="45"/>
      <c r="G625" s="45"/>
      <c r="H625" s="45"/>
      <c r="I625" s="45"/>
      <c r="J625" s="45"/>
      <c r="K625" s="45"/>
      <c r="L625" s="45"/>
      <c r="N625" s="46"/>
      <c r="P625" s="47"/>
      <c r="Q625" s="47"/>
      <c r="R625" s="47"/>
      <c r="V625" s="45"/>
    </row>
    <row r="626" spans="3:22" ht="14.25" customHeight="1">
      <c r="C626" s="45"/>
      <c r="D626" s="45"/>
      <c r="E626" s="45"/>
      <c r="F626" s="45"/>
      <c r="G626" s="45"/>
      <c r="H626" s="45"/>
      <c r="I626" s="45"/>
      <c r="J626" s="45"/>
      <c r="K626" s="45"/>
      <c r="L626" s="45"/>
      <c r="N626" s="46"/>
      <c r="P626" s="47"/>
      <c r="Q626" s="47"/>
      <c r="R626" s="47"/>
      <c r="V626" s="45"/>
    </row>
    <row r="627" spans="3:22" ht="14.25" customHeight="1">
      <c r="C627" s="45"/>
      <c r="D627" s="45"/>
      <c r="E627" s="45"/>
      <c r="F627" s="45"/>
      <c r="G627" s="45"/>
      <c r="H627" s="45"/>
      <c r="I627" s="45"/>
      <c r="J627" s="45"/>
      <c r="K627" s="45"/>
      <c r="L627" s="45"/>
      <c r="N627" s="46"/>
      <c r="P627" s="47"/>
      <c r="Q627" s="47"/>
      <c r="R627" s="47"/>
      <c r="V627" s="45"/>
    </row>
    <row r="628" spans="3:22" ht="14.25" customHeight="1">
      <c r="C628" s="45"/>
      <c r="D628" s="45"/>
      <c r="E628" s="45"/>
      <c r="F628" s="45"/>
      <c r="G628" s="45"/>
      <c r="H628" s="45"/>
      <c r="I628" s="45"/>
      <c r="J628" s="45"/>
      <c r="K628" s="45"/>
      <c r="L628" s="45"/>
      <c r="N628" s="46"/>
      <c r="P628" s="47"/>
      <c r="Q628" s="47"/>
      <c r="R628" s="47"/>
      <c r="V628" s="45"/>
    </row>
    <row r="629" spans="3:22" ht="14.25" customHeight="1">
      <c r="C629" s="45"/>
      <c r="D629" s="45"/>
      <c r="E629" s="45"/>
      <c r="F629" s="45"/>
      <c r="G629" s="45"/>
      <c r="H629" s="45"/>
      <c r="I629" s="45"/>
      <c r="J629" s="45"/>
      <c r="K629" s="45"/>
      <c r="L629" s="45"/>
      <c r="N629" s="46"/>
      <c r="P629" s="47"/>
      <c r="Q629" s="47"/>
      <c r="R629" s="47"/>
      <c r="V629" s="45"/>
    </row>
    <row r="630" spans="3:22" ht="14.25" customHeight="1">
      <c r="C630" s="45"/>
      <c r="D630" s="45"/>
      <c r="E630" s="45"/>
      <c r="F630" s="45"/>
      <c r="G630" s="45"/>
      <c r="H630" s="45"/>
      <c r="I630" s="45"/>
      <c r="J630" s="45"/>
      <c r="K630" s="45"/>
      <c r="L630" s="45"/>
      <c r="N630" s="46"/>
      <c r="P630" s="47"/>
      <c r="Q630" s="47"/>
      <c r="R630" s="47"/>
      <c r="V630" s="45"/>
    </row>
    <row r="631" spans="3:22" ht="14.25" customHeight="1">
      <c r="C631" s="45"/>
      <c r="D631" s="45"/>
      <c r="E631" s="45"/>
      <c r="F631" s="45"/>
      <c r="G631" s="45"/>
      <c r="H631" s="45"/>
      <c r="I631" s="45"/>
      <c r="J631" s="45"/>
      <c r="K631" s="45"/>
      <c r="L631" s="45"/>
      <c r="N631" s="46"/>
      <c r="P631" s="47"/>
      <c r="Q631" s="47"/>
      <c r="R631" s="47"/>
      <c r="V631" s="45"/>
    </row>
    <row r="632" spans="3:22" ht="14.25" customHeight="1">
      <c r="C632" s="45"/>
      <c r="D632" s="45"/>
      <c r="E632" s="45"/>
      <c r="F632" s="45"/>
      <c r="G632" s="45"/>
      <c r="H632" s="45"/>
      <c r="I632" s="45"/>
      <c r="J632" s="45"/>
      <c r="K632" s="45"/>
      <c r="L632" s="45"/>
      <c r="N632" s="46"/>
      <c r="P632" s="47"/>
      <c r="Q632" s="47"/>
      <c r="R632" s="47"/>
      <c r="V632" s="45"/>
    </row>
    <row r="633" spans="3:22" ht="14.25" customHeight="1">
      <c r="C633" s="45"/>
      <c r="D633" s="45"/>
      <c r="E633" s="45"/>
      <c r="F633" s="45"/>
      <c r="G633" s="45"/>
      <c r="H633" s="45"/>
      <c r="I633" s="45"/>
      <c r="J633" s="45"/>
      <c r="K633" s="45"/>
      <c r="L633" s="45"/>
      <c r="N633" s="46"/>
      <c r="P633" s="47"/>
      <c r="Q633" s="47"/>
      <c r="R633" s="47"/>
      <c r="V633" s="45"/>
    </row>
    <row r="634" spans="3:22" ht="14.25" customHeight="1">
      <c r="C634" s="45"/>
      <c r="D634" s="45"/>
      <c r="E634" s="45"/>
      <c r="F634" s="45"/>
      <c r="G634" s="45"/>
      <c r="H634" s="45"/>
      <c r="I634" s="45"/>
      <c r="J634" s="45"/>
      <c r="K634" s="45"/>
      <c r="L634" s="45"/>
      <c r="N634" s="46"/>
      <c r="P634" s="47"/>
      <c r="Q634" s="47"/>
      <c r="R634" s="47"/>
      <c r="V634" s="45"/>
    </row>
    <row r="635" spans="3:22" ht="14.25" customHeight="1">
      <c r="C635" s="45"/>
      <c r="D635" s="45"/>
      <c r="E635" s="45"/>
      <c r="F635" s="45"/>
      <c r="G635" s="45"/>
      <c r="H635" s="45"/>
      <c r="I635" s="45"/>
      <c r="J635" s="45"/>
      <c r="K635" s="45"/>
      <c r="L635" s="45"/>
      <c r="N635" s="46"/>
      <c r="P635" s="47"/>
      <c r="Q635" s="47"/>
      <c r="R635" s="47"/>
      <c r="V635" s="45"/>
    </row>
    <row r="636" spans="3:22" ht="14.25" customHeight="1">
      <c r="C636" s="45"/>
      <c r="D636" s="45"/>
      <c r="E636" s="45"/>
      <c r="F636" s="45"/>
      <c r="G636" s="45"/>
      <c r="H636" s="45"/>
      <c r="I636" s="45"/>
      <c r="J636" s="45"/>
      <c r="K636" s="45"/>
      <c r="L636" s="45"/>
      <c r="N636" s="46"/>
      <c r="P636" s="47"/>
      <c r="Q636" s="47"/>
      <c r="R636" s="47"/>
      <c r="V636" s="45"/>
    </row>
    <row r="637" spans="3:22" ht="14.25" customHeight="1">
      <c r="C637" s="45"/>
      <c r="D637" s="45"/>
      <c r="E637" s="45"/>
      <c r="F637" s="45"/>
      <c r="G637" s="45"/>
      <c r="H637" s="45"/>
      <c r="I637" s="45"/>
      <c r="J637" s="45"/>
      <c r="K637" s="45"/>
      <c r="L637" s="45"/>
      <c r="N637" s="46"/>
      <c r="P637" s="47"/>
      <c r="Q637" s="47"/>
      <c r="R637" s="47"/>
      <c r="V637" s="45"/>
    </row>
    <row r="638" spans="3:22" ht="14.25" customHeight="1">
      <c r="C638" s="45"/>
      <c r="D638" s="45"/>
      <c r="E638" s="45"/>
      <c r="F638" s="45"/>
      <c r="G638" s="45"/>
      <c r="H638" s="45"/>
      <c r="I638" s="45"/>
      <c r="J638" s="45"/>
      <c r="K638" s="45"/>
      <c r="L638" s="45"/>
      <c r="N638" s="46"/>
      <c r="P638" s="47"/>
      <c r="Q638" s="47"/>
      <c r="R638" s="47"/>
      <c r="V638" s="45"/>
    </row>
    <row r="639" spans="3:22" ht="14.25" customHeight="1">
      <c r="C639" s="45"/>
      <c r="D639" s="45"/>
      <c r="E639" s="45"/>
      <c r="F639" s="45"/>
      <c r="G639" s="45"/>
      <c r="H639" s="45"/>
      <c r="I639" s="45"/>
      <c r="J639" s="45"/>
      <c r="K639" s="45"/>
      <c r="L639" s="45"/>
      <c r="N639" s="46"/>
      <c r="P639" s="47"/>
      <c r="Q639" s="47"/>
      <c r="R639" s="47"/>
      <c r="V639" s="45"/>
    </row>
    <row r="640" spans="3:22" ht="14.25" customHeight="1">
      <c r="C640" s="45"/>
      <c r="D640" s="45"/>
      <c r="E640" s="45"/>
      <c r="F640" s="45"/>
      <c r="G640" s="45"/>
      <c r="H640" s="45"/>
      <c r="I640" s="45"/>
      <c r="J640" s="45"/>
      <c r="K640" s="45"/>
      <c r="L640" s="45"/>
      <c r="N640" s="46"/>
      <c r="P640" s="47"/>
      <c r="Q640" s="47"/>
      <c r="R640" s="47"/>
      <c r="V640" s="45"/>
    </row>
    <row r="641" spans="3:22" ht="14.25" customHeight="1">
      <c r="C641" s="45"/>
      <c r="D641" s="45"/>
      <c r="E641" s="45"/>
      <c r="F641" s="45"/>
      <c r="G641" s="45"/>
      <c r="H641" s="45"/>
      <c r="I641" s="45"/>
      <c r="J641" s="45"/>
      <c r="K641" s="45"/>
      <c r="L641" s="45"/>
      <c r="N641" s="46"/>
      <c r="P641" s="47"/>
      <c r="Q641" s="47"/>
      <c r="R641" s="47"/>
      <c r="V641" s="45"/>
    </row>
    <row r="642" spans="3:22" ht="14.25" customHeight="1">
      <c r="C642" s="45"/>
      <c r="D642" s="45"/>
      <c r="E642" s="45"/>
      <c r="F642" s="45"/>
      <c r="G642" s="45"/>
      <c r="H642" s="45"/>
      <c r="I642" s="45"/>
      <c r="J642" s="45"/>
      <c r="K642" s="45"/>
      <c r="L642" s="45"/>
      <c r="N642" s="46"/>
      <c r="P642" s="47"/>
      <c r="Q642" s="47"/>
      <c r="R642" s="47"/>
      <c r="V642" s="45"/>
    </row>
    <row r="643" spans="3:22" ht="14.25" customHeight="1">
      <c r="C643" s="45"/>
      <c r="D643" s="45"/>
      <c r="E643" s="45"/>
      <c r="F643" s="45"/>
      <c r="G643" s="45"/>
      <c r="H643" s="45"/>
      <c r="I643" s="45"/>
      <c r="J643" s="45"/>
      <c r="K643" s="45"/>
      <c r="L643" s="45"/>
      <c r="N643" s="46"/>
      <c r="P643" s="47"/>
      <c r="Q643" s="47"/>
      <c r="R643" s="47"/>
      <c r="V643" s="45"/>
    </row>
    <row r="644" spans="3:22" ht="14.25" customHeight="1">
      <c r="C644" s="45"/>
      <c r="D644" s="45"/>
      <c r="E644" s="45"/>
      <c r="F644" s="45"/>
      <c r="G644" s="45"/>
      <c r="H644" s="45"/>
      <c r="I644" s="45"/>
      <c r="J644" s="45"/>
      <c r="K644" s="45"/>
      <c r="L644" s="45"/>
      <c r="N644" s="46"/>
      <c r="P644" s="47"/>
      <c r="Q644" s="47"/>
      <c r="R644" s="47"/>
      <c r="V644" s="45"/>
    </row>
    <row r="645" spans="3:22" ht="14.25" customHeight="1">
      <c r="C645" s="45"/>
      <c r="D645" s="45"/>
      <c r="E645" s="45"/>
      <c r="F645" s="45"/>
      <c r="G645" s="45"/>
      <c r="H645" s="45"/>
      <c r="I645" s="45"/>
      <c r="J645" s="45"/>
      <c r="K645" s="45"/>
      <c r="L645" s="45"/>
      <c r="N645" s="46"/>
      <c r="P645" s="47"/>
      <c r="Q645" s="47"/>
      <c r="R645" s="47"/>
      <c r="V645" s="45"/>
    </row>
    <row r="646" spans="3:22" ht="14.25" customHeight="1">
      <c r="C646" s="45"/>
      <c r="D646" s="45"/>
      <c r="E646" s="45"/>
      <c r="F646" s="45"/>
      <c r="G646" s="45"/>
      <c r="H646" s="45"/>
      <c r="I646" s="45"/>
      <c r="J646" s="45"/>
      <c r="K646" s="45"/>
      <c r="L646" s="45"/>
      <c r="N646" s="46"/>
      <c r="P646" s="47"/>
      <c r="Q646" s="47"/>
      <c r="R646" s="47"/>
      <c r="V646" s="45"/>
    </row>
    <row r="647" spans="3:22" ht="14.25" customHeight="1">
      <c r="C647" s="45"/>
      <c r="D647" s="45"/>
      <c r="E647" s="45"/>
      <c r="F647" s="45"/>
      <c r="G647" s="45"/>
      <c r="H647" s="45"/>
      <c r="I647" s="45"/>
      <c r="J647" s="45"/>
      <c r="K647" s="45"/>
      <c r="L647" s="45"/>
      <c r="N647" s="46"/>
      <c r="P647" s="47"/>
      <c r="Q647" s="47"/>
      <c r="R647" s="47"/>
      <c r="V647" s="45"/>
    </row>
    <row r="648" spans="3:22" ht="14.25" customHeight="1">
      <c r="C648" s="45"/>
      <c r="D648" s="45"/>
      <c r="E648" s="45"/>
      <c r="F648" s="45"/>
      <c r="G648" s="45"/>
      <c r="H648" s="45"/>
      <c r="I648" s="45"/>
      <c r="J648" s="45"/>
      <c r="K648" s="45"/>
      <c r="L648" s="45"/>
      <c r="N648" s="46"/>
      <c r="P648" s="47"/>
      <c r="Q648" s="47"/>
      <c r="R648" s="47"/>
      <c r="V648" s="45"/>
    </row>
    <row r="649" spans="3:22" ht="14.25" customHeight="1">
      <c r="C649" s="45"/>
      <c r="D649" s="45"/>
      <c r="E649" s="45"/>
      <c r="F649" s="45"/>
      <c r="G649" s="45"/>
      <c r="H649" s="45"/>
      <c r="I649" s="45"/>
      <c r="J649" s="45"/>
      <c r="K649" s="45"/>
      <c r="L649" s="45"/>
      <c r="N649" s="46"/>
      <c r="P649" s="47"/>
      <c r="Q649" s="47"/>
      <c r="R649" s="47"/>
      <c r="V649" s="45"/>
    </row>
    <row r="650" spans="3:22" ht="14.25" customHeight="1">
      <c r="C650" s="45"/>
      <c r="D650" s="45"/>
      <c r="E650" s="45"/>
      <c r="F650" s="45"/>
      <c r="G650" s="45"/>
      <c r="H650" s="45"/>
      <c r="I650" s="45"/>
      <c r="J650" s="45"/>
      <c r="K650" s="45"/>
      <c r="L650" s="45"/>
      <c r="N650" s="46"/>
      <c r="P650" s="47"/>
      <c r="Q650" s="47"/>
      <c r="R650" s="47"/>
      <c r="V650" s="45"/>
    </row>
    <row r="651" spans="3:22" ht="14.25" customHeight="1">
      <c r="C651" s="45"/>
      <c r="D651" s="45"/>
      <c r="E651" s="45"/>
      <c r="F651" s="45"/>
      <c r="G651" s="45"/>
      <c r="H651" s="45"/>
      <c r="I651" s="45"/>
      <c r="J651" s="45"/>
      <c r="K651" s="45"/>
      <c r="L651" s="45"/>
      <c r="N651" s="46"/>
      <c r="P651" s="47"/>
      <c r="Q651" s="47"/>
      <c r="R651" s="47"/>
      <c r="V651" s="45"/>
    </row>
    <row r="652" spans="3:22" ht="14.25" customHeight="1">
      <c r="C652" s="45"/>
      <c r="D652" s="45"/>
      <c r="E652" s="45"/>
      <c r="F652" s="45"/>
      <c r="G652" s="45"/>
      <c r="H652" s="45"/>
      <c r="I652" s="45"/>
      <c r="J652" s="45"/>
      <c r="K652" s="45"/>
      <c r="L652" s="45"/>
      <c r="N652" s="46"/>
      <c r="P652" s="47"/>
      <c r="Q652" s="47"/>
      <c r="R652" s="47"/>
      <c r="V652" s="45"/>
    </row>
    <row r="653" spans="3:22" ht="14.25" customHeight="1">
      <c r="C653" s="45"/>
      <c r="D653" s="45"/>
      <c r="E653" s="45"/>
      <c r="F653" s="45"/>
      <c r="G653" s="45"/>
      <c r="H653" s="45"/>
      <c r="I653" s="45"/>
      <c r="J653" s="45"/>
      <c r="K653" s="45"/>
      <c r="L653" s="45"/>
      <c r="N653" s="46"/>
      <c r="P653" s="47"/>
      <c r="Q653" s="47"/>
      <c r="R653" s="47"/>
      <c r="V653" s="45"/>
    </row>
    <row r="654" spans="3:22" ht="14.25" customHeight="1">
      <c r="C654" s="45"/>
      <c r="D654" s="45"/>
      <c r="E654" s="45"/>
      <c r="F654" s="45"/>
      <c r="G654" s="45"/>
      <c r="H654" s="45"/>
      <c r="I654" s="45"/>
      <c r="J654" s="45"/>
      <c r="K654" s="45"/>
      <c r="L654" s="45"/>
      <c r="N654" s="46"/>
      <c r="P654" s="47"/>
      <c r="Q654" s="47"/>
      <c r="R654" s="47"/>
      <c r="V654" s="45"/>
    </row>
    <row r="655" spans="3:22" ht="14.25" customHeight="1">
      <c r="C655" s="45"/>
      <c r="D655" s="45"/>
      <c r="E655" s="45"/>
      <c r="F655" s="45"/>
      <c r="G655" s="45"/>
      <c r="H655" s="45"/>
      <c r="I655" s="45"/>
      <c r="J655" s="45"/>
      <c r="K655" s="45"/>
      <c r="L655" s="45"/>
      <c r="N655" s="46"/>
      <c r="P655" s="47"/>
      <c r="Q655" s="47"/>
      <c r="R655" s="47"/>
      <c r="V655" s="45"/>
    </row>
    <row r="656" spans="3:22" ht="14.25" customHeight="1">
      <c r="C656" s="45"/>
      <c r="D656" s="45"/>
      <c r="E656" s="45"/>
      <c r="F656" s="45"/>
      <c r="G656" s="45"/>
      <c r="H656" s="45"/>
      <c r="I656" s="45"/>
      <c r="J656" s="45"/>
      <c r="K656" s="45"/>
      <c r="L656" s="45"/>
      <c r="N656" s="46"/>
      <c r="P656" s="47"/>
      <c r="Q656" s="47"/>
      <c r="R656" s="47"/>
      <c r="V656" s="45"/>
    </row>
    <row r="657" spans="3:22" ht="14.25" customHeight="1">
      <c r="C657" s="45"/>
      <c r="D657" s="45"/>
      <c r="E657" s="45"/>
      <c r="F657" s="45"/>
      <c r="G657" s="45"/>
      <c r="H657" s="45"/>
      <c r="I657" s="45"/>
      <c r="J657" s="45"/>
      <c r="K657" s="45"/>
      <c r="L657" s="45"/>
      <c r="N657" s="46"/>
      <c r="P657" s="47"/>
      <c r="Q657" s="47"/>
      <c r="R657" s="47"/>
      <c r="V657" s="45"/>
    </row>
    <row r="658" spans="3:22" ht="14.25" customHeight="1">
      <c r="C658" s="45"/>
      <c r="D658" s="45"/>
      <c r="E658" s="45"/>
      <c r="F658" s="45"/>
      <c r="G658" s="45"/>
      <c r="H658" s="45"/>
      <c r="I658" s="45"/>
      <c r="J658" s="45"/>
      <c r="K658" s="45"/>
      <c r="L658" s="45"/>
      <c r="N658" s="46"/>
      <c r="P658" s="47"/>
      <c r="Q658" s="47"/>
      <c r="R658" s="47"/>
      <c r="V658" s="45"/>
    </row>
    <row r="659" spans="3:22" ht="14.25" customHeight="1">
      <c r="C659" s="45"/>
      <c r="D659" s="45"/>
      <c r="E659" s="45"/>
      <c r="F659" s="45"/>
      <c r="G659" s="45"/>
      <c r="H659" s="45"/>
      <c r="I659" s="45"/>
      <c r="J659" s="45"/>
      <c r="K659" s="45"/>
      <c r="L659" s="45"/>
      <c r="N659" s="46"/>
      <c r="P659" s="47"/>
      <c r="Q659" s="47"/>
      <c r="R659" s="47"/>
      <c r="V659" s="45"/>
    </row>
    <row r="660" spans="3:22" ht="14.25" customHeight="1">
      <c r="C660" s="45"/>
      <c r="D660" s="45"/>
      <c r="E660" s="45"/>
      <c r="F660" s="45"/>
      <c r="G660" s="45"/>
      <c r="H660" s="45"/>
      <c r="I660" s="45"/>
      <c r="J660" s="45"/>
      <c r="K660" s="45"/>
      <c r="L660" s="45"/>
      <c r="N660" s="46"/>
      <c r="P660" s="47"/>
      <c r="Q660" s="47"/>
      <c r="R660" s="47"/>
      <c r="V660" s="45"/>
    </row>
    <row r="661" spans="3:22" ht="14.25" customHeight="1">
      <c r="C661" s="45"/>
      <c r="D661" s="45"/>
      <c r="E661" s="45"/>
      <c r="F661" s="45"/>
      <c r="G661" s="45"/>
      <c r="H661" s="45"/>
      <c r="I661" s="45"/>
      <c r="J661" s="45"/>
      <c r="K661" s="45"/>
      <c r="L661" s="45"/>
      <c r="N661" s="46"/>
      <c r="P661" s="47"/>
      <c r="Q661" s="47"/>
      <c r="R661" s="47"/>
      <c r="V661" s="45"/>
    </row>
    <row r="662" spans="3:22" ht="14.25" customHeight="1">
      <c r="C662" s="45"/>
      <c r="D662" s="45"/>
      <c r="E662" s="45"/>
      <c r="F662" s="45"/>
      <c r="G662" s="45"/>
      <c r="H662" s="45"/>
      <c r="I662" s="45"/>
      <c r="J662" s="45"/>
      <c r="K662" s="45"/>
      <c r="L662" s="45"/>
      <c r="N662" s="46"/>
      <c r="P662" s="47"/>
      <c r="Q662" s="47"/>
      <c r="R662" s="47"/>
      <c r="V662" s="45"/>
    </row>
    <row r="663" spans="3:22" ht="14.25" customHeight="1">
      <c r="C663" s="45"/>
      <c r="D663" s="45"/>
      <c r="E663" s="45"/>
      <c r="F663" s="45"/>
      <c r="G663" s="45"/>
      <c r="H663" s="45"/>
      <c r="I663" s="45"/>
      <c r="J663" s="45"/>
      <c r="K663" s="45"/>
      <c r="L663" s="45"/>
      <c r="N663" s="46"/>
      <c r="P663" s="47"/>
      <c r="Q663" s="47"/>
      <c r="R663" s="47"/>
      <c r="V663" s="45"/>
    </row>
    <row r="664" spans="3:22" ht="14.25" customHeight="1">
      <c r="C664" s="45"/>
      <c r="D664" s="45"/>
      <c r="E664" s="45"/>
      <c r="F664" s="45"/>
      <c r="G664" s="45"/>
      <c r="H664" s="45"/>
      <c r="I664" s="45"/>
      <c r="J664" s="45"/>
      <c r="K664" s="45"/>
      <c r="L664" s="45"/>
      <c r="N664" s="46"/>
      <c r="P664" s="47"/>
      <c r="Q664" s="47"/>
      <c r="R664" s="47"/>
      <c r="V664" s="45"/>
    </row>
    <row r="665" spans="3:22" ht="14.25" customHeight="1">
      <c r="C665" s="45"/>
      <c r="D665" s="45"/>
      <c r="E665" s="45"/>
      <c r="F665" s="45"/>
      <c r="G665" s="45"/>
      <c r="H665" s="45"/>
      <c r="I665" s="45"/>
      <c r="J665" s="45"/>
      <c r="K665" s="45"/>
      <c r="L665" s="45"/>
      <c r="N665" s="46"/>
      <c r="P665" s="47"/>
      <c r="Q665" s="47"/>
      <c r="R665" s="47"/>
      <c r="V665" s="45"/>
    </row>
    <row r="666" spans="3:22" ht="14.25" customHeight="1">
      <c r="C666" s="45"/>
      <c r="D666" s="45"/>
      <c r="E666" s="45"/>
      <c r="F666" s="45"/>
      <c r="G666" s="45"/>
      <c r="H666" s="45"/>
      <c r="I666" s="45"/>
      <c r="J666" s="45"/>
      <c r="K666" s="45"/>
      <c r="L666" s="45"/>
      <c r="N666" s="46"/>
      <c r="P666" s="47"/>
      <c r="Q666" s="47"/>
      <c r="R666" s="47"/>
      <c r="V666" s="45"/>
    </row>
    <row r="667" spans="3:22" ht="14.25" customHeight="1">
      <c r="C667" s="45"/>
      <c r="D667" s="45"/>
      <c r="E667" s="45"/>
      <c r="F667" s="45"/>
      <c r="G667" s="45"/>
      <c r="H667" s="45"/>
      <c r="I667" s="45"/>
      <c r="J667" s="45"/>
      <c r="K667" s="45"/>
      <c r="L667" s="45"/>
      <c r="N667" s="46"/>
      <c r="P667" s="47"/>
      <c r="Q667" s="47"/>
      <c r="R667" s="47"/>
      <c r="V667" s="45"/>
    </row>
    <row r="668" spans="3:22" ht="14.25" customHeight="1">
      <c r="C668" s="45"/>
      <c r="D668" s="45"/>
      <c r="E668" s="45"/>
      <c r="F668" s="45"/>
      <c r="G668" s="45"/>
      <c r="H668" s="45"/>
      <c r="I668" s="45"/>
      <c r="J668" s="45"/>
      <c r="K668" s="45"/>
      <c r="L668" s="45"/>
      <c r="N668" s="46"/>
      <c r="P668" s="47"/>
      <c r="Q668" s="47"/>
      <c r="R668" s="47"/>
      <c r="V668" s="45"/>
    </row>
    <row r="669" spans="3:22" ht="14.25" customHeight="1">
      <c r="C669" s="45"/>
      <c r="D669" s="45"/>
      <c r="E669" s="45"/>
      <c r="F669" s="45"/>
      <c r="G669" s="45"/>
      <c r="H669" s="45"/>
      <c r="I669" s="45"/>
      <c r="J669" s="45"/>
      <c r="K669" s="45"/>
      <c r="L669" s="45"/>
      <c r="N669" s="46"/>
      <c r="P669" s="47"/>
      <c r="Q669" s="47"/>
      <c r="R669" s="47"/>
      <c r="V669" s="45"/>
    </row>
    <row r="670" spans="3:22" ht="14.25" customHeight="1">
      <c r="C670" s="45"/>
      <c r="D670" s="45"/>
      <c r="E670" s="45"/>
      <c r="F670" s="45"/>
      <c r="G670" s="45"/>
      <c r="H670" s="45"/>
      <c r="I670" s="45"/>
      <c r="J670" s="45"/>
      <c r="K670" s="45"/>
      <c r="L670" s="45"/>
      <c r="N670" s="46"/>
      <c r="P670" s="47"/>
      <c r="Q670" s="47"/>
      <c r="R670" s="47"/>
      <c r="V670" s="45"/>
    </row>
    <row r="671" spans="3:22" ht="14.25" customHeight="1">
      <c r="C671" s="45"/>
      <c r="D671" s="45"/>
      <c r="E671" s="45"/>
      <c r="F671" s="45"/>
      <c r="G671" s="45"/>
      <c r="H671" s="45"/>
      <c r="I671" s="45"/>
      <c r="J671" s="45"/>
      <c r="K671" s="45"/>
      <c r="L671" s="45"/>
      <c r="N671" s="46"/>
      <c r="P671" s="47"/>
      <c r="Q671" s="47"/>
      <c r="R671" s="47"/>
      <c r="V671" s="45"/>
    </row>
    <row r="672" spans="3:22" ht="14.25" customHeight="1">
      <c r="C672" s="45"/>
      <c r="D672" s="45"/>
      <c r="E672" s="45"/>
      <c r="F672" s="45"/>
      <c r="G672" s="45"/>
      <c r="H672" s="45"/>
      <c r="I672" s="45"/>
      <c r="J672" s="45"/>
      <c r="K672" s="45"/>
      <c r="L672" s="45"/>
      <c r="N672" s="46"/>
      <c r="P672" s="47"/>
      <c r="Q672" s="47"/>
      <c r="R672" s="47"/>
      <c r="V672" s="45"/>
    </row>
    <row r="673" spans="3:22" ht="14.25" customHeight="1">
      <c r="C673" s="45"/>
      <c r="D673" s="45"/>
      <c r="E673" s="45"/>
      <c r="F673" s="45"/>
      <c r="G673" s="45"/>
      <c r="H673" s="45"/>
      <c r="I673" s="45"/>
      <c r="J673" s="45"/>
      <c r="K673" s="45"/>
      <c r="L673" s="45"/>
      <c r="N673" s="46"/>
      <c r="P673" s="47"/>
      <c r="Q673" s="47"/>
      <c r="R673" s="47"/>
      <c r="V673" s="45"/>
    </row>
    <row r="674" spans="3:22" ht="14.25" customHeight="1">
      <c r="C674" s="45"/>
      <c r="D674" s="45"/>
      <c r="E674" s="45"/>
      <c r="F674" s="45"/>
      <c r="G674" s="45"/>
      <c r="H674" s="45"/>
      <c r="I674" s="45"/>
      <c r="J674" s="45"/>
      <c r="K674" s="45"/>
      <c r="L674" s="45"/>
      <c r="N674" s="46"/>
      <c r="P674" s="47"/>
      <c r="Q674" s="47"/>
      <c r="R674" s="47"/>
      <c r="V674" s="45"/>
    </row>
    <row r="675" spans="3:22" ht="14.25" customHeight="1">
      <c r="C675" s="45"/>
      <c r="D675" s="45"/>
      <c r="E675" s="45"/>
      <c r="F675" s="45"/>
      <c r="G675" s="45"/>
      <c r="H675" s="45"/>
      <c r="I675" s="45"/>
      <c r="J675" s="45"/>
      <c r="K675" s="45"/>
      <c r="L675" s="45"/>
      <c r="N675" s="46"/>
      <c r="P675" s="47"/>
      <c r="Q675" s="47"/>
      <c r="R675" s="47"/>
      <c r="V675" s="45"/>
    </row>
    <row r="676" spans="3:22" ht="14.25" customHeight="1">
      <c r="C676" s="45"/>
      <c r="D676" s="45"/>
      <c r="E676" s="45"/>
      <c r="F676" s="45"/>
      <c r="G676" s="45"/>
      <c r="H676" s="45"/>
      <c r="I676" s="45"/>
      <c r="J676" s="45"/>
      <c r="K676" s="45"/>
      <c r="L676" s="45"/>
      <c r="N676" s="46"/>
      <c r="P676" s="47"/>
      <c r="Q676" s="47"/>
      <c r="R676" s="47"/>
      <c r="V676" s="45"/>
    </row>
    <row r="677" spans="3:22" ht="14.25" customHeight="1">
      <c r="C677" s="45"/>
      <c r="D677" s="45"/>
      <c r="E677" s="45"/>
      <c r="F677" s="45"/>
      <c r="G677" s="45"/>
      <c r="H677" s="45"/>
      <c r="I677" s="45"/>
      <c r="J677" s="45"/>
      <c r="K677" s="45"/>
      <c r="L677" s="45"/>
      <c r="N677" s="46"/>
      <c r="P677" s="47"/>
      <c r="Q677" s="47"/>
      <c r="R677" s="47"/>
      <c r="V677" s="45"/>
    </row>
    <row r="678" spans="3:22" ht="14.25" customHeight="1">
      <c r="C678" s="45"/>
      <c r="D678" s="45"/>
      <c r="E678" s="45"/>
      <c r="F678" s="45"/>
      <c r="G678" s="45"/>
      <c r="H678" s="45"/>
      <c r="I678" s="45"/>
      <c r="J678" s="45"/>
      <c r="K678" s="45"/>
      <c r="L678" s="45"/>
      <c r="N678" s="46"/>
      <c r="P678" s="47"/>
      <c r="Q678" s="47"/>
      <c r="R678" s="47"/>
      <c r="V678" s="45"/>
    </row>
    <row r="679" spans="3:22" ht="14.25" customHeight="1">
      <c r="C679" s="45"/>
      <c r="D679" s="45"/>
      <c r="E679" s="45"/>
      <c r="F679" s="45"/>
      <c r="G679" s="45"/>
      <c r="H679" s="45"/>
      <c r="I679" s="45"/>
      <c r="J679" s="45"/>
      <c r="K679" s="45"/>
      <c r="L679" s="45"/>
      <c r="N679" s="46"/>
      <c r="P679" s="47"/>
      <c r="Q679" s="47"/>
      <c r="R679" s="47"/>
      <c r="V679" s="45"/>
    </row>
    <row r="680" spans="3:22" ht="14.25" customHeight="1">
      <c r="C680" s="45"/>
      <c r="D680" s="45"/>
      <c r="E680" s="45"/>
      <c r="F680" s="45"/>
      <c r="G680" s="45"/>
      <c r="H680" s="45"/>
      <c r="I680" s="45"/>
      <c r="J680" s="45"/>
      <c r="K680" s="45"/>
      <c r="L680" s="45"/>
      <c r="N680" s="46"/>
      <c r="P680" s="47"/>
      <c r="Q680" s="47"/>
      <c r="R680" s="47"/>
      <c r="V680" s="45"/>
    </row>
    <row r="681" spans="3:22" ht="14.25" customHeight="1">
      <c r="C681" s="45"/>
      <c r="D681" s="45"/>
      <c r="E681" s="45"/>
      <c r="F681" s="45"/>
      <c r="G681" s="45"/>
      <c r="H681" s="45"/>
      <c r="I681" s="45"/>
      <c r="J681" s="45"/>
      <c r="K681" s="45"/>
      <c r="L681" s="45"/>
      <c r="N681" s="46"/>
      <c r="P681" s="47"/>
      <c r="Q681" s="47"/>
      <c r="R681" s="47"/>
      <c r="V681" s="45"/>
    </row>
    <row r="682" spans="3:22" ht="14.25" customHeight="1">
      <c r="C682" s="45"/>
      <c r="D682" s="45"/>
      <c r="E682" s="45"/>
      <c r="F682" s="45"/>
      <c r="G682" s="45"/>
      <c r="H682" s="45"/>
      <c r="I682" s="45"/>
      <c r="J682" s="45"/>
      <c r="K682" s="45"/>
      <c r="L682" s="45"/>
      <c r="N682" s="46"/>
      <c r="P682" s="47"/>
      <c r="Q682" s="47"/>
      <c r="R682" s="47"/>
      <c r="V682" s="45"/>
    </row>
    <row r="683" spans="3:22" ht="14.25" customHeight="1">
      <c r="C683" s="45"/>
      <c r="D683" s="45"/>
      <c r="E683" s="45"/>
      <c r="F683" s="45"/>
      <c r="G683" s="45"/>
      <c r="H683" s="45"/>
      <c r="I683" s="45"/>
      <c r="J683" s="45"/>
      <c r="K683" s="45"/>
      <c r="L683" s="45"/>
      <c r="N683" s="46"/>
      <c r="P683" s="47"/>
      <c r="Q683" s="47"/>
      <c r="R683" s="47"/>
      <c r="V683" s="45"/>
    </row>
    <row r="684" spans="3:22" ht="14.25" customHeight="1">
      <c r="C684" s="45"/>
      <c r="D684" s="45"/>
      <c r="E684" s="45"/>
      <c r="F684" s="45"/>
      <c r="G684" s="45"/>
      <c r="H684" s="45"/>
      <c r="I684" s="45"/>
      <c r="J684" s="45"/>
      <c r="K684" s="45"/>
      <c r="L684" s="45"/>
      <c r="N684" s="46"/>
      <c r="P684" s="47"/>
      <c r="Q684" s="47"/>
      <c r="R684" s="47"/>
      <c r="V684" s="45"/>
    </row>
    <row r="685" spans="3:22" ht="14.25" customHeight="1">
      <c r="C685" s="45"/>
      <c r="D685" s="45"/>
      <c r="E685" s="45"/>
      <c r="F685" s="45"/>
      <c r="G685" s="45"/>
      <c r="H685" s="45"/>
      <c r="I685" s="45"/>
      <c r="J685" s="45"/>
      <c r="K685" s="45"/>
      <c r="L685" s="45"/>
      <c r="N685" s="46"/>
      <c r="P685" s="47"/>
      <c r="Q685" s="47"/>
      <c r="R685" s="47"/>
      <c r="V685" s="45"/>
    </row>
    <row r="686" spans="3:22" ht="14.25" customHeight="1">
      <c r="C686" s="45"/>
      <c r="D686" s="45"/>
      <c r="E686" s="45"/>
      <c r="F686" s="45"/>
      <c r="G686" s="45"/>
      <c r="H686" s="45"/>
      <c r="I686" s="45"/>
      <c r="J686" s="45"/>
      <c r="K686" s="45"/>
      <c r="L686" s="45"/>
      <c r="N686" s="46"/>
      <c r="P686" s="47"/>
      <c r="Q686" s="47"/>
      <c r="R686" s="47"/>
      <c r="V686" s="45"/>
    </row>
    <row r="687" spans="3:22" ht="14.25" customHeight="1">
      <c r="C687" s="45"/>
      <c r="D687" s="45"/>
      <c r="E687" s="45"/>
      <c r="F687" s="45"/>
      <c r="G687" s="45"/>
      <c r="H687" s="45"/>
      <c r="I687" s="45"/>
      <c r="J687" s="45"/>
      <c r="K687" s="45"/>
      <c r="L687" s="45"/>
      <c r="N687" s="46"/>
      <c r="P687" s="47"/>
      <c r="Q687" s="47"/>
      <c r="R687" s="47"/>
      <c r="V687" s="45"/>
    </row>
    <row r="688" spans="3:22" ht="14.25" customHeight="1">
      <c r="C688" s="45"/>
      <c r="D688" s="45"/>
      <c r="E688" s="45"/>
      <c r="F688" s="45"/>
      <c r="G688" s="45"/>
      <c r="H688" s="45"/>
      <c r="I688" s="45"/>
      <c r="J688" s="45"/>
      <c r="K688" s="45"/>
      <c r="L688" s="45"/>
      <c r="N688" s="46"/>
      <c r="P688" s="47"/>
      <c r="Q688" s="47"/>
      <c r="R688" s="47"/>
      <c r="V688" s="45"/>
    </row>
    <row r="689" spans="3:22" ht="14.25" customHeight="1">
      <c r="C689" s="45"/>
      <c r="D689" s="45"/>
      <c r="E689" s="45"/>
      <c r="F689" s="45"/>
      <c r="G689" s="45"/>
      <c r="H689" s="45"/>
      <c r="I689" s="45"/>
      <c r="J689" s="45"/>
      <c r="K689" s="45"/>
      <c r="L689" s="45"/>
      <c r="N689" s="46"/>
      <c r="P689" s="47"/>
      <c r="Q689" s="47"/>
      <c r="R689" s="47"/>
      <c r="V689" s="45"/>
    </row>
    <row r="690" spans="3:22" ht="14.25" customHeight="1">
      <c r="C690" s="45"/>
      <c r="D690" s="45"/>
      <c r="E690" s="45"/>
      <c r="F690" s="45"/>
      <c r="G690" s="45"/>
      <c r="H690" s="45"/>
      <c r="I690" s="45"/>
      <c r="J690" s="45"/>
      <c r="K690" s="45"/>
      <c r="L690" s="45"/>
      <c r="N690" s="46"/>
      <c r="P690" s="47"/>
      <c r="Q690" s="47"/>
      <c r="R690" s="47"/>
      <c r="V690" s="45"/>
    </row>
    <row r="691" spans="3:22" ht="14.25" customHeight="1">
      <c r="C691" s="45"/>
      <c r="D691" s="45"/>
      <c r="E691" s="45"/>
      <c r="F691" s="45"/>
      <c r="G691" s="45"/>
      <c r="H691" s="45"/>
      <c r="I691" s="45"/>
      <c r="J691" s="45"/>
      <c r="K691" s="45"/>
      <c r="L691" s="45"/>
      <c r="N691" s="46"/>
      <c r="P691" s="47"/>
      <c r="Q691" s="47"/>
      <c r="R691" s="47"/>
      <c r="V691" s="45"/>
    </row>
    <row r="692" spans="3:22" ht="14.25" customHeight="1">
      <c r="C692" s="45"/>
      <c r="D692" s="45"/>
      <c r="E692" s="45"/>
      <c r="F692" s="45"/>
      <c r="G692" s="45"/>
      <c r="H692" s="45"/>
      <c r="I692" s="45"/>
      <c r="J692" s="45"/>
      <c r="K692" s="45"/>
      <c r="L692" s="45"/>
      <c r="N692" s="46"/>
      <c r="P692" s="47"/>
      <c r="Q692" s="47"/>
      <c r="R692" s="47"/>
      <c r="V692" s="45"/>
    </row>
    <row r="693" spans="3:22" ht="14.25" customHeight="1">
      <c r="C693" s="45"/>
      <c r="D693" s="45"/>
      <c r="E693" s="45"/>
      <c r="F693" s="45"/>
      <c r="G693" s="45"/>
      <c r="H693" s="45"/>
      <c r="I693" s="45"/>
      <c r="J693" s="45"/>
      <c r="K693" s="45"/>
      <c r="L693" s="45"/>
      <c r="N693" s="46"/>
      <c r="P693" s="47"/>
      <c r="Q693" s="47"/>
      <c r="R693" s="47"/>
      <c r="V693" s="45"/>
    </row>
    <row r="694" spans="3:22" ht="14.25" customHeight="1">
      <c r="C694" s="45"/>
      <c r="D694" s="45"/>
      <c r="E694" s="45"/>
      <c r="F694" s="45"/>
      <c r="G694" s="45"/>
      <c r="H694" s="45"/>
      <c r="I694" s="45"/>
      <c r="J694" s="45"/>
      <c r="K694" s="45"/>
      <c r="L694" s="45"/>
      <c r="N694" s="46"/>
      <c r="P694" s="47"/>
      <c r="Q694" s="47"/>
      <c r="R694" s="47"/>
      <c r="V694" s="45"/>
    </row>
    <row r="695" spans="3:22" ht="14.25" customHeight="1">
      <c r="C695" s="45"/>
      <c r="D695" s="45"/>
      <c r="E695" s="45"/>
      <c r="F695" s="45"/>
      <c r="G695" s="45"/>
      <c r="H695" s="45"/>
      <c r="I695" s="45"/>
      <c r="J695" s="45"/>
      <c r="K695" s="45"/>
      <c r="L695" s="45"/>
      <c r="N695" s="46"/>
      <c r="P695" s="47"/>
      <c r="Q695" s="47"/>
      <c r="R695" s="47"/>
      <c r="V695" s="45"/>
    </row>
    <row r="696" spans="3:22" ht="14.25" customHeight="1">
      <c r="C696" s="45"/>
      <c r="D696" s="45"/>
      <c r="E696" s="45"/>
      <c r="F696" s="45"/>
      <c r="G696" s="45"/>
      <c r="H696" s="45"/>
      <c r="I696" s="45"/>
      <c r="J696" s="45"/>
      <c r="K696" s="45"/>
      <c r="L696" s="45"/>
      <c r="N696" s="46"/>
      <c r="P696" s="47"/>
      <c r="Q696" s="47"/>
      <c r="R696" s="47"/>
      <c r="V696" s="45"/>
    </row>
    <row r="697" spans="3:22" ht="14.25" customHeight="1">
      <c r="C697" s="45"/>
      <c r="D697" s="45"/>
      <c r="E697" s="45"/>
      <c r="F697" s="45"/>
      <c r="G697" s="45"/>
      <c r="H697" s="45"/>
      <c r="I697" s="45"/>
      <c r="J697" s="45"/>
      <c r="K697" s="45"/>
      <c r="L697" s="45"/>
      <c r="N697" s="46"/>
      <c r="P697" s="47"/>
      <c r="Q697" s="47"/>
      <c r="R697" s="47"/>
      <c r="V697" s="45"/>
    </row>
    <row r="698" spans="3:22" ht="14.25" customHeight="1">
      <c r="C698" s="45"/>
      <c r="D698" s="45"/>
      <c r="E698" s="45"/>
      <c r="F698" s="45"/>
      <c r="G698" s="45"/>
      <c r="H698" s="45"/>
      <c r="I698" s="45"/>
      <c r="J698" s="45"/>
      <c r="K698" s="45"/>
      <c r="L698" s="45"/>
      <c r="N698" s="46"/>
      <c r="P698" s="47"/>
      <c r="Q698" s="47"/>
      <c r="R698" s="47"/>
      <c r="V698" s="45"/>
    </row>
    <row r="699" spans="3:22" ht="14.25" customHeight="1">
      <c r="C699" s="45"/>
      <c r="D699" s="45"/>
      <c r="E699" s="45"/>
      <c r="F699" s="45"/>
      <c r="G699" s="45"/>
      <c r="H699" s="45"/>
      <c r="I699" s="45"/>
      <c r="J699" s="45"/>
      <c r="K699" s="45"/>
      <c r="L699" s="45"/>
      <c r="N699" s="46"/>
      <c r="P699" s="47"/>
      <c r="Q699" s="47"/>
      <c r="R699" s="47"/>
      <c r="V699" s="45"/>
    </row>
    <row r="700" spans="3:22" ht="14.25" customHeight="1">
      <c r="C700" s="45"/>
      <c r="D700" s="45"/>
      <c r="E700" s="45"/>
      <c r="F700" s="45"/>
      <c r="G700" s="45"/>
      <c r="H700" s="45"/>
      <c r="I700" s="45"/>
      <c r="J700" s="45"/>
      <c r="K700" s="45"/>
      <c r="L700" s="45"/>
      <c r="N700" s="46"/>
      <c r="P700" s="47"/>
      <c r="Q700" s="47"/>
      <c r="R700" s="47"/>
      <c r="V700" s="45"/>
    </row>
    <row r="701" spans="3:22" ht="14.25" customHeight="1">
      <c r="C701" s="45"/>
      <c r="D701" s="45"/>
      <c r="E701" s="45"/>
      <c r="F701" s="45"/>
      <c r="G701" s="45"/>
      <c r="H701" s="45"/>
      <c r="I701" s="45"/>
      <c r="J701" s="45"/>
      <c r="K701" s="45"/>
      <c r="L701" s="45"/>
      <c r="N701" s="46"/>
      <c r="P701" s="47"/>
      <c r="Q701" s="47"/>
      <c r="R701" s="47"/>
      <c r="V701" s="45"/>
    </row>
    <row r="702" spans="3:22" ht="14.25" customHeight="1">
      <c r="C702" s="45"/>
      <c r="D702" s="45"/>
      <c r="E702" s="45"/>
      <c r="F702" s="45"/>
      <c r="G702" s="45"/>
      <c r="H702" s="45"/>
      <c r="I702" s="45"/>
      <c r="J702" s="45"/>
      <c r="K702" s="45"/>
      <c r="L702" s="45"/>
      <c r="N702" s="46"/>
      <c r="P702" s="47"/>
      <c r="Q702" s="47"/>
      <c r="R702" s="47"/>
      <c r="V702" s="45"/>
    </row>
    <row r="703" spans="3:22" ht="14.25" customHeight="1">
      <c r="C703" s="45"/>
      <c r="D703" s="45"/>
      <c r="E703" s="45"/>
      <c r="F703" s="45"/>
      <c r="G703" s="45"/>
      <c r="H703" s="45"/>
      <c r="I703" s="45"/>
      <c r="J703" s="45"/>
      <c r="K703" s="45"/>
      <c r="L703" s="45"/>
      <c r="N703" s="46"/>
      <c r="P703" s="47"/>
      <c r="Q703" s="47"/>
      <c r="R703" s="47"/>
      <c r="V703" s="45"/>
    </row>
    <row r="704" spans="3:22" ht="14.25" customHeight="1">
      <c r="C704" s="45"/>
      <c r="D704" s="45"/>
      <c r="E704" s="45"/>
      <c r="F704" s="45"/>
      <c r="G704" s="45"/>
      <c r="H704" s="45"/>
      <c r="I704" s="45"/>
      <c r="J704" s="45"/>
      <c r="K704" s="45"/>
      <c r="L704" s="45"/>
      <c r="N704" s="46"/>
      <c r="P704" s="47"/>
      <c r="Q704" s="47"/>
      <c r="R704" s="47"/>
      <c r="V704" s="45"/>
    </row>
    <row r="705" spans="3:22" ht="14.25" customHeight="1">
      <c r="C705" s="45"/>
      <c r="D705" s="45"/>
      <c r="E705" s="45"/>
      <c r="F705" s="45"/>
      <c r="G705" s="45"/>
      <c r="H705" s="45"/>
      <c r="I705" s="45"/>
      <c r="J705" s="45"/>
      <c r="K705" s="45"/>
      <c r="L705" s="45"/>
      <c r="N705" s="46"/>
      <c r="P705" s="47"/>
      <c r="Q705" s="47"/>
      <c r="R705" s="47"/>
      <c r="V705" s="45"/>
    </row>
    <row r="706" spans="3:22" ht="14.25" customHeight="1">
      <c r="C706" s="45"/>
      <c r="D706" s="45"/>
      <c r="E706" s="45"/>
      <c r="F706" s="45"/>
      <c r="G706" s="45"/>
      <c r="H706" s="45"/>
      <c r="I706" s="45"/>
      <c r="J706" s="45"/>
      <c r="K706" s="45"/>
      <c r="L706" s="45"/>
      <c r="N706" s="46"/>
      <c r="P706" s="47"/>
      <c r="Q706" s="47"/>
      <c r="R706" s="47"/>
      <c r="V706" s="45"/>
    </row>
    <row r="707" spans="3:22" ht="14.25" customHeight="1">
      <c r="C707" s="45"/>
      <c r="D707" s="45"/>
      <c r="E707" s="45"/>
      <c r="F707" s="45"/>
      <c r="G707" s="45"/>
      <c r="H707" s="45"/>
      <c r="I707" s="45"/>
      <c r="J707" s="45"/>
      <c r="K707" s="45"/>
      <c r="L707" s="45"/>
      <c r="N707" s="46"/>
      <c r="P707" s="47"/>
      <c r="Q707" s="47"/>
      <c r="R707" s="47"/>
      <c r="V707" s="45"/>
    </row>
    <row r="708" spans="3:22" ht="14.25" customHeight="1">
      <c r="C708" s="45"/>
      <c r="D708" s="45"/>
      <c r="E708" s="45"/>
      <c r="F708" s="45"/>
      <c r="G708" s="45"/>
      <c r="H708" s="45"/>
      <c r="I708" s="45"/>
      <c r="J708" s="45"/>
      <c r="K708" s="45"/>
      <c r="L708" s="45"/>
      <c r="N708" s="46"/>
      <c r="P708" s="47"/>
      <c r="Q708" s="47"/>
      <c r="R708" s="47"/>
      <c r="V708" s="45"/>
    </row>
    <row r="709" spans="3:22" ht="14.25" customHeight="1">
      <c r="C709" s="45"/>
      <c r="D709" s="45"/>
      <c r="E709" s="45"/>
      <c r="F709" s="45"/>
      <c r="G709" s="45"/>
      <c r="H709" s="45"/>
      <c r="I709" s="45"/>
      <c r="J709" s="45"/>
      <c r="K709" s="45"/>
      <c r="L709" s="45"/>
      <c r="N709" s="46"/>
      <c r="P709" s="47"/>
      <c r="Q709" s="47"/>
      <c r="R709" s="47"/>
      <c r="V709" s="45"/>
    </row>
    <row r="710" spans="3:22" ht="14.25" customHeight="1">
      <c r="C710" s="45"/>
      <c r="D710" s="45"/>
      <c r="E710" s="45"/>
      <c r="F710" s="45"/>
      <c r="G710" s="45"/>
      <c r="H710" s="45"/>
      <c r="I710" s="45"/>
      <c r="J710" s="45"/>
      <c r="K710" s="45"/>
      <c r="L710" s="45"/>
      <c r="N710" s="46"/>
      <c r="P710" s="47"/>
      <c r="Q710" s="47"/>
      <c r="R710" s="47"/>
      <c r="V710" s="45"/>
    </row>
    <row r="711" spans="3:22" ht="14.25" customHeight="1">
      <c r="C711" s="45"/>
      <c r="D711" s="45"/>
      <c r="E711" s="45"/>
      <c r="F711" s="45"/>
      <c r="G711" s="45"/>
      <c r="H711" s="45"/>
      <c r="I711" s="45"/>
      <c r="J711" s="45"/>
      <c r="K711" s="45"/>
      <c r="L711" s="45"/>
      <c r="N711" s="46"/>
      <c r="P711" s="47"/>
      <c r="Q711" s="47"/>
      <c r="R711" s="47"/>
      <c r="V711" s="45"/>
    </row>
    <row r="712" spans="3:22" ht="14.25" customHeight="1">
      <c r="C712" s="45"/>
      <c r="D712" s="45"/>
      <c r="E712" s="45"/>
      <c r="F712" s="45"/>
      <c r="G712" s="45"/>
      <c r="H712" s="45"/>
      <c r="I712" s="45"/>
      <c r="J712" s="45"/>
      <c r="K712" s="45"/>
      <c r="L712" s="45"/>
      <c r="N712" s="46"/>
      <c r="P712" s="47"/>
      <c r="Q712" s="47"/>
      <c r="R712" s="47"/>
      <c r="V712" s="45"/>
    </row>
    <row r="713" spans="3:22" ht="14.25" customHeight="1">
      <c r="C713" s="45"/>
      <c r="D713" s="45"/>
      <c r="E713" s="45"/>
      <c r="F713" s="45"/>
      <c r="G713" s="45"/>
      <c r="H713" s="45"/>
      <c r="I713" s="45"/>
      <c r="J713" s="45"/>
      <c r="K713" s="45"/>
      <c r="L713" s="45"/>
      <c r="N713" s="46"/>
      <c r="P713" s="47"/>
      <c r="Q713" s="47"/>
      <c r="R713" s="47"/>
      <c r="V713" s="45"/>
    </row>
    <row r="714" spans="3:22" ht="14.25" customHeight="1">
      <c r="C714" s="45"/>
      <c r="D714" s="45"/>
      <c r="E714" s="45"/>
      <c r="F714" s="45"/>
      <c r="G714" s="45"/>
      <c r="H714" s="45"/>
      <c r="I714" s="45"/>
      <c r="J714" s="45"/>
      <c r="K714" s="45"/>
      <c r="L714" s="45"/>
      <c r="N714" s="46"/>
      <c r="P714" s="47"/>
      <c r="Q714" s="47"/>
      <c r="R714" s="47"/>
      <c r="V714" s="45"/>
    </row>
    <row r="715" spans="3:22" ht="14.25" customHeight="1">
      <c r="C715" s="45"/>
      <c r="D715" s="45"/>
      <c r="E715" s="45"/>
      <c r="F715" s="45"/>
      <c r="G715" s="45"/>
      <c r="H715" s="45"/>
      <c r="I715" s="45"/>
      <c r="J715" s="45"/>
      <c r="K715" s="45"/>
      <c r="L715" s="45"/>
      <c r="N715" s="46"/>
      <c r="P715" s="47"/>
      <c r="Q715" s="47"/>
      <c r="R715" s="47"/>
      <c r="V715" s="45"/>
    </row>
    <row r="716" spans="3:22" ht="14.25" customHeight="1">
      <c r="C716" s="45"/>
      <c r="D716" s="45"/>
      <c r="E716" s="45"/>
      <c r="F716" s="45"/>
      <c r="G716" s="45"/>
      <c r="H716" s="45"/>
      <c r="I716" s="45"/>
      <c r="J716" s="45"/>
      <c r="K716" s="45"/>
      <c r="L716" s="45"/>
      <c r="N716" s="46"/>
      <c r="P716" s="47"/>
      <c r="Q716" s="47"/>
      <c r="R716" s="47"/>
      <c r="V716" s="45"/>
    </row>
    <row r="717" spans="3:22" ht="14.25" customHeight="1">
      <c r="C717" s="45"/>
      <c r="D717" s="45"/>
      <c r="E717" s="45"/>
      <c r="F717" s="45"/>
      <c r="G717" s="45"/>
      <c r="H717" s="45"/>
      <c r="I717" s="45"/>
      <c r="J717" s="45"/>
      <c r="K717" s="45"/>
      <c r="L717" s="45"/>
      <c r="N717" s="46"/>
      <c r="P717" s="47"/>
      <c r="Q717" s="47"/>
      <c r="R717" s="47"/>
      <c r="V717" s="45"/>
    </row>
    <row r="718" spans="3:22" ht="14.25" customHeight="1">
      <c r="C718" s="45"/>
      <c r="D718" s="45"/>
      <c r="E718" s="45"/>
      <c r="F718" s="45"/>
      <c r="G718" s="45"/>
      <c r="H718" s="45"/>
      <c r="I718" s="45"/>
      <c r="J718" s="45"/>
      <c r="K718" s="45"/>
      <c r="L718" s="45"/>
      <c r="N718" s="46"/>
      <c r="P718" s="47"/>
      <c r="Q718" s="47"/>
      <c r="R718" s="47"/>
      <c r="V718" s="45"/>
    </row>
    <row r="719" spans="3:22" ht="14.25" customHeight="1">
      <c r="C719" s="45"/>
      <c r="D719" s="45"/>
      <c r="E719" s="45"/>
      <c r="F719" s="45"/>
      <c r="G719" s="45"/>
      <c r="H719" s="45"/>
      <c r="I719" s="45"/>
      <c r="J719" s="45"/>
      <c r="K719" s="45"/>
      <c r="L719" s="45"/>
      <c r="N719" s="46"/>
      <c r="P719" s="47"/>
      <c r="Q719" s="47"/>
      <c r="R719" s="47"/>
      <c r="V719" s="45"/>
    </row>
    <row r="720" spans="3:22" ht="14.25" customHeight="1">
      <c r="C720" s="45"/>
      <c r="D720" s="45"/>
      <c r="E720" s="45"/>
      <c r="F720" s="45"/>
      <c r="G720" s="45"/>
      <c r="H720" s="45"/>
      <c r="I720" s="45"/>
      <c r="J720" s="45"/>
      <c r="K720" s="45"/>
      <c r="L720" s="45"/>
      <c r="N720" s="46"/>
      <c r="P720" s="47"/>
      <c r="Q720" s="47"/>
      <c r="R720" s="47"/>
      <c r="V720" s="45"/>
    </row>
    <row r="721" spans="3:22" ht="14.25" customHeight="1">
      <c r="C721" s="45"/>
      <c r="D721" s="45"/>
      <c r="E721" s="45"/>
      <c r="F721" s="45"/>
      <c r="G721" s="45"/>
      <c r="H721" s="45"/>
      <c r="I721" s="45"/>
      <c r="J721" s="45"/>
      <c r="K721" s="45"/>
      <c r="L721" s="45"/>
      <c r="N721" s="46"/>
      <c r="P721" s="47"/>
      <c r="Q721" s="47"/>
      <c r="R721" s="47"/>
      <c r="V721" s="45"/>
    </row>
    <row r="722" spans="3:22" ht="14.25" customHeight="1">
      <c r="C722" s="45"/>
      <c r="D722" s="45"/>
      <c r="E722" s="45"/>
      <c r="F722" s="45"/>
      <c r="G722" s="45"/>
      <c r="H722" s="45"/>
      <c r="I722" s="45"/>
      <c r="J722" s="45"/>
      <c r="K722" s="45"/>
      <c r="L722" s="45"/>
      <c r="N722" s="46"/>
      <c r="P722" s="47"/>
      <c r="Q722" s="47"/>
      <c r="R722" s="47"/>
      <c r="V722" s="45"/>
    </row>
    <row r="723" spans="3:22" ht="14.25" customHeight="1">
      <c r="C723" s="45"/>
      <c r="D723" s="45"/>
      <c r="E723" s="45"/>
      <c r="F723" s="45"/>
      <c r="G723" s="45"/>
      <c r="H723" s="45"/>
      <c r="I723" s="45"/>
      <c r="J723" s="45"/>
      <c r="K723" s="45"/>
      <c r="L723" s="45"/>
      <c r="N723" s="46"/>
      <c r="P723" s="47"/>
      <c r="Q723" s="47"/>
      <c r="R723" s="47"/>
      <c r="V723" s="45"/>
    </row>
    <row r="724" spans="3:22" ht="14.25" customHeight="1">
      <c r="C724" s="45"/>
      <c r="D724" s="45"/>
      <c r="E724" s="45"/>
      <c r="F724" s="45"/>
      <c r="G724" s="45"/>
      <c r="H724" s="45"/>
      <c r="I724" s="45"/>
      <c r="J724" s="45"/>
      <c r="K724" s="45"/>
      <c r="L724" s="45"/>
      <c r="N724" s="46"/>
      <c r="P724" s="47"/>
      <c r="Q724" s="47"/>
      <c r="R724" s="47"/>
      <c r="V724" s="45"/>
    </row>
    <row r="725" spans="3:22" ht="14.25" customHeight="1">
      <c r="C725" s="45"/>
      <c r="D725" s="45"/>
      <c r="E725" s="45"/>
      <c r="F725" s="45"/>
      <c r="G725" s="45"/>
      <c r="H725" s="45"/>
      <c r="I725" s="45"/>
      <c r="J725" s="45"/>
      <c r="K725" s="45"/>
      <c r="L725" s="45"/>
      <c r="N725" s="46"/>
      <c r="P725" s="47"/>
      <c r="Q725" s="47"/>
      <c r="R725" s="47"/>
      <c r="V725" s="45"/>
    </row>
    <row r="726" spans="3:22" ht="14.25" customHeight="1">
      <c r="C726" s="45"/>
      <c r="D726" s="45"/>
      <c r="E726" s="45"/>
      <c r="F726" s="45"/>
      <c r="G726" s="45"/>
      <c r="H726" s="45"/>
      <c r="I726" s="45"/>
      <c r="J726" s="45"/>
      <c r="K726" s="45"/>
      <c r="L726" s="45"/>
      <c r="N726" s="46"/>
      <c r="P726" s="47"/>
      <c r="Q726" s="47"/>
      <c r="R726" s="47"/>
      <c r="V726" s="45"/>
    </row>
    <row r="727" spans="3:22" ht="14.25" customHeight="1">
      <c r="C727" s="45"/>
      <c r="D727" s="45"/>
      <c r="E727" s="45"/>
      <c r="F727" s="45"/>
      <c r="G727" s="45"/>
      <c r="H727" s="45"/>
      <c r="I727" s="45"/>
      <c r="J727" s="45"/>
      <c r="K727" s="45"/>
      <c r="L727" s="45"/>
      <c r="N727" s="46"/>
      <c r="P727" s="47"/>
      <c r="Q727" s="47"/>
      <c r="R727" s="47"/>
      <c r="V727" s="45"/>
    </row>
    <row r="728" spans="3:22" ht="14.25" customHeight="1">
      <c r="C728" s="45"/>
      <c r="D728" s="45"/>
      <c r="E728" s="45"/>
      <c r="F728" s="45"/>
      <c r="G728" s="45"/>
      <c r="H728" s="45"/>
      <c r="I728" s="45"/>
      <c r="J728" s="45"/>
      <c r="K728" s="45"/>
      <c r="L728" s="45"/>
      <c r="N728" s="46"/>
      <c r="P728" s="47"/>
      <c r="Q728" s="47"/>
      <c r="R728" s="47"/>
      <c r="V728" s="45"/>
    </row>
    <row r="729" spans="3:22" ht="14.25" customHeight="1">
      <c r="C729" s="45"/>
      <c r="D729" s="45"/>
      <c r="E729" s="45"/>
      <c r="F729" s="45"/>
      <c r="G729" s="45"/>
      <c r="H729" s="45"/>
      <c r="I729" s="45"/>
      <c r="J729" s="45"/>
      <c r="K729" s="45"/>
      <c r="L729" s="45"/>
      <c r="N729" s="46"/>
      <c r="P729" s="47"/>
      <c r="Q729" s="47"/>
      <c r="R729" s="47"/>
      <c r="V729" s="45"/>
    </row>
    <row r="730" spans="3:22" ht="14.25" customHeight="1">
      <c r="C730" s="45"/>
      <c r="D730" s="45"/>
      <c r="E730" s="45"/>
      <c r="F730" s="45"/>
      <c r="G730" s="45"/>
      <c r="H730" s="45"/>
      <c r="I730" s="45"/>
      <c r="J730" s="45"/>
      <c r="K730" s="45"/>
      <c r="L730" s="45"/>
      <c r="N730" s="46"/>
      <c r="P730" s="47"/>
      <c r="Q730" s="47"/>
      <c r="R730" s="47"/>
      <c r="V730" s="45"/>
    </row>
    <row r="731" spans="3:22" ht="14.25" customHeight="1">
      <c r="C731" s="45"/>
      <c r="D731" s="45"/>
      <c r="E731" s="45"/>
      <c r="F731" s="45"/>
      <c r="G731" s="45"/>
      <c r="H731" s="45"/>
      <c r="I731" s="45"/>
      <c r="J731" s="45"/>
      <c r="K731" s="45"/>
      <c r="L731" s="45"/>
      <c r="N731" s="46"/>
      <c r="P731" s="47"/>
      <c r="Q731" s="47"/>
      <c r="R731" s="47"/>
      <c r="V731" s="45"/>
    </row>
    <row r="732" spans="3:22" ht="14.25" customHeight="1">
      <c r="C732" s="45"/>
      <c r="D732" s="45"/>
      <c r="E732" s="45"/>
      <c r="F732" s="45"/>
      <c r="G732" s="45"/>
      <c r="H732" s="45"/>
      <c r="I732" s="45"/>
      <c r="J732" s="45"/>
      <c r="K732" s="45"/>
      <c r="L732" s="45"/>
      <c r="N732" s="46"/>
      <c r="P732" s="47"/>
      <c r="Q732" s="47"/>
      <c r="R732" s="47"/>
      <c r="V732" s="45"/>
    </row>
    <row r="733" spans="3:22" ht="14.25" customHeight="1">
      <c r="C733" s="45"/>
      <c r="D733" s="45"/>
      <c r="E733" s="45"/>
      <c r="F733" s="45"/>
      <c r="G733" s="45"/>
      <c r="H733" s="45"/>
      <c r="I733" s="45"/>
      <c r="J733" s="45"/>
      <c r="K733" s="45"/>
      <c r="L733" s="45"/>
      <c r="N733" s="46"/>
      <c r="P733" s="47"/>
      <c r="Q733" s="47"/>
      <c r="R733" s="47"/>
      <c r="V733" s="45"/>
    </row>
    <row r="734" spans="3:22" ht="14.25" customHeight="1">
      <c r="C734" s="45"/>
      <c r="D734" s="45"/>
      <c r="E734" s="45"/>
      <c r="F734" s="45"/>
      <c r="G734" s="45"/>
      <c r="H734" s="45"/>
      <c r="I734" s="45"/>
      <c r="J734" s="45"/>
      <c r="K734" s="45"/>
      <c r="L734" s="45"/>
      <c r="N734" s="46"/>
      <c r="P734" s="47"/>
      <c r="Q734" s="47"/>
      <c r="R734" s="47"/>
      <c r="V734" s="45"/>
    </row>
    <row r="735" spans="3:22" ht="14.25" customHeight="1">
      <c r="C735" s="45"/>
      <c r="D735" s="45"/>
      <c r="E735" s="45"/>
      <c r="F735" s="45"/>
      <c r="G735" s="45"/>
      <c r="H735" s="45"/>
      <c r="I735" s="45"/>
      <c r="J735" s="45"/>
      <c r="K735" s="45"/>
      <c r="L735" s="45"/>
      <c r="N735" s="46"/>
      <c r="P735" s="47"/>
      <c r="Q735" s="47"/>
      <c r="R735" s="47"/>
      <c r="V735" s="45"/>
    </row>
    <row r="736" spans="3:22" ht="14.25" customHeight="1">
      <c r="C736" s="45"/>
      <c r="D736" s="45"/>
      <c r="E736" s="45"/>
      <c r="F736" s="45"/>
      <c r="G736" s="45"/>
      <c r="H736" s="45"/>
      <c r="I736" s="45"/>
      <c r="J736" s="45"/>
      <c r="K736" s="45"/>
      <c r="L736" s="45"/>
      <c r="N736" s="46"/>
      <c r="P736" s="47"/>
      <c r="Q736" s="47"/>
      <c r="R736" s="47"/>
      <c r="V736" s="45"/>
    </row>
    <row r="737" spans="3:22" ht="14.25" customHeight="1">
      <c r="C737" s="45"/>
      <c r="D737" s="45"/>
      <c r="E737" s="45"/>
      <c r="F737" s="45"/>
      <c r="G737" s="45"/>
      <c r="H737" s="45"/>
      <c r="I737" s="45"/>
      <c r="J737" s="45"/>
      <c r="K737" s="45"/>
      <c r="L737" s="45"/>
      <c r="N737" s="46"/>
      <c r="P737" s="47"/>
      <c r="Q737" s="47"/>
      <c r="R737" s="47"/>
      <c r="V737" s="45"/>
    </row>
    <row r="738" spans="3:22" ht="14.25" customHeight="1">
      <c r="C738" s="45"/>
      <c r="D738" s="45"/>
      <c r="E738" s="45"/>
      <c r="F738" s="45"/>
      <c r="G738" s="45"/>
      <c r="H738" s="45"/>
      <c r="I738" s="45"/>
      <c r="J738" s="45"/>
      <c r="K738" s="45"/>
      <c r="L738" s="45"/>
      <c r="N738" s="46"/>
      <c r="P738" s="47"/>
      <c r="Q738" s="47"/>
      <c r="R738" s="47"/>
      <c r="V738" s="45"/>
    </row>
    <row r="739" spans="3:22" ht="14.25" customHeight="1">
      <c r="C739" s="45"/>
      <c r="D739" s="45"/>
      <c r="E739" s="45"/>
      <c r="F739" s="45"/>
      <c r="G739" s="45"/>
      <c r="H739" s="45"/>
      <c r="I739" s="45"/>
      <c r="J739" s="45"/>
      <c r="K739" s="45"/>
      <c r="L739" s="45"/>
      <c r="N739" s="46"/>
      <c r="P739" s="47"/>
      <c r="Q739" s="47"/>
      <c r="R739" s="47"/>
      <c r="V739" s="45"/>
    </row>
    <row r="740" spans="3:22" ht="14.25" customHeight="1">
      <c r="C740" s="45"/>
      <c r="D740" s="45"/>
      <c r="E740" s="45"/>
      <c r="F740" s="45"/>
      <c r="G740" s="45"/>
      <c r="H740" s="45"/>
      <c r="I740" s="45"/>
      <c r="J740" s="45"/>
      <c r="K740" s="45"/>
      <c r="L740" s="45"/>
      <c r="N740" s="46"/>
      <c r="P740" s="47"/>
      <c r="Q740" s="47"/>
      <c r="R740" s="47"/>
      <c r="V740" s="45"/>
    </row>
    <row r="741" spans="3:22" ht="14.25" customHeight="1">
      <c r="C741" s="45"/>
      <c r="D741" s="45"/>
      <c r="E741" s="45"/>
      <c r="F741" s="45"/>
      <c r="G741" s="45"/>
      <c r="H741" s="45"/>
      <c r="I741" s="45"/>
      <c r="J741" s="45"/>
      <c r="K741" s="45"/>
      <c r="L741" s="45"/>
      <c r="N741" s="46"/>
      <c r="P741" s="47"/>
      <c r="Q741" s="47"/>
      <c r="R741" s="47"/>
      <c r="V741" s="45"/>
    </row>
    <row r="742" spans="3:22" ht="14.25" customHeight="1">
      <c r="C742" s="45"/>
      <c r="D742" s="45"/>
      <c r="E742" s="45"/>
      <c r="F742" s="45"/>
      <c r="G742" s="45"/>
      <c r="H742" s="45"/>
      <c r="I742" s="45"/>
      <c r="J742" s="45"/>
      <c r="K742" s="45"/>
      <c r="L742" s="45"/>
      <c r="N742" s="46"/>
      <c r="P742" s="47"/>
      <c r="Q742" s="47"/>
      <c r="R742" s="47"/>
      <c r="V742" s="45"/>
    </row>
    <row r="743" spans="3:22" ht="14.25" customHeight="1">
      <c r="C743" s="45"/>
      <c r="D743" s="45"/>
      <c r="E743" s="45"/>
      <c r="F743" s="45"/>
      <c r="G743" s="45"/>
      <c r="H743" s="45"/>
      <c r="I743" s="45"/>
      <c r="J743" s="45"/>
      <c r="K743" s="45"/>
      <c r="L743" s="45"/>
      <c r="N743" s="46"/>
      <c r="P743" s="47"/>
      <c r="Q743" s="47"/>
      <c r="R743" s="47"/>
      <c r="V743" s="45"/>
    </row>
    <row r="744" spans="3:22" ht="14.25" customHeight="1">
      <c r="C744" s="45"/>
      <c r="D744" s="45"/>
      <c r="E744" s="45"/>
      <c r="F744" s="45"/>
      <c r="G744" s="45"/>
      <c r="H744" s="45"/>
      <c r="I744" s="45"/>
      <c r="J744" s="45"/>
      <c r="K744" s="45"/>
      <c r="L744" s="45"/>
      <c r="N744" s="46"/>
      <c r="P744" s="47"/>
      <c r="Q744" s="47"/>
      <c r="R744" s="47"/>
      <c r="V744" s="45"/>
    </row>
    <row r="745" spans="3:22" ht="14.25" customHeight="1">
      <c r="C745" s="45"/>
      <c r="D745" s="45"/>
      <c r="E745" s="45"/>
      <c r="F745" s="45"/>
      <c r="G745" s="45"/>
      <c r="H745" s="45"/>
      <c r="I745" s="45"/>
      <c r="J745" s="45"/>
      <c r="K745" s="45"/>
      <c r="L745" s="45"/>
      <c r="N745" s="46"/>
      <c r="P745" s="47"/>
      <c r="Q745" s="47"/>
      <c r="R745" s="47"/>
      <c r="V745" s="45"/>
    </row>
    <row r="746" spans="3:22" ht="14.25" customHeight="1">
      <c r="C746" s="45"/>
      <c r="D746" s="45"/>
      <c r="E746" s="45"/>
      <c r="F746" s="45"/>
      <c r="G746" s="45"/>
      <c r="H746" s="45"/>
      <c r="I746" s="45"/>
      <c r="J746" s="45"/>
      <c r="K746" s="45"/>
      <c r="L746" s="45"/>
      <c r="N746" s="46"/>
      <c r="P746" s="47"/>
      <c r="Q746" s="47"/>
      <c r="R746" s="47"/>
      <c r="V746" s="45"/>
    </row>
    <row r="747" spans="3:22" ht="14.25" customHeight="1">
      <c r="C747" s="45"/>
      <c r="D747" s="45"/>
      <c r="E747" s="45"/>
      <c r="F747" s="45"/>
      <c r="G747" s="45"/>
      <c r="H747" s="45"/>
      <c r="I747" s="45"/>
      <c r="J747" s="45"/>
      <c r="K747" s="45"/>
      <c r="L747" s="45"/>
      <c r="N747" s="46"/>
      <c r="P747" s="47"/>
      <c r="Q747" s="47"/>
      <c r="R747" s="47"/>
      <c r="V747" s="45"/>
    </row>
    <row r="748" spans="3:22" ht="14.25" customHeight="1">
      <c r="C748" s="45"/>
      <c r="D748" s="45"/>
      <c r="E748" s="45"/>
      <c r="F748" s="45"/>
      <c r="G748" s="45"/>
      <c r="H748" s="45"/>
      <c r="I748" s="45"/>
      <c r="J748" s="45"/>
      <c r="K748" s="45"/>
      <c r="L748" s="45"/>
      <c r="N748" s="46"/>
      <c r="P748" s="47"/>
      <c r="Q748" s="47"/>
      <c r="R748" s="47"/>
      <c r="V748" s="45"/>
    </row>
    <row r="749" spans="3:22" ht="14.25" customHeight="1">
      <c r="C749" s="45"/>
      <c r="D749" s="45"/>
      <c r="E749" s="45"/>
      <c r="F749" s="45"/>
      <c r="G749" s="45"/>
      <c r="H749" s="45"/>
      <c r="I749" s="45"/>
      <c r="J749" s="45"/>
      <c r="K749" s="45"/>
      <c r="L749" s="45"/>
      <c r="N749" s="46"/>
      <c r="P749" s="47"/>
      <c r="Q749" s="47"/>
      <c r="R749" s="47"/>
      <c r="V749" s="45"/>
    </row>
    <row r="750" spans="3:22" ht="14.25" customHeight="1">
      <c r="C750" s="45"/>
      <c r="D750" s="45"/>
      <c r="E750" s="45"/>
      <c r="F750" s="45"/>
      <c r="G750" s="45"/>
      <c r="H750" s="45"/>
      <c r="I750" s="45"/>
      <c r="J750" s="45"/>
      <c r="K750" s="45"/>
      <c r="L750" s="45"/>
      <c r="N750" s="46"/>
      <c r="P750" s="47"/>
      <c r="Q750" s="47"/>
      <c r="R750" s="47"/>
      <c r="V750" s="45"/>
    </row>
    <row r="751" spans="3:22" ht="14.25" customHeight="1">
      <c r="C751" s="45"/>
      <c r="D751" s="45"/>
      <c r="E751" s="45"/>
      <c r="F751" s="45"/>
      <c r="G751" s="45"/>
      <c r="H751" s="45"/>
      <c r="I751" s="45"/>
      <c r="J751" s="45"/>
      <c r="K751" s="45"/>
      <c r="L751" s="45"/>
      <c r="N751" s="46"/>
      <c r="P751" s="47"/>
      <c r="Q751" s="47"/>
      <c r="R751" s="47"/>
      <c r="V751" s="45"/>
    </row>
    <row r="752" spans="3:22" ht="14.25" customHeight="1">
      <c r="C752" s="45"/>
      <c r="D752" s="45"/>
      <c r="E752" s="45"/>
      <c r="F752" s="45"/>
      <c r="G752" s="45"/>
      <c r="H752" s="45"/>
      <c r="I752" s="45"/>
      <c r="J752" s="45"/>
      <c r="K752" s="45"/>
      <c r="L752" s="45"/>
      <c r="N752" s="46"/>
      <c r="P752" s="47"/>
      <c r="Q752" s="47"/>
      <c r="R752" s="47"/>
      <c r="V752" s="45"/>
    </row>
    <row r="753" spans="3:22" ht="14.25" customHeight="1">
      <c r="C753" s="45"/>
      <c r="D753" s="45"/>
      <c r="E753" s="45"/>
      <c r="F753" s="45"/>
      <c r="G753" s="45"/>
      <c r="H753" s="45"/>
      <c r="I753" s="45"/>
      <c r="J753" s="45"/>
      <c r="K753" s="45"/>
      <c r="L753" s="45"/>
      <c r="N753" s="46"/>
      <c r="P753" s="47"/>
      <c r="Q753" s="47"/>
      <c r="R753" s="47"/>
      <c r="V753" s="45"/>
    </row>
    <row r="754" spans="3:22" ht="14.25" customHeight="1">
      <c r="C754" s="45"/>
      <c r="D754" s="45"/>
      <c r="E754" s="45"/>
      <c r="F754" s="45"/>
      <c r="G754" s="45"/>
      <c r="H754" s="45"/>
      <c r="I754" s="45"/>
      <c r="J754" s="45"/>
      <c r="K754" s="45"/>
      <c r="L754" s="45"/>
      <c r="N754" s="46"/>
      <c r="P754" s="47"/>
      <c r="Q754" s="47"/>
      <c r="R754" s="47"/>
      <c r="V754" s="45"/>
    </row>
    <row r="755" spans="3:22" ht="14.25" customHeight="1">
      <c r="C755" s="45"/>
      <c r="D755" s="45"/>
      <c r="E755" s="45"/>
      <c r="F755" s="45"/>
      <c r="G755" s="45"/>
      <c r="H755" s="45"/>
      <c r="I755" s="45"/>
      <c r="J755" s="45"/>
      <c r="K755" s="45"/>
      <c r="L755" s="45"/>
      <c r="N755" s="46"/>
      <c r="P755" s="47"/>
      <c r="Q755" s="47"/>
      <c r="R755" s="47"/>
      <c r="V755" s="45"/>
    </row>
    <row r="756" spans="3:22" ht="14.25" customHeight="1">
      <c r="C756" s="45"/>
      <c r="D756" s="45"/>
      <c r="E756" s="45"/>
      <c r="F756" s="45"/>
      <c r="G756" s="45"/>
      <c r="H756" s="45"/>
      <c r="I756" s="45"/>
      <c r="J756" s="45"/>
      <c r="K756" s="45"/>
      <c r="L756" s="45"/>
      <c r="N756" s="46"/>
      <c r="P756" s="47"/>
      <c r="Q756" s="47"/>
      <c r="R756" s="47"/>
      <c r="V756" s="45"/>
    </row>
    <row r="757" spans="3:22" ht="14.25" customHeight="1">
      <c r="C757" s="45"/>
      <c r="D757" s="45"/>
      <c r="E757" s="45"/>
      <c r="F757" s="45"/>
      <c r="G757" s="45"/>
      <c r="H757" s="45"/>
      <c r="I757" s="45"/>
      <c r="J757" s="45"/>
      <c r="K757" s="45"/>
      <c r="L757" s="45"/>
      <c r="N757" s="46"/>
      <c r="P757" s="47"/>
      <c r="Q757" s="47"/>
      <c r="R757" s="47"/>
      <c r="V757" s="45"/>
    </row>
    <row r="758" spans="3:22" ht="14.25" customHeight="1">
      <c r="C758" s="45"/>
      <c r="D758" s="45"/>
      <c r="E758" s="45"/>
      <c r="F758" s="45"/>
      <c r="G758" s="45"/>
      <c r="H758" s="45"/>
      <c r="I758" s="45"/>
      <c r="J758" s="45"/>
      <c r="K758" s="45"/>
      <c r="L758" s="45"/>
      <c r="N758" s="46"/>
      <c r="P758" s="47"/>
      <c r="Q758" s="47"/>
      <c r="R758" s="47"/>
      <c r="V758" s="45"/>
    </row>
    <row r="759" spans="3:22" ht="14.25" customHeight="1">
      <c r="C759" s="45"/>
      <c r="D759" s="45"/>
      <c r="E759" s="45"/>
      <c r="F759" s="45"/>
      <c r="G759" s="45"/>
      <c r="H759" s="45"/>
      <c r="I759" s="45"/>
      <c r="J759" s="45"/>
      <c r="K759" s="45"/>
      <c r="L759" s="45"/>
      <c r="N759" s="46"/>
      <c r="P759" s="47"/>
      <c r="Q759" s="47"/>
      <c r="R759" s="47"/>
      <c r="V759" s="45"/>
    </row>
    <row r="760" spans="3:22" ht="14.25" customHeight="1">
      <c r="C760" s="45"/>
      <c r="D760" s="45"/>
      <c r="E760" s="45"/>
      <c r="F760" s="45"/>
      <c r="G760" s="45"/>
      <c r="H760" s="45"/>
      <c r="I760" s="45"/>
      <c r="J760" s="45"/>
      <c r="K760" s="45"/>
      <c r="L760" s="45"/>
      <c r="N760" s="46"/>
      <c r="P760" s="47"/>
      <c r="Q760" s="47"/>
      <c r="R760" s="47"/>
      <c r="V760" s="45"/>
    </row>
    <row r="761" spans="3:22" ht="14.25" customHeight="1">
      <c r="C761" s="45"/>
      <c r="D761" s="45"/>
      <c r="E761" s="45"/>
      <c r="F761" s="45"/>
      <c r="G761" s="45"/>
      <c r="H761" s="45"/>
      <c r="I761" s="45"/>
      <c r="J761" s="45"/>
      <c r="K761" s="45"/>
      <c r="L761" s="45"/>
      <c r="N761" s="46"/>
      <c r="P761" s="47"/>
      <c r="Q761" s="47"/>
      <c r="R761" s="47"/>
      <c r="V761" s="45"/>
    </row>
    <row r="762" spans="3:22" ht="14.25" customHeight="1">
      <c r="C762" s="45"/>
      <c r="D762" s="45"/>
      <c r="E762" s="45"/>
      <c r="F762" s="45"/>
      <c r="G762" s="45"/>
      <c r="H762" s="45"/>
      <c r="I762" s="45"/>
      <c r="J762" s="45"/>
      <c r="K762" s="45"/>
      <c r="L762" s="45"/>
      <c r="N762" s="46"/>
      <c r="P762" s="47"/>
      <c r="Q762" s="47"/>
      <c r="R762" s="47"/>
      <c r="V762" s="45"/>
    </row>
    <row r="763" spans="3:22" ht="14.25" customHeight="1">
      <c r="C763" s="45"/>
      <c r="D763" s="45"/>
      <c r="E763" s="45"/>
      <c r="F763" s="45"/>
      <c r="G763" s="45"/>
      <c r="H763" s="45"/>
      <c r="I763" s="45"/>
      <c r="J763" s="45"/>
      <c r="K763" s="45"/>
      <c r="L763" s="45"/>
      <c r="N763" s="46"/>
      <c r="P763" s="47"/>
      <c r="Q763" s="47"/>
      <c r="R763" s="47"/>
      <c r="V763" s="45"/>
    </row>
    <row r="764" spans="3:22" ht="14.25" customHeight="1">
      <c r="C764" s="45"/>
      <c r="D764" s="45"/>
      <c r="E764" s="45"/>
      <c r="F764" s="45"/>
      <c r="G764" s="45"/>
      <c r="H764" s="45"/>
      <c r="I764" s="45"/>
      <c r="J764" s="45"/>
      <c r="K764" s="45"/>
      <c r="L764" s="45"/>
      <c r="N764" s="46"/>
      <c r="P764" s="47"/>
      <c r="Q764" s="47"/>
      <c r="R764" s="47"/>
      <c r="V764" s="45"/>
    </row>
    <row r="765" spans="3:22" ht="14.25" customHeight="1">
      <c r="C765" s="45"/>
      <c r="D765" s="45"/>
      <c r="E765" s="45"/>
      <c r="F765" s="45"/>
      <c r="G765" s="45"/>
      <c r="H765" s="45"/>
      <c r="I765" s="45"/>
      <c r="J765" s="45"/>
      <c r="K765" s="45"/>
      <c r="L765" s="45"/>
      <c r="N765" s="46"/>
      <c r="P765" s="47"/>
      <c r="Q765" s="47"/>
      <c r="R765" s="47"/>
      <c r="V765" s="45"/>
    </row>
    <row r="766" spans="3:22" ht="14.25" customHeight="1">
      <c r="C766" s="45"/>
      <c r="D766" s="45"/>
      <c r="E766" s="45"/>
      <c r="F766" s="45"/>
      <c r="G766" s="45"/>
      <c r="H766" s="45"/>
      <c r="I766" s="45"/>
      <c r="J766" s="45"/>
      <c r="K766" s="45"/>
      <c r="L766" s="45"/>
      <c r="N766" s="46"/>
      <c r="P766" s="47"/>
      <c r="Q766" s="47"/>
      <c r="R766" s="47"/>
      <c r="V766" s="45"/>
    </row>
    <row r="767" spans="3:22" ht="14.25" customHeight="1">
      <c r="C767" s="45"/>
      <c r="D767" s="45"/>
      <c r="E767" s="45"/>
      <c r="F767" s="45"/>
      <c r="G767" s="45"/>
      <c r="H767" s="45"/>
      <c r="I767" s="45"/>
      <c r="J767" s="45"/>
      <c r="K767" s="45"/>
      <c r="L767" s="45"/>
      <c r="N767" s="46"/>
      <c r="P767" s="47"/>
      <c r="Q767" s="47"/>
      <c r="R767" s="47"/>
      <c r="V767" s="45"/>
    </row>
    <row r="768" spans="3:22" ht="14.25" customHeight="1">
      <c r="C768" s="45"/>
      <c r="D768" s="45"/>
      <c r="E768" s="45"/>
      <c r="F768" s="45"/>
      <c r="G768" s="45"/>
      <c r="H768" s="45"/>
      <c r="I768" s="45"/>
      <c r="J768" s="45"/>
      <c r="K768" s="45"/>
      <c r="L768" s="45"/>
      <c r="N768" s="46"/>
      <c r="P768" s="47"/>
      <c r="Q768" s="47"/>
      <c r="R768" s="47"/>
      <c r="V768" s="45"/>
    </row>
    <row r="769" spans="3:22" ht="14.25" customHeight="1">
      <c r="C769" s="45"/>
      <c r="D769" s="45"/>
      <c r="E769" s="45"/>
      <c r="F769" s="45"/>
      <c r="G769" s="45"/>
      <c r="H769" s="45"/>
      <c r="I769" s="45"/>
      <c r="J769" s="45"/>
      <c r="K769" s="45"/>
      <c r="L769" s="45"/>
      <c r="N769" s="46"/>
      <c r="P769" s="47"/>
      <c r="Q769" s="47"/>
      <c r="R769" s="47"/>
      <c r="V769" s="45"/>
    </row>
    <row r="770" spans="3:22" ht="14.25" customHeight="1">
      <c r="C770" s="45"/>
      <c r="D770" s="45"/>
      <c r="E770" s="45"/>
      <c r="F770" s="45"/>
      <c r="G770" s="45"/>
      <c r="H770" s="45"/>
      <c r="I770" s="45"/>
      <c r="J770" s="45"/>
      <c r="K770" s="45"/>
      <c r="L770" s="45"/>
      <c r="N770" s="46"/>
      <c r="P770" s="47"/>
      <c r="Q770" s="47"/>
      <c r="R770" s="47"/>
      <c r="V770" s="45"/>
    </row>
    <row r="771" spans="3:22" ht="14.25" customHeight="1">
      <c r="C771" s="45"/>
      <c r="D771" s="45"/>
      <c r="E771" s="45"/>
      <c r="F771" s="45"/>
      <c r="G771" s="45"/>
      <c r="H771" s="45"/>
      <c r="I771" s="45"/>
      <c r="J771" s="45"/>
      <c r="K771" s="45"/>
      <c r="L771" s="45"/>
      <c r="N771" s="46"/>
      <c r="P771" s="47"/>
      <c r="Q771" s="47"/>
      <c r="R771" s="47"/>
      <c r="V771" s="45"/>
    </row>
    <row r="772" spans="3:22" ht="14.25" customHeight="1">
      <c r="C772" s="45"/>
      <c r="D772" s="45"/>
      <c r="E772" s="45"/>
      <c r="F772" s="45"/>
      <c r="G772" s="45"/>
      <c r="H772" s="45"/>
      <c r="I772" s="45"/>
      <c r="J772" s="45"/>
      <c r="K772" s="45"/>
      <c r="L772" s="45"/>
      <c r="N772" s="46"/>
      <c r="P772" s="47"/>
      <c r="Q772" s="47"/>
      <c r="R772" s="47"/>
      <c r="V772" s="45"/>
    </row>
    <row r="773" spans="3:22" ht="14.25" customHeight="1">
      <c r="C773" s="45"/>
      <c r="D773" s="45"/>
      <c r="E773" s="45"/>
      <c r="F773" s="45"/>
      <c r="G773" s="45"/>
      <c r="H773" s="45"/>
      <c r="I773" s="45"/>
      <c r="J773" s="45"/>
      <c r="K773" s="45"/>
      <c r="L773" s="45"/>
      <c r="N773" s="46"/>
      <c r="P773" s="47"/>
      <c r="Q773" s="47"/>
      <c r="R773" s="47"/>
      <c r="V773" s="45"/>
    </row>
    <row r="774" spans="3:22" ht="14.25" customHeight="1">
      <c r="C774" s="45"/>
      <c r="D774" s="45"/>
      <c r="E774" s="45"/>
      <c r="F774" s="45"/>
      <c r="G774" s="45"/>
      <c r="H774" s="45"/>
      <c r="I774" s="45"/>
      <c r="J774" s="45"/>
      <c r="K774" s="45"/>
      <c r="L774" s="45"/>
      <c r="N774" s="46"/>
      <c r="P774" s="47"/>
      <c r="Q774" s="47"/>
      <c r="R774" s="47"/>
      <c r="V774" s="45"/>
    </row>
    <row r="775" spans="3:22" ht="14.25" customHeight="1">
      <c r="C775" s="45"/>
      <c r="D775" s="45"/>
      <c r="E775" s="45"/>
      <c r="F775" s="45"/>
      <c r="G775" s="45"/>
      <c r="H775" s="45"/>
      <c r="I775" s="45"/>
      <c r="J775" s="45"/>
      <c r="K775" s="45"/>
      <c r="L775" s="45"/>
      <c r="N775" s="46"/>
      <c r="P775" s="47"/>
      <c r="Q775" s="47"/>
      <c r="R775" s="47"/>
      <c r="V775" s="45"/>
    </row>
    <row r="776" spans="3:22" ht="14.25" customHeight="1">
      <c r="C776" s="45"/>
      <c r="D776" s="45"/>
      <c r="E776" s="45"/>
      <c r="F776" s="45"/>
      <c r="G776" s="45"/>
      <c r="H776" s="45"/>
      <c r="I776" s="45"/>
      <c r="J776" s="45"/>
      <c r="K776" s="45"/>
      <c r="L776" s="45"/>
      <c r="N776" s="46"/>
      <c r="P776" s="47"/>
      <c r="Q776" s="47"/>
      <c r="R776" s="47"/>
      <c r="V776" s="45"/>
    </row>
    <row r="777" spans="3:22" ht="14.25" customHeight="1">
      <c r="C777" s="45"/>
      <c r="D777" s="45"/>
      <c r="E777" s="45"/>
      <c r="F777" s="45"/>
      <c r="G777" s="45"/>
      <c r="H777" s="45"/>
      <c r="I777" s="45"/>
      <c r="J777" s="45"/>
      <c r="K777" s="45"/>
      <c r="L777" s="45"/>
      <c r="N777" s="46"/>
      <c r="P777" s="47"/>
      <c r="Q777" s="47"/>
      <c r="R777" s="47"/>
      <c r="V777" s="45"/>
    </row>
    <row r="778" spans="3:22" ht="14.25" customHeight="1">
      <c r="C778" s="45"/>
      <c r="D778" s="45"/>
      <c r="E778" s="45"/>
      <c r="F778" s="45"/>
      <c r="G778" s="45"/>
      <c r="H778" s="45"/>
      <c r="I778" s="45"/>
      <c r="J778" s="45"/>
      <c r="K778" s="45"/>
      <c r="L778" s="45"/>
      <c r="N778" s="46"/>
      <c r="P778" s="47"/>
      <c r="Q778" s="47"/>
      <c r="R778" s="47"/>
      <c r="V778" s="45"/>
    </row>
    <row r="779" spans="3:22" ht="14.25" customHeight="1">
      <c r="C779" s="45"/>
      <c r="D779" s="45"/>
      <c r="E779" s="45"/>
      <c r="F779" s="45"/>
      <c r="G779" s="45"/>
      <c r="H779" s="45"/>
      <c r="I779" s="45"/>
      <c r="J779" s="45"/>
      <c r="K779" s="45"/>
      <c r="L779" s="45"/>
      <c r="N779" s="46"/>
      <c r="P779" s="47"/>
      <c r="Q779" s="47"/>
      <c r="R779" s="47"/>
      <c r="V779" s="45"/>
    </row>
    <row r="780" spans="3:22" ht="14.25" customHeight="1">
      <c r="C780" s="45"/>
      <c r="D780" s="45"/>
      <c r="E780" s="45"/>
      <c r="F780" s="45"/>
      <c r="G780" s="45"/>
      <c r="H780" s="45"/>
      <c r="I780" s="45"/>
      <c r="J780" s="45"/>
      <c r="K780" s="45"/>
      <c r="L780" s="45"/>
      <c r="N780" s="46"/>
      <c r="P780" s="47"/>
      <c r="Q780" s="47"/>
      <c r="R780" s="47"/>
      <c r="V780" s="45"/>
    </row>
    <row r="781" spans="3:22" ht="14.25" customHeight="1">
      <c r="C781" s="45"/>
      <c r="D781" s="45"/>
      <c r="E781" s="45"/>
      <c r="F781" s="45"/>
      <c r="G781" s="45"/>
      <c r="H781" s="45"/>
      <c r="I781" s="45"/>
      <c r="J781" s="45"/>
      <c r="K781" s="45"/>
      <c r="L781" s="45"/>
      <c r="N781" s="46"/>
      <c r="P781" s="47"/>
      <c r="Q781" s="47"/>
      <c r="R781" s="47"/>
      <c r="V781" s="45"/>
    </row>
    <row r="782" spans="3:22" ht="14.25" customHeight="1">
      <c r="C782" s="45"/>
      <c r="D782" s="45"/>
      <c r="E782" s="45"/>
      <c r="F782" s="45"/>
      <c r="G782" s="45"/>
      <c r="H782" s="45"/>
      <c r="I782" s="45"/>
      <c r="J782" s="45"/>
      <c r="K782" s="45"/>
      <c r="L782" s="45"/>
      <c r="N782" s="46"/>
      <c r="P782" s="47"/>
      <c r="Q782" s="47"/>
      <c r="R782" s="47"/>
      <c r="V782" s="45"/>
    </row>
    <row r="783" spans="3:22" ht="14.25" customHeight="1">
      <c r="C783" s="45"/>
      <c r="D783" s="45"/>
      <c r="E783" s="45"/>
      <c r="F783" s="45"/>
      <c r="G783" s="45"/>
      <c r="H783" s="45"/>
      <c r="I783" s="45"/>
      <c r="J783" s="45"/>
      <c r="K783" s="45"/>
      <c r="L783" s="45"/>
      <c r="N783" s="46"/>
      <c r="P783" s="47"/>
      <c r="Q783" s="47"/>
      <c r="R783" s="47"/>
      <c r="V783" s="45"/>
    </row>
    <row r="784" spans="3:22" ht="14.25" customHeight="1">
      <c r="C784" s="45"/>
      <c r="D784" s="45"/>
      <c r="E784" s="45"/>
      <c r="F784" s="45"/>
      <c r="G784" s="45"/>
      <c r="H784" s="45"/>
      <c r="I784" s="45"/>
      <c r="J784" s="45"/>
      <c r="K784" s="45"/>
      <c r="L784" s="45"/>
      <c r="N784" s="46"/>
      <c r="P784" s="47"/>
      <c r="Q784" s="47"/>
      <c r="R784" s="47"/>
      <c r="V784" s="45"/>
    </row>
    <row r="785" spans="3:22" ht="14.25" customHeight="1">
      <c r="C785" s="45"/>
      <c r="D785" s="45"/>
      <c r="E785" s="45"/>
      <c r="F785" s="45"/>
      <c r="G785" s="45"/>
      <c r="H785" s="45"/>
      <c r="I785" s="45"/>
      <c r="J785" s="45"/>
      <c r="K785" s="45"/>
      <c r="L785" s="45"/>
      <c r="N785" s="46"/>
      <c r="P785" s="47"/>
      <c r="Q785" s="47"/>
      <c r="R785" s="47"/>
      <c r="V785" s="45"/>
    </row>
    <row r="786" spans="3:22" ht="14.25" customHeight="1">
      <c r="C786" s="45"/>
      <c r="D786" s="45"/>
      <c r="E786" s="45"/>
      <c r="F786" s="45"/>
      <c r="G786" s="45"/>
      <c r="H786" s="45"/>
      <c r="I786" s="45"/>
      <c r="J786" s="45"/>
      <c r="K786" s="45"/>
      <c r="L786" s="45"/>
      <c r="N786" s="46"/>
      <c r="P786" s="47"/>
      <c r="Q786" s="47"/>
      <c r="R786" s="47"/>
      <c r="V786" s="45"/>
    </row>
    <row r="787" spans="3:22" ht="14.25" customHeight="1">
      <c r="C787" s="45"/>
      <c r="D787" s="45"/>
      <c r="E787" s="45"/>
      <c r="F787" s="45"/>
      <c r="G787" s="45"/>
      <c r="H787" s="45"/>
      <c r="I787" s="45"/>
      <c r="J787" s="45"/>
      <c r="K787" s="45"/>
      <c r="L787" s="45"/>
      <c r="N787" s="46"/>
      <c r="P787" s="47"/>
      <c r="Q787" s="47"/>
      <c r="R787" s="47"/>
      <c r="V787" s="45"/>
    </row>
    <row r="788" spans="3:22" ht="14.25" customHeight="1">
      <c r="C788" s="45"/>
      <c r="D788" s="45"/>
      <c r="E788" s="45"/>
      <c r="F788" s="45"/>
      <c r="G788" s="45"/>
      <c r="H788" s="45"/>
      <c r="I788" s="45"/>
      <c r="J788" s="45"/>
      <c r="K788" s="45"/>
      <c r="L788" s="45"/>
      <c r="N788" s="46"/>
      <c r="P788" s="47"/>
      <c r="Q788" s="47"/>
      <c r="R788" s="47"/>
      <c r="V788" s="45"/>
    </row>
    <row r="789" spans="3:22" ht="14.25" customHeight="1">
      <c r="C789" s="45"/>
      <c r="D789" s="45"/>
      <c r="E789" s="45"/>
      <c r="F789" s="45"/>
      <c r="G789" s="45"/>
      <c r="H789" s="45"/>
      <c r="I789" s="45"/>
      <c r="J789" s="45"/>
      <c r="K789" s="45"/>
      <c r="L789" s="45"/>
      <c r="N789" s="46"/>
      <c r="P789" s="47"/>
      <c r="Q789" s="47"/>
      <c r="R789" s="47"/>
      <c r="V789" s="45"/>
    </row>
    <row r="790" spans="3:22" ht="14.25" customHeight="1">
      <c r="C790" s="45"/>
      <c r="D790" s="45"/>
      <c r="E790" s="45"/>
      <c r="F790" s="45"/>
      <c r="G790" s="45"/>
      <c r="H790" s="45"/>
      <c r="I790" s="45"/>
      <c r="J790" s="45"/>
      <c r="K790" s="45"/>
      <c r="L790" s="45"/>
      <c r="N790" s="46"/>
      <c r="P790" s="47"/>
      <c r="Q790" s="47"/>
      <c r="R790" s="47"/>
      <c r="V790" s="45"/>
    </row>
    <row r="791" spans="3:22" ht="14.25" customHeight="1">
      <c r="C791" s="45"/>
      <c r="D791" s="45"/>
      <c r="E791" s="45"/>
      <c r="F791" s="45"/>
      <c r="G791" s="45"/>
      <c r="H791" s="45"/>
      <c r="I791" s="45"/>
      <c r="J791" s="45"/>
      <c r="K791" s="45"/>
      <c r="L791" s="45"/>
      <c r="N791" s="46"/>
      <c r="P791" s="47"/>
      <c r="Q791" s="47"/>
      <c r="R791" s="47"/>
      <c r="V791" s="45"/>
    </row>
    <row r="792" spans="3:22" ht="14.25" customHeight="1">
      <c r="C792" s="45"/>
      <c r="D792" s="45"/>
      <c r="E792" s="45"/>
      <c r="F792" s="45"/>
      <c r="G792" s="45"/>
      <c r="H792" s="45"/>
      <c r="I792" s="45"/>
      <c r="J792" s="45"/>
      <c r="K792" s="45"/>
      <c r="L792" s="45"/>
      <c r="N792" s="46"/>
      <c r="P792" s="47"/>
      <c r="Q792" s="47"/>
      <c r="R792" s="47"/>
      <c r="V792" s="45"/>
    </row>
    <row r="793" spans="3:22" ht="14.25" customHeight="1">
      <c r="C793" s="45"/>
      <c r="D793" s="45"/>
      <c r="E793" s="45"/>
      <c r="F793" s="45"/>
      <c r="G793" s="45"/>
      <c r="H793" s="45"/>
      <c r="I793" s="45"/>
      <c r="J793" s="45"/>
      <c r="K793" s="45"/>
      <c r="L793" s="45"/>
      <c r="N793" s="46"/>
      <c r="P793" s="47"/>
      <c r="Q793" s="47"/>
      <c r="R793" s="47"/>
      <c r="V793" s="45"/>
    </row>
    <row r="794" spans="3:22" ht="14.25" customHeight="1">
      <c r="C794" s="45"/>
      <c r="D794" s="45"/>
      <c r="E794" s="45"/>
      <c r="F794" s="45"/>
      <c r="G794" s="45"/>
      <c r="H794" s="45"/>
      <c r="I794" s="45"/>
      <c r="J794" s="45"/>
      <c r="K794" s="45"/>
      <c r="L794" s="45"/>
      <c r="N794" s="46"/>
      <c r="P794" s="47"/>
      <c r="Q794" s="47"/>
      <c r="R794" s="47"/>
      <c r="V794" s="45"/>
    </row>
    <row r="795" spans="3:22" ht="14.25" customHeight="1">
      <c r="C795" s="45"/>
      <c r="D795" s="45"/>
      <c r="E795" s="45"/>
      <c r="F795" s="45"/>
      <c r="G795" s="45"/>
      <c r="H795" s="45"/>
      <c r="I795" s="45"/>
      <c r="J795" s="45"/>
      <c r="K795" s="45"/>
      <c r="L795" s="45"/>
      <c r="N795" s="46"/>
      <c r="P795" s="47"/>
      <c r="Q795" s="47"/>
      <c r="R795" s="47"/>
      <c r="V795" s="45"/>
    </row>
    <row r="796" spans="3:22" ht="14.25" customHeight="1">
      <c r="C796" s="45"/>
      <c r="D796" s="45"/>
      <c r="E796" s="45"/>
      <c r="F796" s="45"/>
      <c r="G796" s="45"/>
      <c r="H796" s="45"/>
      <c r="I796" s="45"/>
      <c r="J796" s="45"/>
      <c r="K796" s="45"/>
      <c r="L796" s="45"/>
      <c r="N796" s="46"/>
      <c r="P796" s="47"/>
      <c r="Q796" s="47"/>
      <c r="R796" s="47"/>
      <c r="V796" s="45"/>
    </row>
    <row r="797" spans="3:22" ht="14.25" customHeight="1">
      <c r="C797" s="45"/>
      <c r="D797" s="45"/>
      <c r="E797" s="45"/>
      <c r="F797" s="45"/>
      <c r="G797" s="45"/>
      <c r="H797" s="45"/>
      <c r="I797" s="45"/>
      <c r="J797" s="45"/>
      <c r="K797" s="45"/>
      <c r="L797" s="45"/>
      <c r="N797" s="46"/>
      <c r="P797" s="47"/>
      <c r="Q797" s="47"/>
      <c r="R797" s="47"/>
      <c r="V797" s="45"/>
    </row>
    <row r="798" spans="3:22" ht="14.25" customHeight="1">
      <c r="C798" s="45"/>
      <c r="D798" s="45"/>
      <c r="E798" s="45"/>
      <c r="F798" s="45"/>
      <c r="G798" s="45"/>
      <c r="H798" s="45"/>
      <c r="I798" s="45"/>
      <c r="J798" s="45"/>
      <c r="K798" s="45"/>
      <c r="L798" s="45"/>
      <c r="N798" s="46"/>
      <c r="P798" s="47"/>
      <c r="Q798" s="47"/>
      <c r="R798" s="47"/>
      <c r="V798" s="45"/>
    </row>
    <row r="799" spans="3:22" ht="14.25" customHeight="1">
      <c r="C799" s="45"/>
      <c r="D799" s="45"/>
      <c r="E799" s="45"/>
      <c r="F799" s="45"/>
      <c r="G799" s="45"/>
      <c r="H799" s="45"/>
      <c r="I799" s="45"/>
      <c r="J799" s="45"/>
      <c r="K799" s="45"/>
      <c r="L799" s="45"/>
      <c r="N799" s="46"/>
      <c r="P799" s="47"/>
      <c r="Q799" s="47"/>
      <c r="R799" s="47"/>
      <c r="V799" s="45"/>
    </row>
    <row r="800" spans="3:22" ht="14.25" customHeight="1">
      <c r="C800" s="45"/>
      <c r="D800" s="45"/>
      <c r="E800" s="45"/>
      <c r="F800" s="45"/>
      <c r="G800" s="45"/>
      <c r="H800" s="45"/>
      <c r="I800" s="45"/>
      <c r="J800" s="45"/>
      <c r="K800" s="45"/>
      <c r="L800" s="45"/>
      <c r="N800" s="46"/>
      <c r="P800" s="47"/>
      <c r="Q800" s="47"/>
      <c r="R800" s="47"/>
      <c r="V800" s="45"/>
    </row>
    <row r="801" spans="3:22" ht="14.25" customHeight="1">
      <c r="C801" s="45"/>
      <c r="D801" s="45"/>
      <c r="E801" s="45"/>
      <c r="F801" s="45"/>
      <c r="G801" s="45"/>
      <c r="H801" s="45"/>
      <c r="I801" s="45"/>
      <c r="J801" s="45"/>
      <c r="K801" s="45"/>
      <c r="L801" s="45"/>
      <c r="N801" s="46"/>
      <c r="P801" s="47"/>
      <c r="Q801" s="47"/>
      <c r="R801" s="47"/>
      <c r="V801" s="45"/>
    </row>
    <row r="802" spans="3:22" ht="14.25" customHeight="1">
      <c r="C802" s="45"/>
      <c r="D802" s="45"/>
      <c r="E802" s="45"/>
      <c r="F802" s="45"/>
      <c r="G802" s="45"/>
      <c r="H802" s="45"/>
      <c r="I802" s="45"/>
      <c r="J802" s="45"/>
      <c r="K802" s="45"/>
      <c r="L802" s="45"/>
      <c r="N802" s="46"/>
      <c r="P802" s="47"/>
      <c r="Q802" s="47"/>
      <c r="R802" s="47"/>
      <c r="V802" s="45"/>
    </row>
    <row r="803" spans="3:22" ht="14.25" customHeight="1">
      <c r="C803" s="45"/>
      <c r="D803" s="45"/>
      <c r="E803" s="45"/>
      <c r="F803" s="45"/>
      <c r="G803" s="45"/>
      <c r="H803" s="45"/>
      <c r="I803" s="45"/>
      <c r="J803" s="45"/>
      <c r="K803" s="45"/>
      <c r="L803" s="45"/>
      <c r="N803" s="46"/>
      <c r="P803" s="47"/>
      <c r="Q803" s="47"/>
      <c r="R803" s="47"/>
      <c r="V803" s="45"/>
    </row>
    <row r="804" spans="3:22" ht="14.25" customHeight="1">
      <c r="C804" s="45"/>
      <c r="D804" s="45"/>
      <c r="E804" s="45"/>
      <c r="F804" s="45"/>
      <c r="G804" s="45"/>
      <c r="H804" s="45"/>
      <c r="I804" s="45"/>
      <c r="J804" s="45"/>
      <c r="K804" s="45"/>
      <c r="L804" s="45"/>
      <c r="N804" s="46"/>
      <c r="P804" s="47"/>
      <c r="Q804" s="47"/>
      <c r="R804" s="47"/>
      <c r="V804" s="45"/>
    </row>
    <row r="805" spans="3:22" ht="14.25" customHeight="1">
      <c r="C805" s="45"/>
      <c r="D805" s="45"/>
      <c r="E805" s="45"/>
      <c r="F805" s="45"/>
      <c r="G805" s="45"/>
      <c r="H805" s="45"/>
      <c r="I805" s="45"/>
      <c r="J805" s="45"/>
      <c r="K805" s="45"/>
      <c r="L805" s="45"/>
      <c r="N805" s="46"/>
      <c r="P805" s="47"/>
      <c r="Q805" s="47"/>
      <c r="R805" s="47"/>
      <c r="V805" s="45"/>
    </row>
    <row r="806" spans="3:22" ht="14.25" customHeight="1">
      <c r="C806" s="45"/>
      <c r="D806" s="45"/>
      <c r="E806" s="45"/>
      <c r="F806" s="45"/>
      <c r="G806" s="45"/>
      <c r="H806" s="45"/>
      <c r="I806" s="45"/>
      <c r="J806" s="45"/>
      <c r="K806" s="45"/>
      <c r="L806" s="45"/>
      <c r="N806" s="46"/>
      <c r="P806" s="47"/>
      <c r="Q806" s="47"/>
      <c r="R806" s="47"/>
      <c r="V806" s="45"/>
    </row>
    <row r="807" spans="3:22" ht="14.25" customHeight="1">
      <c r="C807" s="45"/>
      <c r="D807" s="45"/>
      <c r="E807" s="45"/>
      <c r="F807" s="45"/>
      <c r="G807" s="45"/>
      <c r="H807" s="45"/>
      <c r="I807" s="45"/>
      <c r="J807" s="45"/>
      <c r="K807" s="45"/>
      <c r="L807" s="45"/>
      <c r="N807" s="46"/>
      <c r="P807" s="47"/>
      <c r="Q807" s="47"/>
      <c r="R807" s="47"/>
      <c r="V807" s="45"/>
    </row>
    <row r="808" spans="3:22" ht="14.25" customHeight="1">
      <c r="C808" s="45"/>
      <c r="D808" s="45"/>
      <c r="E808" s="45"/>
      <c r="F808" s="45"/>
      <c r="G808" s="45"/>
      <c r="H808" s="45"/>
      <c r="I808" s="45"/>
      <c r="J808" s="45"/>
      <c r="K808" s="45"/>
      <c r="L808" s="45"/>
      <c r="N808" s="46"/>
      <c r="P808" s="47"/>
      <c r="Q808" s="47"/>
      <c r="R808" s="47"/>
      <c r="V808" s="45"/>
    </row>
    <row r="809" spans="3:22" ht="14.25" customHeight="1">
      <c r="C809" s="45"/>
      <c r="D809" s="45"/>
      <c r="E809" s="45"/>
      <c r="F809" s="45"/>
      <c r="G809" s="45"/>
      <c r="H809" s="45"/>
      <c r="I809" s="45"/>
      <c r="J809" s="45"/>
      <c r="K809" s="45"/>
      <c r="L809" s="45"/>
      <c r="N809" s="46"/>
      <c r="P809" s="47"/>
      <c r="Q809" s="47"/>
      <c r="R809" s="47"/>
      <c r="V809" s="45"/>
    </row>
    <row r="810" spans="3:22" ht="14.25" customHeight="1">
      <c r="C810" s="45"/>
      <c r="D810" s="45"/>
      <c r="E810" s="45"/>
      <c r="F810" s="45"/>
      <c r="G810" s="45"/>
      <c r="H810" s="45"/>
      <c r="I810" s="45"/>
      <c r="J810" s="45"/>
      <c r="K810" s="45"/>
      <c r="L810" s="45"/>
      <c r="N810" s="46"/>
      <c r="P810" s="47"/>
      <c r="Q810" s="47"/>
      <c r="R810" s="47"/>
      <c r="V810" s="45"/>
    </row>
    <row r="811" spans="3:22" ht="14.25" customHeight="1">
      <c r="C811" s="45"/>
      <c r="D811" s="45"/>
      <c r="E811" s="45"/>
      <c r="F811" s="45"/>
      <c r="G811" s="45"/>
      <c r="H811" s="45"/>
      <c r="I811" s="45"/>
      <c r="J811" s="45"/>
      <c r="K811" s="45"/>
      <c r="L811" s="45"/>
      <c r="N811" s="46"/>
      <c r="P811" s="47"/>
      <c r="Q811" s="47"/>
      <c r="R811" s="47"/>
      <c r="V811" s="45"/>
    </row>
    <row r="812" spans="3:22" ht="14.25" customHeight="1">
      <c r="C812" s="45"/>
      <c r="D812" s="45"/>
      <c r="E812" s="45"/>
      <c r="F812" s="45"/>
      <c r="G812" s="45"/>
      <c r="H812" s="45"/>
      <c r="I812" s="45"/>
      <c r="J812" s="45"/>
      <c r="K812" s="45"/>
      <c r="L812" s="45"/>
      <c r="N812" s="46"/>
      <c r="P812" s="47"/>
      <c r="Q812" s="47"/>
      <c r="R812" s="47"/>
      <c r="V812" s="45"/>
    </row>
    <row r="813" spans="3:22" ht="14.25" customHeight="1">
      <c r="C813" s="45"/>
      <c r="D813" s="45"/>
      <c r="E813" s="45"/>
      <c r="F813" s="45"/>
      <c r="G813" s="45"/>
      <c r="H813" s="45"/>
      <c r="I813" s="45"/>
      <c r="J813" s="45"/>
      <c r="K813" s="45"/>
      <c r="L813" s="45"/>
      <c r="N813" s="46"/>
      <c r="P813" s="47"/>
      <c r="Q813" s="47"/>
      <c r="R813" s="47"/>
      <c r="V813" s="45"/>
    </row>
    <row r="814" spans="3:22" ht="14.25" customHeight="1">
      <c r="C814" s="45"/>
      <c r="D814" s="45"/>
      <c r="E814" s="45"/>
      <c r="F814" s="45"/>
      <c r="G814" s="45"/>
      <c r="H814" s="45"/>
      <c r="I814" s="45"/>
      <c r="J814" s="45"/>
      <c r="K814" s="45"/>
      <c r="L814" s="45"/>
      <c r="N814" s="46"/>
      <c r="P814" s="47"/>
      <c r="Q814" s="47"/>
      <c r="R814" s="47"/>
      <c r="V814" s="45"/>
    </row>
    <row r="815" spans="3:22" ht="14.25" customHeight="1">
      <c r="C815" s="45"/>
      <c r="D815" s="45"/>
      <c r="E815" s="45"/>
      <c r="F815" s="45"/>
      <c r="G815" s="45"/>
      <c r="H815" s="45"/>
      <c r="I815" s="45"/>
      <c r="J815" s="45"/>
      <c r="K815" s="45"/>
      <c r="L815" s="45"/>
      <c r="N815" s="46"/>
      <c r="P815" s="47"/>
      <c r="Q815" s="47"/>
      <c r="R815" s="47"/>
      <c r="V815" s="45"/>
    </row>
    <row r="816" spans="3:22" ht="14.25" customHeight="1">
      <c r="C816" s="45"/>
      <c r="D816" s="45"/>
      <c r="E816" s="45"/>
      <c r="F816" s="45"/>
      <c r="G816" s="45"/>
      <c r="H816" s="45"/>
      <c r="I816" s="45"/>
      <c r="J816" s="45"/>
      <c r="K816" s="45"/>
      <c r="L816" s="45"/>
      <c r="N816" s="46"/>
      <c r="P816" s="47"/>
      <c r="Q816" s="47"/>
      <c r="R816" s="47"/>
      <c r="V816" s="45"/>
    </row>
    <row r="817" spans="3:22" ht="14.25" customHeight="1">
      <c r="C817" s="45"/>
      <c r="D817" s="45"/>
      <c r="E817" s="45"/>
      <c r="F817" s="45"/>
      <c r="G817" s="45"/>
      <c r="H817" s="45"/>
      <c r="I817" s="45"/>
      <c r="J817" s="45"/>
      <c r="K817" s="45"/>
      <c r="L817" s="45"/>
      <c r="N817" s="46"/>
      <c r="P817" s="47"/>
      <c r="Q817" s="47"/>
      <c r="R817" s="47"/>
      <c r="V817" s="45"/>
    </row>
    <row r="818" spans="3:22" ht="14.25" customHeight="1">
      <c r="C818" s="45"/>
      <c r="D818" s="45"/>
      <c r="E818" s="45"/>
      <c r="F818" s="45"/>
      <c r="G818" s="45"/>
      <c r="H818" s="45"/>
      <c r="I818" s="45"/>
      <c r="J818" s="45"/>
      <c r="K818" s="45"/>
      <c r="L818" s="45"/>
      <c r="N818" s="46"/>
      <c r="P818" s="47"/>
      <c r="Q818" s="47"/>
      <c r="R818" s="47"/>
      <c r="V818" s="45"/>
    </row>
    <row r="819" spans="3:22" ht="14.25" customHeight="1">
      <c r="C819" s="45"/>
      <c r="D819" s="45"/>
      <c r="E819" s="45"/>
      <c r="F819" s="45"/>
      <c r="G819" s="45"/>
      <c r="H819" s="45"/>
      <c r="I819" s="45"/>
      <c r="J819" s="45"/>
      <c r="K819" s="45"/>
      <c r="L819" s="45"/>
      <c r="N819" s="46"/>
      <c r="P819" s="47"/>
      <c r="Q819" s="47"/>
      <c r="R819" s="47"/>
      <c r="V819" s="45"/>
    </row>
    <row r="820" spans="3:22" ht="14.25" customHeight="1">
      <c r="C820" s="45"/>
      <c r="D820" s="45"/>
      <c r="E820" s="45"/>
      <c r="F820" s="45"/>
      <c r="G820" s="45"/>
      <c r="H820" s="45"/>
      <c r="I820" s="45"/>
      <c r="J820" s="45"/>
      <c r="K820" s="45"/>
      <c r="L820" s="45"/>
      <c r="N820" s="46"/>
      <c r="P820" s="47"/>
      <c r="Q820" s="47"/>
      <c r="R820" s="47"/>
      <c r="V820" s="45"/>
    </row>
    <row r="821" spans="3:22" ht="14.25" customHeight="1">
      <c r="C821" s="45"/>
      <c r="D821" s="45"/>
      <c r="E821" s="45"/>
      <c r="F821" s="45"/>
      <c r="G821" s="45"/>
      <c r="H821" s="45"/>
      <c r="I821" s="45"/>
      <c r="J821" s="45"/>
      <c r="K821" s="45"/>
      <c r="L821" s="45"/>
      <c r="N821" s="46"/>
      <c r="P821" s="47"/>
      <c r="Q821" s="47"/>
      <c r="R821" s="47"/>
      <c r="V821" s="45"/>
    </row>
    <row r="822" spans="3:22" ht="14.25" customHeight="1">
      <c r="C822" s="45"/>
      <c r="D822" s="45"/>
      <c r="E822" s="45"/>
      <c r="F822" s="45"/>
      <c r="G822" s="45"/>
      <c r="H822" s="45"/>
      <c r="I822" s="45"/>
      <c r="J822" s="45"/>
      <c r="K822" s="45"/>
      <c r="L822" s="45"/>
      <c r="N822" s="46"/>
      <c r="P822" s="47"/>
      <c r="Q822" s="47"/>
      <c r="R822" s="47"/>
      <c r="V822" s="45"/>
    </row>
    <row r="823" spans="3:22" ht="14.25" customHeight="1">
      <c r="C823" s="45"/>
      <c r="D823" s="45"/>
      <c r="E823" s="45"/>
      <c r="F823" s="45"/>
      <c r="G823" s="45"/>
      <c r="H823" s="45"/>
      <c r="I823" s="45"/>
      <c r="J823" s="45"/>
      <c r="K823" s="45"/>
      <c r="L823" s="45"/>
      <c r="N823" s="46"/>
      <c r="P823" s="47"/>
      <c r="Q823" s="47"/>
      <c r="R823" s="47"/>
      <c r="V823" s="45"/>
    </row>
    <row r="824" spans="3:22" ht="14.25" customHeight="1">
      <c r="C824" s="45"/>
      <c r="D824" s="45"/>
      <c r="E824" s="45"/>
      <c r="F824" s="45"/>
      <c r="G824" s="45"/>
      <c r="H824" s="45"/>
      <c r="I824" s="45"/>
      <c r="J824" s="45"/>
      <c r="K824" s="45"/>
      <c r="L824" s="45"/>
      <c r="N824" s="46"/>
      <c r="P824" s="47"/>
      <c r="Q824" s="47"/>
      <c r="R824" s="47"/>
      <c r="V824" s="45"/>
    </row>
    <row r="825" spans="3:22" ht="14.25" customHeight="1">
      <c r="C825" s="45"/>
      <c r="D825" s="45"/>
      <c r="E825" s="45"/>
      <c r="F825" s="45"/>
      <c r="G825" s="45"/>
      <c r="H825" s="45"/>
      <c r="I825" s="45"/>
      <c r="J825" s="45"/>
      <c r="K825" s="45"/>
      <c r="L825" s="45"/>
      <c r="N825" s="46"/>
      <c r="P825" s="47"/>
      <c r="Q825" s="47"/>
      <c r="R825" s="47"/>
      <c r="V825" s="45"/>
    </row>
    <row r="826" spans="3:22" ht="14.25" customHeight="1">
      <c r="C826" s="45"/>
      <c r="D826" s="45"/>
      <c r="E826" s="45"/>
      <c r="F826" s="45"/>
      <c r="G826" s="45"/>
      <c r="H826" s="45"/>
      <c r="I826" s="45"/>
      <c r="J826" s="45"/>
      <c r="K826" s="45"/>
      <c r="L826" s="45"/>
      <c r="N826" s="46"/>
      <c r="P826" s="47"/>
      <c r="Q826" s="47"/>
      <c r="R826" s="47"/>
      <c r="V826" s="45"/>
    </row>
    <row r="827" spans="3:22" ht="14.25" customHeight="1">
      <c r="C827" s="45"/>
      <c r="D827" s="45"/>
      <c r="E827" s="45"/>
      <c r="F827" s="45"/>
      <c r="G827" s="45"/>
      <c r="H827" s="45"/>
      <c r="I827" s="45"/>
      <c r="J827" s="45"/>
      <c r="K827" s="45"/>
      <c r="L827" s="45"/>
      <c r="N827" s="46"/>
      <c r="P827" s="47"/>
      <c r="Q827" s="47"/>
      <c r="R827" s="47"/>
      <c r="V827" s="45"/>
    </row>
    <row r="828" spans="3:22" ht="14.25" customHeight="1">
      <c r="C828" s="45"/>
      <c r="D828" s="45"/>
      <c r="E828" s="45"/>
      <c r="F828" s="45"/>
      <c r="G828" s="45"/>
      <c r="H828" s="45"/>
      <c r="I828" s="45"/>
      <c r="J828" s="45"/>
      <c r="K828" s="45"/>
      <c r="L828" s="45"/>
      <c r="N828" s="46"/>
      <c r="P828" s="47"/>
      <c r="Q828" s="47"/>
      <c r="R828" s="47"/>
      <c r="V828" s="45"/>
    </row>
    <row r="829" spans="3:22" ht="14.25" customHeight="1">
      <c r="C829" s="45"/>
      <c r="D829" s="45"/>
      <c r="E829" s="45"/>
      <c r="F829" s="45"/>
      <c r="G829" s="45"/>
      <c r="H829" s="45"/>
      <c r="I829" s="45"/>
      <c r="J829" s="45"/>
      <c r="K829" s="45"/>
      <c r="L829" s="45"/>
      <c r="N829" s="46"/>
      <c r="P829" s="47"/>
      <c r="Q829" s="47"/>
      <c r="R829" s="47"/>
      <c r="V829" s="45"/>
    </row>
    <row r="830" spans="3:22" ht="14.25" customHeight="1">
      <c r="C830" s="45"/>
      <c r="D830" s="45"/>
      <c r="E830" s="45"/>
      <c r="F830" s="45"/>
      <c r="G830" s="45"/>
      <c r="H830" s="45"/>
      <c r="I830" s="45"/>
      <c r="J830" s="45"/>
      <c r="K830" s="45"/>
      <c r="L830" s="45"/>
      <c r="N830" s="46"/>
      <c r="P830" s="47"/>
      <c r="Q830" s="47"/>
      <c r="R830" s="47"/>
      <c r="V830" s="45"/>
    </row>
    <row r="831" spans="3:22" ht="14.25" customHeight="1">
      <c r="C831" s="45"/>
      <c r="D831" s="45"/>
      <c r="E831" s="45"/>
      <c r="F831" s="45"/>
      <c r="G831" s="45"/>
      <c r="H831" s="45"/>
      <c r="I831" s="45"/>
      <c r="J831" s="45"/>
      <c r="K831" s="45"/>
      <c r="L831" s="45"/>
      <c r="N831" s="46"/>
      <c r="P831" s="47"/>
      <c r="Q831" s="47"/>
      <c r="R831" s="47"/>
      <c r="V831" s="45"/>
    </row>
    <row r="832" spans="3:22" ht="14.25" customHeight="1">
      <c r="C832" s="45"/>
      <c r="D832" s="45"/>
      <c r="E832" s="45"/>
      <c r="F832" s="45"/>
      <c r="G832" s="45"/>
      <c r="H832" s="45"/>
      <c r="I832" s="45"/>
      <c r="J832" s="45"/>
      <c r="K832" s="45"/>
      <c r="L832" s="45"/>
      <c r="N832" s="46"/>
      <c r="P832" s="47"/>
      <c r="Q832" s="47"/>
      <c r="R832" s="47"/>
      <c r="V832" s="45"/>
    </row>
    <row r="833" spans="3:22" ht="14.25" customHeight="1">
      <c r="C833" s="45"/>
      <c r="D833" s="45"/>
      <c r="E833" s="45"/>
      <c r="F833" s="45"/>
      <c r="G833" s="45"/>
      <c r="H833" s="45"/>
      <c r="I833" s="45"/>
      <c r="J833" s="45"/>
      <c r="K833" s="45"/>
      <c r="L833" s="45"/>
      <c r="N833" s="46"/>
      <c r="P833" s="47"/>
      <c r="Q833" s="47"/>
      <c r="R833" s="47"/>
      <c r="V833" s="45"/>
    </row>
    <row r="834" spans="3:22" ht="14.25" customHeight="1">
      <c r="C834" s="45"/>
      <c r="D834" s="45"/>
      <c r="E834" s="45"/>
      <c r="F834" s="45"/>
      <c r="G834" s="45"/>
      <c r="H834" s="45"/>
      <c r="I834" s="45"/>
      <c r="J834" s="45"/>
      <c r="K834" s="45"/>
      <c r="L834" s="45"/>
      <c r="N834" s="46"/>
      <c r="P834" s="47"/>
      <c r="Q834" s="47"/>
      <c r="R834" s="47"/>
      <c r="V834" s="45"/>
    </row>
    <row r="835" spans="3:22" ht="14.25" customHeight="1">
      <c r="C835" s="45"/>
      <c r="D835" s="45"/>
      <c r="E835" s="45"/>
      <c r="F835" s="45"/>
      <c r="G835" s="45"/>
      <c r="H835" s="45"/>
      <c r="I835" s="45"/>
      <c r="J835" s="45"/>
      <c r="K835" s="45"/>
      <c r="L835" s="45"/>
      <c r="N835" s="46"/>
      <c r="P835" s="47"/>
      <c r="Q835" s="47"/>
      <c r="R835" s="47"/>
      <c r="V835" s="45"/>
    </row>
    <row r="836" spans="3:22" ht="14.25" customHeight="1">
      <c r="C836" s="45"/>
      <c r="D836" s="45"/>
      <c r="E836" s="45"/>
      <c r="F836" s="45"/>
      <c r="G836" s="45"/>
      <c r="H836" s="45"/>
      <c r="I836" s="45"/>
      <c r="J836" s="45"/>
      <c r="K836" s="45"/>
      <c r="L836" s="45"/>
      <c r="N836" s="46"/>
      <c r="P836" s="47"/>
      <c r="Q836" s="47"/>
      <c r="R836" s="47"/>
      <c r="V836" s="45"/>
    </row>
    <row r="837" spans="3:22" ht="14.25" customHeight="1">
      <c r="C837" s="45"/>
      <c r="D837" s="45"/>
      <c r="E837" s="45"/>
      <c r="F837" s="45"/>
      <c r="G837" s="45"/>
      <c r="H837" s="45"/>
      <c r="I837" s="45"/>
      <c r="J837" s="45"/>
      <c r="K837" s="45"/>
      <c r="L837" s="45"/>
      <c r="N837" s="46"/>
      <c r="P837" s="47"/>
      <c r="Q837" s="47"/>
      <c r="R837" s="47"/>
      <c r="V837" s="45"/>
    </row>
    <row r="838" spans="3:22" ht="14.25" customHeight="1">
      <c r="C838" s="45"/>
      <c r="D838" s="45"/>
      <c r="E838" s="45"/>
      <c r="F838" s="45"/>
      <c r="G838" s="45"/>
      <c r="H838" s="45"/>
      <c r="I838" s="45"/>
      <c r="J838" s="45"/>
      <c r="K838" s="45"/>
      <c r="L838" s="45"/>
      <c r="N838" s="46"/>
      <c r="P838" s="47"/>
      <c r="Q838" s="47"/>
      <c r="R838" s="47"/>
      <c r="V838" s="45"/>
    </row>
    <row r="839" spans="3:22" ht="14.25" customHeight="1">
      <c r="C839" s="45"/>
      <c r="D839" s="45"/>
      <c r="E839" s="45"/>
      <c r="F839" s="45"/>
      <c r="G839" s="45"/>
      <c r="H839" s="45"/>
      <c r="I839" s="45"/>
      <c r="J839" s="45"/>
      <c r="K839" s="45"/>
      <c r="L839" s="45"/>
      <c r="N839" s="46"/>
      <c r="P839" s="47"/>
      <c r="Q839" s="47"/>
      <c r="R839" s="47"/>
      <c r="V839" s="45"/>
    </row>
    <row r="840" spans="3:22" ht="14.25" customHeight="1">
      <c r="C840" s="45"/>
      <c r="D840" s="45"/>
      <c r="E840" s="45"/>
      <c r="F840" s="45"/>
      <c r="G840" s="45"/>
      <c r="H840" s="45"/>
      <c r="I840" s="45"/>
      <c r="J840" s="45"/>
      <c r="K840" s="45"/>
      <c r="L840" s="45"/>
      <c r="N840" s="46"/>
      <c r="P840" s="47"/>
      <c r="Q840" s="47"/>
      <c r="R840" s="47"/>
      <c r="V840" s="45"/>
    </row>
    <row r="841" spans="3:22" ht="14.25" customHeight="1">
      <c r="C841" s="45"/>
      <c r="D841" s="45"/>
      <c r="E841" s="45"/>
      <c r="F841" s="45"/>
      <c r="G841" s="45"/>
      <c r="H841" s="45"/>
      <c r="I841" s="45"/>
      <c r="J841" s="45"/>
      <c r="K841" s="45"/>
      <c r="L841" s="45"/>
      <c r="N841" s="46"/>
      <c r="P841" s="47"/>
      <c r="Q841" s="47"/>
      <c r="R841" s="47"/>
      <c r="V841" s="45"/>
    </row>
    <row r="842" spans="3:22" ht="14.25" customHeight="1">
      <c r="C842" s="45"/>
      <c r="D842" s="45"/>
      <c r="E842" s="45"/>
      <c r="F842" s="45"/>
      <c r="G842" s="45"/>
      <c r="H842" s="45"/>
      <c r="I842" s="45"/>
      <c r="J842" s="45"/>
      <c r="K842" s="45"/>
      <c r="L842" s="45"/>
      <c r="N842" s="46"/>
      <c r="P842" s="47"/>
      <c r="Q842" s="47"/>
      <c r="R842" s="47"/>
      <c r="V842" s="45"/>
    </row>
    <row r="843" spans="3:22" ht="14.25" customHeight="1">
      <c r="C843" s="45"/>
      <c r="D843" s="45"/>
      <c r="E843" s="45"/>
      <c r="F843" s="45"/>
      <c r="G843" s="45"/>
      <c r="H843" s="45"/>
      <c r="I843" s="45"/>
      <c r="J843" s="45"/>
      <c r="K843" s="45"/>
      <c r="L843" s="45"/>
      <c r="N843" s="46"/>
      <c r="P843" s="47"/>
      <c r="Q843" s="47"/>
      <c r="R843" s="47"/>
      <c r="V843" s="45"/>
    </row>
    <row r="844" spans="3:22" ht="14.25" customHeight="1">
      <c r="C844" s="45"/>
      <c r="D844" s="45"/>
      <c r="E844" s="45"/>
      <c r="F844" s="45"/>
      <c r="G844" s="45"/>
      <c r="H844" s="45"/>
      <c r="I844" s="45"/>
      <c r="J844" s="45"/>
      <c r="K844" s="45"/>
      <c r="L844" s="45"/>
      <c r="N844" s="46"/>
      <c r="P844" s="47"/>
      <c r="Q844" s="47"/>
      <c r="R844" s="47"/>
      <c r="V844" s="45"/>
    </row>
    <row r="845" spans="3:22" ht="14.25" customHeight="1">
      <c r="C845" s="45"/>
      <c r="D845" s="45"/>
      <c r="E845" s="45"/>
      <c r="F845" s="45"/>
      <c r="G845" s="45"/>
      <c r="H845" s="45"/>
      <c r="I845" s="45"/>
      <c r="J845" s="45"/>
      <c r="K845" s="45"/>
      <c r="L845" s="45"/>
      <c r="N845" s="46"/>
      <c r="P845" s="47"/>
      <c r="Q845" s="47"/>
      <c r="R845" s="47"/>
      <c r="V845" s="45"/>
    </row>
    <row r="846" spans="3:22" ht="14.25" customHeight="1">
      <c r="C846" s="45"/>
      <c r="D846" s="45"/>
      <c r="E846" s="45"/>
      <c r="F846" s="45"/>
      <c r="G846" s="45"/>
      <c r="H846" s="45"/>
      <c r="I846" s="45"/>
      <c r="J846" s="45"/>
      <c r="K846" s="45"/>
      <c r="L846" s="45"/>
      <c r="N846" s="46"/>
      <c r="P846" s="47"/>
      <c r="Q846" s="47"/>
      <c r="R846" s="47"/>
      <c r="V846" s="45"/>
    </row>
    <row r="847" spans="3:22" ht="14.25" customHeight="1">
      <c r="C847" s="45"/>
      <c r="D847" s="45"/>
      <c r="E847" s="45"/>
      <c r="F847" s="45"/>
      <c r="G847" s="45"/>
      <c r="H847" s="45"/>
      <c r="I847" s="45"/>
      <c r="J847" s="45"/>
      <c r="K847" s="45"/>
      <c r="L847" s="45"/>
      <c r="N847" s="46"/>
      <c r="P847" s="47"/>
      <c r="Q847" s="47"/>
      <c r="R847" s="47"/>
      <c r="V847" s="45"/>
    </row>
    <row r="848" spans="3:22" ht="14.25" customHeight="1">
      <c r="C848" s="45"/>
      <c r="D848" s="45"/>
      <c r="E848" s="45"/>
      <c r="F848" s="45"/>
      <c r="G848" s="45"/>
      <c r="H848" s="45"/>
      <c r="I848" s="45"/>
      <c r="J848" s="45"/>
      <c r="K848" s="45"/>
      <c r="L848" s="45"/>
      <c r="N848" s="46"/>
      <c r="P848" s="47"/>
      <c r="Q848" s="47"/>
      <c r="R848" s="47"/>
      <c r="V848" s="45"/>
    </row>
    <row r="849" spans="3:22" ht="14.25" customHeight="1">
      <c r="C849" s="45"/>
      <c r="D849" s="45"/>
      <c r="E849" s="45"/>
      <c r="F849" s="45"/>
      <c r="G849" s="45"/>
      <c r="H849" s="45"/>
      <c r="I849" s="45"/>
      <c r="J849" s="45"/>
      <c r="K849" s="45"/>
      <c r="L849" s="45"/>
      <c r="N849" s="46"/>
      <c r="P849" s="47"/>
      <c r="Q849" s="47"/>
      <c r="R849" s="47"/>
      <c r="V849" s="45"/>
    </row>
    <row r="850" spans="3:22" ht="14.25" customHeight="1">
      <c r="C850" s="45"/>
      <c r="D850" s="45"/>
      <c r="E850" s="45"/>
      <c r="F850" s="45"/>
      <c r="G850" s="45"/>
      <c r="H850" s="45"/>
      <c r="I850" s="45"/>
      <c r="J850" s="45"/>
      <c r="K850" s="45"/>
      <c r="L850" s="45"/>
      <c r="N850" s="46"/>
      <c r="P850" s="47"/>
      <c r="Q850" s="47"/>
      <c r="R850" s="47"/>
      <c r="V850" s="45"/>
    </row>
    <row r="851" spans="3:22" ht="14.25" customHeight="1">
      <c r="C851" s="45"/>
      <c r="D851" s="45"/>
      <c r="E851" s="45"/>
      <c r="F851" s="45"/>
      <c r="G851" s="45"/>
      <c r="H851" s="45"/>
      <c r="I851" s="45"/>
      <c r="J851" s="45"/>
      <c r="K851" s="45"/>
      <c r="L851" s="45"/>
      <c r="N851" s="46"/>
      <c r="P851" s="47"/>
      <c r="Q851" s="47"/>
      <c r="R851" s="47"/>
      <c r="V851" s="45"/>
    </row>
    <row r="852" spans="3:22" ht="14.25" customHeight="1">
      <c r="C852" s="45"/>
      <c r="D852" s="45"/>
      <c r="E852" s="45"/>
      <c r="F852" s="45"/>
      <c r="G852" s="45"/>
      <c r="H852" s="45"/>
      <c r="I852" s="45"/>
      <c r="J852" s="45"/>
      <c r="K852" s="45"/>
      <c r="L852" s="45"/>
      <c r="N852" s="46"/>
      <c r="P852" s="47"/>
      <c r="Q852" s="47"/>
      <c r="R852" s="47"/>
      <c r="V852" s="45"/>
    </row>
    <row r="853" spans="3:22" ht="14.25" customHeight="1">
      <c r="C853" s="45"/>
      <c r="D853" s="45"/>
      <c r="E853" s="45"/>
      <c r="F853" s="45"/>
      <c r="G853" s="45"/>
      <c r="H853" s="45"/>
      <c r="I853" s="45"/>
      <c r="J853" s="45"/>
      <c r="K853" s="45"/>
      <c r="L853" s="45"/>
      <c r="N853" s="46"/>
      <c r="P853" s="47"/>
      <c r="Q853" s="47"/>
      <c r="R853" s="47"/>
      <c r="V853" s="45"/>
    </row>
    <row r="854" spans="3:22" ht="14.25" customHeight="1">
      <c r="C854" s="45"/>
      <c r="D854" s="45"/>
      <c r="E854" s="45"/>
      <c r="F854" s="45"/>
      <c r="G854" s="45"/>
      <c r="H854" s="45"/>
      <c r="I854" s="45"/>
      <c r="J854" s="45"/>
      <c r="K854" s="45"/>
      <c r="L854" s="45"/>
      <c r="N854" s="46"/>
      <c r="P854" s="47"/>
      <c r="Q854" s="47"/>
      <c r="R854" s="47"/>
      <c r="V854" s="45"/>
    </row>
    <row r="855" spans="3:22" ht="14.25" customHeight="1">
      <c r="C855" s="45"/>
      <c r="D855" s="45"/>
      <c r="E855" s="45"/>
      <c r="F855" s="45"/>
      <c r="G855" s="45"/>
      <c r="H855" s="45"/>
      <c r="I855" s="45"/>
      <c r="J855" s="45"/>
      <c r="K855" s="45"/>
      <c r="L855" s="45"/>
      <c r="N855" s="46"/>
      <c r="P855" s="47"/>
      <c r="Q855" s="47"/>
      <c r="R855" s="47"/>
      <c r="V855" s="45"/>
    </row>
    <row r="856" spans="3:22" ht="14.25" customHeight="1">
      <c r="C856" s="45"/>
      <c r="D856" s="45"/>
      <c r="E856" s="45"/>
      <c r="F856" s="45"/>
      <c r="G856" s="45"/>
      <c r="H856" s="45"/>
      <c r="I856" s="45"/>
      <c r="J856" s="45"/>
      <c r="K856" s="45"/>
      <c r="L856" s="45"/>
      <c r="N856" s="46"/>
      <c r="P856" s="47"/>
      <c r="Q856" s="47"/>
      <c r="R856" s="47"/>
      <c r="V856" s="45"/>
    </row>
    <row r="857" spans="3:22" ht="14.25" customHeight="1">
      <c r="C857" s="45"/>
      <c r="D857" s="45"/>
      <c r="E857" s="45"/>
      <c r="F857" s="45"/>
      <c r="G857" s="45"/>
      <c r="H857" s="45"/>
      <c r="I857" s="45"/>
      <c r="J857" s="45"/>
      <c r="K857" s="45"/>
      <c r="L857" s="45"/>
      <c r="N857" s="46"/>
      <c r="P857" s="47"/>
      <c r="Q857" s="47"/>
      <c r="R857" s="47"/>
      <c r="V857" s="45"/>
    </row>
    <row r="858" spans="3:22" ht="14.25" customHeight="1">
      <c r="C858" s="45"/>
      <c r="D858" s="45"/>
      <c r="E858" s="45"/>
      <c r="F858" s="45"/>
      <c r="G858" s="45"/>
      <c r="H858" s="45"/>
      <c r="I858" s="45"/>
      <c r="J858" s="45"/>
      <c r="K858" s="45"/>
      <c r="L858" s="45"/>
      <c r="N858" s="46"/>
      <c r="P858" s="47"/>
      <c r="Q858" s="47"/>
      <c r="R858" s="47"/>
      <c r="V858" s="45"/>
    </row>
    <row r="859" spans="3:22" ht="14.25" customHeight="1">
      <c r="C859" s="45"/>
      <c r="D859" s="45"/>
      <c r="E859" s="45"/>
      <c r="F859" s="45"/>
      <c r="G859" s="45"/>
      <c r="H859" s="45"/>
      <c r="I859" s="45"/>
      <c r="J859" s="45"/>
      <c r="K859" s="45"/>
      <c r="L859" s="45"/>
      <c r="N859" s="46"/>
      <c r="P859" s="47"/>
      <c r="Q859" s="47"/>
      <c r="R859" s="47"/>
      <c r="V859" s="45"/>
    </row>
    <row r="860" spans="3:22" ht="14.25" customHeight="1">
      <c r="C860" s="45"/>
      <c r="D860" s="45"/>
      <c r="E860" s="45"/>
      <c r="F860" s="45"/>
      <c r="G860" s="45"/>
      <c r="H860" s="45"/>
      <c r="I860" s="45"/>
      <c r="J860" s="45"/>
      <c r="K860" s="45"/>
      <c r="L860" s="45"/>
      <c r="N860" s="46"/>
      <c r="P860" s="47"/>
      <c r="Q860" s="47"/>
      <c r="R860" s="47"/>
      <c r="V860" s="45"/>
    </row>
    <row r="861" spans="3:22" ht="14.25" customHeight="1">
      <c r="C861" s="45"/>
      <c r="D861" s="45"/>
      <c r="E861" s="45"/>
      <c r="F861" s="45"/>
      <c r="G861" s="45"/>
      <c r="H861" s="45"/>
      <c r="I861" s="45"/>
      <c r="J861" s="45"/>
      <c r="K861" s="45"/>
      <c r="L861" s="45"/>
      <c r="N861" s="46"/>
      <c r="P861" s="47"/>
      <c r="Q861" s="47"/>
      <c r="R861" s="47"/>
      <c r="V861" s="45"/>
    </row>
    <row r="862" spans="3:22" ht="14.25" customHeight="1">
      <c r="C862" s="45"/>
      <c r="D862" s="45"/>
      <c r="E862" s="45"/>
      <c r="F862" s="45"/>
      <c r="G862" s="45"/>
      <c r="H862" s="45"/>
      <c r="I862" s="45"/>
      <c r="J862" s="45"/>
      <c r="K862" s="45"/>
      <c r="L862" s="45"/>
      <c r="N862" s="46"/>
      <c r="P862" s="47"/>
      <c r="Q862" s="47"/>
      <c r="R862" s="47"/>
      <c r="V862" s="45"/>
    </row>
    <row r="863" spans="3:22" ht="14.25" customHeight="1">
      <c r="C863" s="45"/>
      <c r="D863" s="45"/>
      <c r="E863" s="45"/>
      <c r="F863" s="45"/>
      <c r="G863" s="45"/>
      <c r="H863" s="45"/>
      <c r="I863" s="45"/>
      <c r="J863" s="45"/>
      <c r="K863" s="45"/>
      <c r="L863" s="45"/>
      <c r="N863" s="46"/>
      <c r="P863" s="47"/>
      <c r="Q863" s="47"/>
      <c r="R863" s="47"/>
      <c r="V863" s="45"/>
    </row>
    <row r="864" spans="3:22" ht="14.25" customHeight="1">
      <c r="C864" s="45"/>
      <c r="D864" s="45"/>
      <c r="E864" s="45"/>
      <c r="F864" s="45"/>
      <c r="G864" s="45"/>
      <c r="H864" s="45"/>
      <c r="I864" s="45"/>
      <c r="J864" s="45"/>
      <c r="K864" s="45"/>
      <c r="L864" s="45"/>
      <c r="N864" s="46"/>
      <c r="P864" s="47"/>
      <c r="Q864" s="47"/>
      <c r="R864" s="47"/>
      <c r="V864" s="45"/>
    </row>
    <row r="865" spans="3:22" ht="14.25" customHeight="1">
      <c r="C865" s="45"/>
      <c r="D865" s="45"/>
      <c r="E865" s="45"/>
      <c r="F865" s="45"/>
      <c r="G865" s="45"/>
      <c r="H865" s="45"/>
      <c r="I865" s="45"/>
      <c r="J865" s="45"/>
      <c r="K865" s="45"/>
      <c r="L865" s="45"/>
      <c r="N865" s="46"/>
      <c r="P865" s="47"/>
      <c r="Q865" s="47"/>
      <c r="R865" s="47"/>
      <c r="V865" s="45"/>
    </row>
    <row r="866" spans="3:22" ht="14.25" customHeight="1">
      <c r="C866" s="45"/>
      <c r="D866" s="45"/>
      <c r="E866" s="45"/>
      <c r="F866" s="45"/>
      <c r="G866" s="45"/>
      <c r="H866" s="45"/>
      <c r="I866" s="45"/>
      <c r="J866" s="45"/>
      <c r="K866" s="45"/>
      <c r="L866" s="45"/>
      <c r="N866" s="46"/>
      <c r="P866" s="47"/>
      <c r="Q866" s="47"/>
      <c r="R866" s="47"/>
      <c r="V866" s="45"/>
    </row>
    <row r="867" spans="3:22" ht="14.25" customHeight="1">
      <c r="C867" s="45"/>
      <c r="D867" s="45"/>
      <c r="E867" s="45"/>
      <c r="F867" s="45"/>
      <c r="G867" s="45"/>
      <c r="H867" s="45"/>
      <c r="I867" s="45"/>
      <c r="J867" s="45"/>
      <c r="K867" s="45"/>
      <c r="L867" s="45"/>
      <c r="N867" s="46"/>
      <c r="P867" s="47"/>
      <c r="Q867" s="47"/>
      <c r="R867" s="47"/>
      <c r="V867" s="45"/>
    </row>
    <row r="868" spans="3:22" ht="14.25" customHeight="1">
      <c r="C868" s="45"/>
      <c r="D868" s="45"/>
      <c r="E868" s="45"/>
      <c r="F868" s="45"/>
      <c r="G868" s="45"/>
      <c r="H868" s="45"/>
      <c r="I868" s="45"/>
      <c r="J868" s="45"/>
      <c r="K868" s="45"/>
      <c r="L868" s="45"/>
      <c r="N868" s="46"/>
      <c r="P868" s="47"/>
      <c r="Q868" s="47"/>
      <c r="R868" s="47"/>
      <c r="V868" s="45"/>
    </row>
    <row r="869" spans="3:22" ht="14.25" customHeight="1">
      <c r="C869" s="45"/>
      <c r="D869" s="45"/>
      <c r="E869" s="45"/>
      <c r="F869" s="45"/>
      <c r="G869" s="45"/>
      <c r="H869" s="45"/>
      <c r="I869" s="45"/>
      <c r="J869" s="45"/>
      <c r="K869" s="45"/>
      <c r="L869" s="45"/>
      <c r="N869" s="46"/>
      <c r="P869" s="47"/>
      <c r="Q869" s="47"/>
      <c r="R869" s="47"/>
      <c r="V869" s="45"/>
    </row>
    <row r="870" spans="3:22" ht="14.25" customHeight="1">
      <c r="C870" s="45"/>
      <c r="D870" s="45"/>
      <c r="E870" s="45"/>
      <c r="F870" s="45"/>
      <c r="G870" s="45"/>
      <c r="H870" s="45"/>
      <c r="I870" s="45"/>
      <c r="J870" s="45"/>
      <c r="K870" s="45"/>
      <c r="L870" s="45"/>
      <c r="N870" s="46"/>
      <c r="P870" s="47"/>
      <c r="Q870" s="47"/>
      <c r="R870" s="47"/>
      <c r="V870" s="45"/>
    </row>
    <row r="871" spans="3:22" ht="14.25" customHeight="1">
      <c r="C871" s="45"/>
      <c r="D871" s="45"/>
      <c r="E871" s="45"/>
      <c r="F871" s="45"/>
      <c r="G871" s="45"/>
      <c r="H871" s="45"/>
      <c r="I871" s="45"/>
      <c r="J871" s="45"/>
      <c r="K871" s="45"/>
      <c r="L871" s="45"/>
      <c r="N871" s="46"/>
      <c r="P871" s="47"/>
      <c r="Q871" s="47"/>
      <c r="R871" s="47"/>
      <c r="V871" s="45"/>
    </row>
    <row r="872" spans="3:22" ht="14.25" customHeight="1">
      <c r="C872" s="45"/>
      <c r="D872" s="45"/>
      <c r="E872" s="45"/>
      <c r="F872" s="45"/>
      <c r="G872" s="45"/>
      <c r="H872" s="45"/>
      <c r="I872" s="45"/>
      <c r="J872" s="45"/>
      <c r="K872" s="45"/>
      <c r="L872" s="45"/>
      <c r="N872" s="46"/>
      <c r="P872" s="47"/>
      <c r="Q872" s="47"/>
      <c r="R872" s="47"/>
      <c r="V872" s="45"/>
    </row>
    <row r="873" spans="3:22" ht="14.25" customHeight="1">
      <c r="C873" s="45"/>
      <c r="D873" s="45"/>
      <c r="E873" s="45"/>
      <c r="F873" s="45"/>
      <c r="G873" s="45"/>
      <c r="H873" s="45"/>
      <c r="I873" s="45"/>
      <c r="J873" s="45"/>
      <c r="K873" s="45"/>
      <c r="L873" s="45"/>
      <c r="N873" s="46"/>
      <c r="P873" s="47"/>
      <c r="Q873" s="47"/>
      <c r="R873" s="47"/>
      <c r="V873" s="45"/>
    </row>
    <row r="874" spans="3:22" ht="14.25" customHeight="1">
      <c r="C874" s="45"/>
      <c r="D874" s="45"/>
      <c r="E874" s="45"/>
      <c r="F874" s="45"/>
      <c r="G874" s="45"/>
      <c r="H874" s="45"/>
      <c r="I874" s="45"/>
      <c r="J874" s="45"/>
      <c r="K874" s="45"/>
      <c r="L874" s="45"/>
      <c r="N874" s="46"/>
      <c r="P874" s="47"/>
      <c r="Q874" s="47"/>
      <c r="R874" s="47"/>
      <c r="V874" s="45"/>
    </row>
    <row r="875" spans="3:22" ht="14.25" customHeight="1">
      <c r="C875" s="45"/>
      <c r="D875" s="45"/>
      <c r="E875" s="45"/>
      <c r="F875" s="45"/>
      <c r="G875" s="45"/>
      <c r="H875" s="45"/>
      <c r="I875" s="45"/>
      <c r="J875" s="45"/>
      <c r="K875" s="45"/>
      <c r="L875" s="45"/>
      <c r="N875" s="46"/>
      <c r="P875" s="47"/>
      <c r="Q875" s="47"/>
      <c r="R875" s="47"/>
      <c r="V875" s="45"/>
    </row>
    <row r="876" spans="3:22" ht="14.25" customHeight="1">
      <c r="C876" s="45"/>
      <c r="D876" s="45"/>
      <c r="E876" s="45"/>
      <c r="F876" s="45"/>
      <c r="G876" s="45"/>
      <c r="H876" s="45"/>
      <c r="I876" s="45"/>
      <c r="J876" s="45"/>
      <c r="K876" s="45"/>
      <c r="L876" s="45"/>
      <c r="N876" s="46"/>
      <c r="P876" s="47"/>
      <c r="Q876" s="47"/>
      <c r="R876" s="47"/>
      <c r="V876" s="45"/>
    </row>
    <row r="877" spans="3:22" ht="14.25" customHeight="1">
      <c r="C877" s="45"/>
      <c r="D877" s="45"/>
      <c r="E877" s="45"/>
      <c r="F877" s="45"/>
      <c r="G877" s="45"/>
      <c r="H877" s="45"/>
      <c r="I877" s="45"/>
      <c r="J877" s="45"/>
      <c r="K877" s="45"/>
      <c r="L877" s="45"/>
      <c r="N877" s="46"/>
      <c r="P877" s="47"/>
      <c r="Q877" s="47"/>
      <c r="R877" s="47"/>
      <c r="V877" s="45"/>
    </row>
    <row r="878" spans="3:22" ht="14.25" customHeight="1">
      <c r="C878" s="45"/>
      <c r="D878" s="45"/>
      <c r="E878" s="45"/>
      <c r="F878" s="45"/>
      <c r="G878" s="45"/>
      <c r="H878" s="45"/>
      <c r="I878" s="45"/>
      <c r="J878" s="45"/>
      <c r="K878" s="45"/>
      <c r="L878" s="45"/>
      <c r="N878" s="46"/>
      <c r="P878" s="47"/>
      <c r="Q878" s="47"/>
      <c r="R878" s="47"/>
      <c r="V878" s="45"/>
    </row>
    <row r="879" spans="3:22" ht="14.25" customHeight="1">
      <c r="C879" s="45"/>
      <c r="D879" s="45"/>
      <c r="E879" s="45"/>
      <c r="F879" s="45"/>
      <c r="G879" s="45"/>
      <c r="H879" s="45"/>
      <c r="I879" s="45"/>
      <c r="J879" s="45"/>
      <c r="K879" s="45"/>
      <c r="L879" s="45"/>
      <c r="N879" s="46"/>
      <c r="P879" s="47"/>
      <c r="Q879" s="47"/>
      <c r="R879" s="47"/>
      <c r="V879" s="45"/>
    </row>
    <row r="880" spans="3:22" ht="14.25" customHeight="1">
      <c r="C880" s="45"/>
      <c r="D880" s="45"/>
      <c r="E880" s="45"/>
      <c r="F880" s="45"/>
      <c r="G880" s="45"/>
      <c r="H880" s="45"/>
      <c r="I880" s="45"/>
      <c r="J880" s="45"/>
      <c r="K880" s="45"/>
      <c r="L880" s="45"/>
      <c r="N880" s="46"/>
      <c r="P880" s="47"/>
      <c r="Q880" s="47"/>
      <c r="R880" s="47"/>
      <c r="V880" s="45"/>
    </row>
    <row r="881" spans="3:22" ht="14.25" customHeight="1">
      <c r="C881" s="45"/>
      <c r="D881" s="45"/>
      <c r="E881" s="45"/>
      <c r="F881" s="45"/>
      <c r="G881" s="45"/>
      <c r="H881" s="45"/>
      <c r="I881" s="45"/>
      <c r="J881" s="45"/>
      <c r="K881" s="45"/>
      <c r="L881" s="45"/>
      <c r="N881" s="46"/>
      <c r="P881" s="47"/>
      <c r="Q881" s="47"/>
      <c r="R881" s="47"/>
      <c r="V881" s="45"/>
    </row>
    <row r="882" spans="3:22" ht="14.25" customHeight="1">
      <c r="C882" s="45"/>
      <c r="D882" s="45"/>
      <c r="E882" s="45"/>
      <c r="F882" s="45"/>
      <c r="G882" s="45"/>
      <c r="H882" s="45"/>
      <c r="I882" s="45"/>
      <c r="J882" s="45"/>
      <c r="K882" s="45"/>
      <c r="L882" s="45"/>
      <c r="N882" s="46"/>
      <c r="P882" s="47"/>
      <c r="Q882" s="47"/>
      <c r="R882" s="47"/>
      <c r="V882" s="45"/>
    </row>
    <row r="883" spans="3:22" ht="14.25" customHeight="1">
      <c r="C883" s="45"/>
      <c r="D883" s="45"/>
      <c r="E883" s="45"/>
      <c r="F883" s="45"/>
      <c r="G883" s="45"/>
      <c r="H883" s="45"/>
      <c r="I883" s="45"/>
      <c r="J883" s="45"/>
      <c r="K883" s="45"/>
      <c r="L883" s="45"/>
      <c r="N883" s="46"/>
      <c r="P883" s="47"/>
      <c r="Q883" s="47"/>
      <c r="R883" s="47"/>
      <c r="V883" s="45"/>
    </row>
    <row r="884" spans="3:22" ht="14.25" customHeight="1">
      <c r="C884" s="45"/>
      <c r="D884" s="45"/>
      <c r="E884" s="45"/>
      <c r="F884" s="45"/>
      <c r="G884" s="45"/>
      <c r="H884" s="45"/>
      <c r="I884" s="45"/>
      <c r="J884" s="45"/>
      <c r="K884" s="45"/>
      <c r="L884" s="45"/>
      <c r="N884" s="46"/>
      <c r="P884" s="47"/>
      <c r="Q884" s="47"/>
      <c r="R884" s="47"/>
      <c r="V884" s="45"/>
    </row>
    <row r="885" spans="3:22" ht="14.25" customHeight="1">
      <c r="C885" s="45"/>
      <c r="D885" s="45"/>
      <c r="E885" s="45"/>
      <c r="F885" s="45"/>
      <c r="G885" s="45"/>
      <c r="H885" s="45"/>
      <c r="I885" s="45"/>
      <c r="J885" s="45"/>
      <c r="K885" s="45"/>
      <c r="L885" s="45"/>
      <c r="N885" s="46"/>
      <c r="P885" s="47"/>
      <c r="Q885" s="47"/>
      <c r="R885" s="47"/>
      <c r="V885" s="45"/>
    </row>
    <row r="886" spans="3:22" ht="14.25" customHeight="1">
      <c r="C886" s="45"/>
      <c r="D886" s="45"/>
      <c r="E886" s="45"/>
      <c r="F886" s="45"/>
      <c r="G886" s="45"/>
      <c r="H886" s="45"/>
      <c r="I886" s="45"/>
      <c r="J886" s="45"/>
      <c r="K886" s="45"/>
      <c r="L886" s="45"/>
      <c r="N886" s="46"/>
      <c r="P886" s="47"/>
      <c r="Q886" s="47"/>
      <c r="R886" s="47"/>
      <c r="V886" s="45"/>
    </row>
    <row r="887" spans="3:22" ht="14.25" customHeight="1">
      <c r="C887" s="45"/>
      <c r="D887" s="45"/>
      <c r="E887" s="45"/>
      <c r="F887" s="45"/>
      <c r="G887" s="45"/>
      <c r="H887" s="45"/>
      <c r="I887" s="45"/>
      <c r="J887" s="45"/>
      <c r="K887" s="45"/>
      <c r="L887" s="45"/>
      <c r="N887" s="46"/>
      <c r="P887" s="47"/>
      <c r="Q887" s="47"/>
      <c r="R887" s="47"/>
      <c r="V887" s="45"/>
    </row>
    <row r="888" spans="3:22" ht="14.25" customHeight="1">
      <c r="C888" s="45"/>
      <c r="D888" s="45"/>
      <c r="E888" s="45"/>
      <c r="F888" s="45"/>
      <c r="G888" s="45"/>
      <c r="H888" s="45"/>
      <c r="I888" s="45"/>
      <c r="J888" s="45"/>
      <c r="K888" s="45"/>
      <c r="L888" s="45"/>
      <c r="N888" s="46"/>
      <c r="P888" s="47"/>
      <c r="Q888" s="47"/>
      <c r="R888" s="47"/>
      <c r="V888" s="45"/>
    </row>
    <row r="889" spans="3:22" ht="14.25" customHeight="1">
      <c r="C889" s="45"/>
      <c r="D889" s="45"/>
      <c r="E889" s="45"/>
      <c r="F889" s="45"/>
      <c r="G889" s="45"/>
      <c r="H889" s="45"/>
      <c r="I889" s="45"/>
      <c r="J889" s="45"/>
      <c r="K889" s="45"/>
      <c r="L889" s="45"/>
      <c r="N889" s="46"/>
      <c r="P889" s="47"/>
      <c r="Q889" s="47"/>
      <c r="R889" s="47"/>
      <c r="V889" s="45"/>
    </row>
    <row r="890" spans="3:22" ht="14.25" customHeight="1">
      <c r="C890" s="45"/>
      <c r="D890" s="45"/>
      <c r="E890" s="45"/>
      <c r="F890" s="45"/>
      <c r="G890" s="45"/>
      <c r="H890" s="45"/>
      <c r="I890" s="45"/>
      <c r="J890" s="45"/>
      <c r="K890" s="45"/>
      <c r="L890" s="45"/>
      <c r="N890" s="46"/>
      <c r="P890" s="47"/>
      <c r="Q890" s="47"/>
      <c r="R890" s="47"/>
      <c r="V890" s="45"/>
    </row>
    <row r="891" spans="3:22" ht="14.25" customHeight="1">
      <c r="C891" s="45"/>
      <c r="D891" s="45"/>
      <c r="E891" s="45"/>
      <c r="F891" s="45"/>
      <c r="G891" s="45"/>
      <c r="H891" s="45"/>
      <c r="I891" s="45"/>
      <c r="J891" s="45"/>
      <c r="K891" s="45"/>
      <c r="L891" s="45"/>
      <c r="N891" s="46"/>
      <c r="P891" s="47"/>
      <c r="Q891" s="47"/>
      <c r="R891" s="47"/>
      <c r="V891" s="45"/>
    </row>
    <row r="892" spans="3:22" ht="14.25" customHeight="1">
      <c r="C892" s="45"/>
      <c r="D892" s="45"/>
      <c r="E892" s="45"/>
      <c r="F892" s="45"/>
      <c r="G892" s="45"/>
      <c r="H892" s="45"/>
      <c r="I892" s="45"/>
      <c r="J892" s="45"/>
      <c r="K892" s="45"/>
      <c r="L892" s="45"/>
      <c r="N892" s="46"/>
      <c r="P892" s="47"/>
      <c r="Q892" s="47"/>
      <c r="R892" s="47"/>
      <c r="V892" s="45"/>
    </row>
    <row r="893" spans="3:22" ht="14.25" customHeight="1">
      <c r="C893" s="45"/>
      <c r="D893" s="45"/>
      <c r="E893" s="45"/>
      <c r="F893" s="45"/>
      <c r="G893" s="45"/>
      <c r="H893" s="45"/>
      <c r="I893" s="45"/>
      <c r="J893" s="45"/>
      <c r="K893" s="45"/>
      <c r="L893" s="45"/>
      <c r="N893" s="46"/>
      <c r="P893" s="47"/>
      <c r="Q893" s="47"/>
      <c r="R893" s="47"/>
      <c r="V893" s="45"/>
    </row>
    <row r="894" spans="3:22" ht="14.25" customHeight="1">
      <c r="C894" s="45"/>
      <c r="D894" s="45"/>
      <c r="E894" s="45"/>
      <c r="F894" s="45"/>
      <c r="G894" s="45"/>
      <c r="H894" s="45"/>
      <c r="I894" s="45"/>
      <c r="J894" s="45"/>
      <c r="K894" s="45"/>
      <c r="L894" s="45"/>
      <c r="N894" s="46"/>
      <c r="P894" s="47"/>
      <c r="Q894" s="47"/>
      <c r="R894" s="47"/>
      <c r="V894" s="45"/>
    </row>
    <row r="895" spans="3:22" ht="14.25" customHeight="1">
      <c r="C895" s="45"/>
      <c r="D895" s="45"/>
      <c r="E895" s="45"/>
      <c r="F895" s="45"/>
      <c r="G895" s="45"/>
      <c r="H895" s="45"/>
      <c r="I895" s="45"/>
      <c r="J895" s="45"/>
      <c r="K895" s="45"/>
      <c r="L895" s="45"/>
      <c r="N895" s="46"/>
      <c r="P895" s="47"/>
      <c r="Q895" s="47"/>
      <c r="R895" s="47"/>
      <c r="V895" s="45"/>
    </row>
    <row r="896" spans="3:22" ht="14.25" customHeight="1">
      <c r="C896" s="45"/>
      <c r="D896" s="45"/>
      <c r="E896" s="45"/>
      <c r="F896" s="45"/>
      <c r="G896" s="45"/>
      <c r="H896" s="45"/>
      <c r="I896" s="45"/>
      <c r="J896" s="45"/>
      <c r="K896" s="45"/>
      <c r="L896" s="45"/>
      <c r="N896" s="46"/>
      <c r="P896" s="47"/>
      <c r="Q896" s="47"/>
      <c r="R896" s="47"/>
      <c r="V896" s="45"/>
    </row>
    <row r="897" spans="3:22" ht="14.25" customHeight="1">
      <c r="C897" s="45"/>
      <c r="D897" s="45"/>
      <c r="E897" s="45"/>
      <c r="F897" s="45"/>
      <c r="G897" s="45"/>
      <c r="H897" s="45"/>
      <c r="I897" s="45"/>
      <c r="J897" s="45"/>
      <c r="K897" s="45"/>
      <c r="L897" s="45"/>
      <c r="N897" s="46"/>
      <c r="P897" s="47"/>
      <c r="Q897" s="47"/>
      <c r="R897" s="47"/>
      <c r="V897" s="45"/>
    </row>
    <row r="898" spans="3:22" ht="14.25" customHeight="1">
      <c r="C898" s="45"/>
      <c r="D898" s="45"/>
      <c r="E898" s="45"/>
      <c r="F898" s="45"/>
      <c r="G898" s="45"/>
      <c r="H898" s="45"/>
      <c r="I898" s="45"/>
      <c r="J898" s="45"/>
      <c r="K898" s="45"/>
      <c r="L898" s="45"/>
      <c r="N898" s="46"/>
      <c r="P898" s="47"/>
      <c r="Q898" s="47"/>
      <c r="R898" s="47"/>
      <c r="V898" s="45"/>
    </row>
    <row r="899" spans="3:22" ht="14.25" customHeight="1">
      <c r="C899" s="45"/>
      <c r="D899" s="45"/>
      <c r="E899" s="45"/>
      <c r="F899" s="45"/>
      <c r="G899" s="45"/>
      <c r="H899" s="45"/>
      <c r="I899" s="45"/>
      <c r="J899" s="45"/>
      <c r="K899" s="45"/>
      <c r="L899" s="45"/>
      <c r="N899" s="46"/>
      <c r="P899" s="47"/>
      <c r="Q899" s="47"/>
      <c r="R899" s="47"/>
      <c r="V899" s="45"/>
    </row>
    <row r="900" spans="3:22" ht="14.25" customHeight="1">
      <c r="C900" s="45"/>
      <c r="D900" s="45"/>
      <c r="E900" s="45"/>
      <c r="F900" s="45"/>
      <c r="G900" s="45"/>
      <c r="H900" s="45"/>
      <c r="I900" s="45"/>
      <c r="J900" s="45"/>
      <c r="K900" s="45"/>
      <c r="L900" s="45"/>
      <c r="N900" s="46"/>
      <c r="P900" s="47"/>
      <c r="Q900" s="47"/>
      <c r="R900" s="47"/>
      <c r="V900" s="45"/>
    </row>
    <row r="901" spans="3:22" ht="14.25" customHeight="1">
      <c r="C901" s="45"/>
      <c r="D901" s="45"/>
      <c r="E901" s="45"/>
      <c r="F901" s="45"/>
      <c r="G901" s="45"/>
      <c r="H901" s="45"/>
      <c r="I901" s="45"/>
      <c r="J901" s="45"/>
      <c r="K901" s="45"/>
      <c r="L901" s="45"/>
      <c r="N901" s="46"/>
      <c r="P901" s="47"/>
      <c r="Q901" s="47"/>
      <c r="R901" s="47"/>
      <c r="V901" s="45"/>
    </row>
    <row r="902" spans="3:22" ht="14.25" customHeight="1">
      <c r="C902" s="45"/>
      <c r="D902" s="45"/>
      <c r="E902" s="45"/>
      <c r="F902" s="45"/>
      <c r="G902" s="45"/>
      <c r="H902" s="45"/>
      <c r="I902" s="45"/>
      <c r="J902" s="45"/>
      <c r="K902" s="45"/>
      <c r="L902" s="45"/>
      <c r="N902" s="46"/>
      <c r="P902" s="47"/>
      <c r="Q902" s="47"/>
      <c r="R902" s="47"/>
      <c r="V902" s="45"/>
    </row>
    <row r="903" spans="3:22" ht="14.25" customHeight="1">
      <c r="C903" s="45"/>
      <c r="D903" s="45"/>
      <c r="E903" s="45"/>
      <c r="F903" s="45"/>
      <c r="G903" s="45"/>
      <c r="H903" s="45"/>
      <c r="I903" s="45"/>
      <c r="J903" s="45"/>
      <c r="K903" s="45"/>
      <c r="L903" s="45"/>
      <c r="N903" s="46"/>
      <c r="P903" s="47"/>
      <c r="Q903" s="47"/>
      <c r="R903" s="47"/>
      <c r="V903" s="45"/>
    </row>
    <row r="904" spans="3:22" ht="14.25" customHeight="1">
      <c r="C904" s="45"/>
      <c r="D904" s="45"/>
      <c r="E904" s="45"/>
      <c r="F904" s="45"/>
      <c r="G904" s="45"/>
      <c r="H904" s="45"/>
      <c r="I904" s="45"/>
      <c r="J904" s="45"/>
      <c r="K904" s="45"/>
      <c r="L904" s="45"/>
      <c r="N904" s="46"/>
      <c r="P904" s="47"/>
      <c r="Q904" s="47"/>
      <c r="R904" s="47"/>
      <c r="V904" s="45"/>
    </row>
    <row r="905" spans="3:22" ht="14.25" customHeight="1">
      <c r="C905" s="45"/>
      <c r="D905" s="45"/>
      <c r="E905" s="45"/>
      <c r="F905" s="45"/>
      <c r="G905" s="45"/>
      <c r="H905" s="45"/>
      <c r="I905" s="45"/>
      <c r="J905" s="45"/>
      <c r="K905" s="45"/>
      <c r="L905" s="45"/>
      <c r="N905" s="46"/>
      <c r="P905" s="47"/>
      <c r="Q905" s="47"/>
      <c r="R905" s="47"/>
      <c r="V905" s="45"/>
    </row>
    <row r="906" spans="3:22" ht="14.25" customHeight="1">
      <c r="C906" s="45"/>
      <c r="D906" s="45"/>
      <c r="E906" s="45"/>
      <c r="F906" s="45"/>
      <c r="G906" s="45"/>
      <c r="H906" s="45"/>
      <c r="I906" s="45"/>
      <c r="J906" s="45"/>
      <c r="K906" s="45"/>
      <c r="L906" s="45"/>
      <c r="N906" s="46"/>
      <c r="P906" s="47"/>
      <c r="Q906" s="47"/>
      <c r="R906" s="47"/>
      <c r="V906" s="45"/>
    </row>
    <row r="907" spans="3:22" ht="14.25" customHeight="1">
      <c r="C907" s="45"/>
      <c r="D907" s="45"/>
      <c r="E907" s="45"/>
      <c r="F907" s="45"/>
      <c r="G907" s="45"/>
      <c r="H907" s="45"/>
      <c r="I907" s="45"/>
      <c r="J907" s="45"/>
      <c r="K907" s="45"/>
      <c r="L907" s="45"/>
      <c r="N907" s="46"/>
      <c r="P907" s="47"/>
      <c r="Q907" s="47"/>
      <c r="R907" s="47"/>
      <c r="V907" s="45"/>
    </row>
    <row r="908" spans="3:22" ht="14.25" customHeight="1">
      <c r="C908" s="45"/>
      <c r="D908" s="45"/>
      <c r="E908" s="45"/>
      <c r="F908" s="45"/>
      <c r="G908" s="45"/>
      <c r="H908" s="45"/>
      <c r="I908" s="45"/>
      <c r="J908" s="45"/>
      <c r="K908" s="45"/>
      <c r="L908" s="45"/>
      <c r="N908" s="46"/>
      <c r="P908" s="47"/>
      <c r="Q908" s="47"/>
      <c r="R908" s="47"/>
      <c r="V908" s="45"/>
    </row>
    <row r="909" spans="3:22" ht="14.25" customHeight="1">
      <c r="C909" s="45"/>
      <c r="D909" s="45"/>
      <c r="E909" s="45"/>
      <c r="F909" s="45"/>
      <c r="G909" s="45"/>
      <c r="H909" s="45"/>
      <c r="I909" s="45"/>
      <c r="J909" s="45"/>
      <c r="K909" s="45"/>
      <c r="L909" s="45"/>
      <c r="N909" s="46"/>
      <c r="P909" s="47"/>
      <c r="Q909" s="47"/>
      <c r="R909" s="47"/>
      <c r="V909" s="45"/>
    </row>
    <row r="910" spans="3:22" ht="14.25" customHeight="1">
      <c r="C910" s="45"/>
      <c r="D910" s="45"/>
      <c r="E910" s="45"/>
      <c r="F910" s="45"/>
      <c r="G910" s="45"/>
      <c r="H910" s="45"/>
      <c r="I910" s="45"/>
      <c r="J910" s="45"/>
      <c r="K910" s="45"/>
      <c r="L910" s="45"/>
      <c r="N910" s="46"/>
      <c r="P910" s="47"/>
      <c r="Q910" s="47"/>
      <c r="R910" s="47"/>
      <c r="V910" s="45"/>
    </row>
    <row r="911" spans="3:22" ht="14.25" customHeight="1">
      <c r="C911" s="45"/>
      <c r="D911" s="45"/>
      <c r="E911" s="45"/>
      <c r="F911" s="45"/>
      <c r="G911" s="45"/>
      <c r="H911" s="45"/>
      <c r="I911" s="45"/>
      <c r="J911" s="45"/>
      <c r="K911" s="45"/>
      <c r="L911" s="45"/>
      <c r="N911" s="46"/>
      <c r="P911" s="47"/>
      <c r="Q911" s="47"/>
      <c r="R911" s="47"/>
      <c r="V911" s="45"/>
    </row>
    <row r="912" spans="3:22" ht="14.25" customHeight="1">
      <c r="C912" s="45"/>
      <c r="D912" s="45"/>
      <c r="E912" s="45"/>
      <c r="F912" s="45"/>
      <c r="G912" s="45"/>
      <c r="H912" s="45"/>
      <c r="I912" s="45"/>
      <c r="J912" s="45"/>
      <c r="K912" s="45"/>
      <c r="L912" s="45"/>
      <c r="N912" s="46"/>
      <c r="P912" s="47"/>
      <c r="Q912" s="47"/>
      <c r="R912" s="47"/>
      <c r="V912" s="45"/>
    </row>
    <row r="913" spans="3:22" ht="14.25" customHeight="1">
      <c r="C913" s="45"/>
      <c r="D913" s="45"/>
      <c r="E913" s="45"/>
      <c r="F913" s="45"/>
      <c r="G913" s="45"/>
      <c r="H913" s="45"/>
      <c r="I913" s="45"/>
      <c r="J913" s="45"/>
      <c r="K913" s="45"/>
      <c r="L913" s="45"/>
      <c r="N913" s="46"/>
      <c r="P913" s="47"/>
      <c r="Q913" s="47"/>
      <c r="R913" s="47"/>
      <c r="V913" s="45"/>
    </row>
    <row r="914" spans="3:22" ht="14.25" customHeight="1">
      <c r="C914" s="45"/>
      <c r="D914" s="45"/>
      <c r="E914" s="45"/>
      <c r="F914" s="45"/>
      <c r="G914" s="45"/>
      <c r="H914" s="45"/>
      <c r="I914" s="45"/>
      <c r="J914" s="45"/>
      <c r="K914" s="45"/>
      <c r="L914" s="45"/>
      <c r="N914" s="46"/>
      <c r="P914" s="47"/>
      <c r="Q914" s="47"/>
      <c r="R914" s="47"/>
      <c r="V914" s="45"/>
    </row>
    <row r="915" spans="3:22" ht="14.25" customHeight="1">
      <c r="C915" s="45"/>
      <c r="D915" s="45"/>
      <c r="E915" s="45"/>
      <c r="F915" s="45"/>
      <c r="G915" s="45"/>
      <c r="H915" s="45"/>
      <c r="I915" s="45"/>
      <c r="J915" s="45"/>
      <c r="K915" s="45"/>
      <c r="L915" s="45"/>
      <c r="N915" s="46"/>
      <c r="P915" s="47"/>
      <c r="Q915" s="47"/>
      <c r="R915" s="47"/>
      <c r="V915" s="45"/>
    </row>
    <row r="916" spans="3:22" ht="14.25" customHeight="1">
      <c r="C916" s="45"/>
      <c r="D916" s="45"/>
      <c r="E916" s="45"/>
      <c r="F916" s="45"/>
      <c r="G916" s="45"/>
      <c r="H916" s="45"/>
      <c r="I916" s="45"/>
      <c r="J916" s="45"/>
      <c r="K916" s="45"/>
      <c r="L916" s="45"/>
      <c r="N916" s="46"/>
      <c r="P916" s="47"/>
      <c r="Q916" s="47"/>
      <c r="R916" s="47"/>
      <c r="V916" s="45"/>
    </row>
    <row r="917" spans="3:22" ht="14.25" customHeight="1">
      <c r="C917" s="45"/>
      <c r="D917" s="45"/>
      <c r="E917" s="45"/>
      <c r="F917" s="45"/>
      <c r="G917" s="45"/>
      <c r="H917" s="45"/>
      <c r="I917" s="45"/>
      <c r="J917" s="45"/>
      <c r="K917" s="45"/>
      <c r="L917" s="45"/>
      <c r="N917" s="46"/>
      <c r="P917" s="47"/>
      <c r="Q917" s="47"/>
      <c r="R917" s="47"/>
      <c r="V917" s="45"/>
    </row>
    <row r="918" spans="3:22" ht="14.25" customHeight="1">
      <c r="C918" s="45"/>
      <c r="D918" s="45"/>
      <c r="E918" s="45"/>
      <c r="F918" s="45"/>
      <c r="G918" s="45"/>
      <c r="H918" s="45"/>
      <c r="I918" s="45"/>
      <c r="J918" s="45"/>
      <c r="K918" s="45"/>
      <c r="L918" s="45"/>
      <c r="N918" s="46"/>
      <c r="P918" s="47"/>
      <c r="Q918" s="47"/>
      <c r="R918" s="47"/>
      <c r="V918" s="45"/>
    </row>
    <row r="919" spans="3:22" ht="14.25" customHeight="1">
      <c r="C919" s="45"/>
      <c r="D919" s="45"/>
      <c r="E919" s="45"/>
      <c r="F919" s="45"/>
      <c r="G919" s="45"/>
      <c r="H919" s="45"/>
      <c r="I919" s="45"/>
      <c r="J919" s="45"/>
      <c r="K919" s="45"/>
      <c r="L919" s="45"/>
      <c r="N919" s="46"/>
      <c r="P919" s="47"/>
      <c r="Q919" s="47"/>
      <c r="R919" s="47"/>
      <c r="V919" s="45"/>
    </row>
    <row r="920" spans="3:22" ht="14.25" customHeight="1">
      <c r="C920" s="45"/>
      <c r="D920" s="45"/>
      <c r="E920" s="45"/>
      <c r="F920" s="45"/>
      <c r="G920" s="45"/>
      <c r="H920" s="45"/>
      <c r="I920" s="45"/>
      <c r="J920" s="45"/>
      <c r="K920" s="45"/>
      <c r="L920" s="45"/>
      <c r="N920" s="46"/>
      <c r="P920" s="47"/>
      <c r="Q920" s="47"/>
      <c r="R920" s="47"/>
      <c r="V920" s="45"/>
    </row>
    <row r="921" spans="3:22" ht="14.25" customHeight="1">
      <c r="C921" s="45"/>
      <c r="D921" s="45"/>
      <c r="E921" s="45"/>
      <c r="F921" s="45"/>
      <c r="G921" s="45"/>
      <c r="H921" s="45"/>
      <c r="I921" s="45"/>
      <c r="J921" s="45"/>
      <c r="K921" s="45"/>
      <c r="L921" s="45"/>
      <c r="N921" s="46"/>
      <c r="P921" s="47"/>
      <c r="Q921" s="47"/>
      <c r="R921" s="47"/>
      <c r="V921" s="45"/>
    </row>
    <row r="922" spans="3:22" ht="14.25" customHeight="1">
      <c r="C922" s="45"/>
      <c r="D922" s="45"/>
      <c r="E922" s="45"/>
      <c r="F922" s="45"/>
      <c r="G922" s="45"/>
      <c r="H922" s="45"/>
      <c r="I922" s="45"/>
      <c r="J922" s="45"/>
      <c r="K922" s="45"/>
      <c r="L922" s="45"/>
      <c r="N922" s="46"/>
      <c r="P922" s="47"/>
      <c r="Q922" s="47"/>
      <c r="R922" s="47"/>
      <c r="V922" s="45"/>
    </row>
    <row r="923" spans="3:22" ht="14.25" customHeight="1">
      <c r="C923" s="45"/>
      <c r="D923" s="45"/>
      <c r="E923" s="45"/>
      <c r="F923" s="45"/>
      <c r="G923" s="45"/>
      <c r="H923" s="45"/>
      <c r="I923" s="45"/>
      <c r="J923" s="45"/>
      <c r="K923" s="45"/>
      <c r="L923" s="45"/>
      <c r="N923" s="46"/>
      <c r="P923" s="47"/>
      <c r="Q923" s="47"/>
      <c r="R923" s="47"/>
      <c r="V923" s="45"/>
    </row>
    <row r="924" spans="3:22" ht="14.25" customHeight="1">
      <c r="C924" s="45"/>
      <c r="D924" s="45"/>
      <c r="E924" s="45"/>
      <c r="F924" s="45"/>
      <c r="G924" s="45"/>
      <c r="H924" s="45"/>
      <c r="I924" s="45"/>
      <c r="J924" s="45"/>
      <c r="K924" s="45"/>
      <c r="L924" s="45"/>
      <c r="N924" s="46"/>
      <c r="P924" s="47"/>
      <c r="Q924" s="47"/>
      <c r="R924" s="47"/>
      <c r="V924" s="45"/>
    </row>
    <row r="925" spans="3:22" ht="14.25" customHeight="1">
      <c r="C925" s="45"/>
      <c r="D925" s="45"/>
      <c r="E925" s="45"/>
      <c r="F925" s="45"/>
      <c r="G925" s="45"/>
      <c r="H925" s="45"/>
      <c r="I925" s="45"/>
      <c r="J925" s="45"/>
      <c r="K925" s="45"/>
      <c r="L925" s="45"/>
      <c r="N925" s="46"/>
      <c r="P925" s="47"/>
      <c r="Q925" s="47"/>
      <c r="R925" s="47"/>
      <c r="V925" s="45"/>
    </row>
    <row r="926" spans="3:22" ht="14.25" customHeight="1">
      <c r="C926" s="45"/>
      <c r="D926" s="45"/>
      <c r="E926" s="45"/>
      <c r="F926" s="45"/>
      <c r="G926" s="45"/>
      <c r="H926" s="45"/>
      <c r="I926" s="45"/>
      <c r="J926" s="45"/>
      <c r="K926" s="45"/>
      <c r="L926" s="45"/>
      <c r="N926" s="46"/>
      <c r="P926" s="47"/>
      <c r="Q926" s="47"/>
      <c r="R926" s="47"/>
      <c r="V926" s="45"/>
    </row>
    <row r="927" spans="3:22" ht="14.25" customHeight="1">
      <c r="C927" s="45"/>
      <c r="D927" s="45"/>
      <c r="E927" s="45"/>
      <c r="F927" s="45"/>
      <c r="G927" s="45"/>
      <c r="H927" s="45"/>
      <c r="I927" s="45"/>
      <c r="J927" s="45"/>
      <c r="K927" s="45"/>
      <c r="L927" s="45"/>
      <c r="N927" s="46"/>
      <c r="P927" s="47"/>
      <c r="Q927" s="47"/>
      <c r="R927" s="47"/>
      <c r="V927" s="45"/>
    </row>
    <row r="928" spans="3:22" ht="14.25" customHeight="1">
      <c r="C928" s="45"/>
      <c r="D928" s="45"/>
      <c r="E928" s="45"/>
      <c r="F928" s="45"/>
      <c r="G928" s="45"/>
      <c r="H928" s="45"/>
      <c r="I928" s="45"/>
      <c r="J928" s="45"/>
      <c r="K928" s="45"/>
      <c r="L928" s="45"/>
      <c r="N928" s="46"/>
      <c r="P928" s="47"/>
      <c r="Q928" s="47"/>
      <c r="R928" s="47"/>
      <c r="V928" s="45"/>
    </row>
    <row r="929" spans="3:22" ht="14.25" customHeight="1">
      <c r="C929" s="45"/>
      <c r="D929" s="45"/>
      <c r="E929" s="45"/>
      <c r="F929" s="45"/>
      <c r="G929" s="45"/>
      <c r="H929" s="45"/>
      <c r="I929" s="45"/>
      <c r="J929" s="45"/>
      <c r="K929" s="45"/>
      <c r="L929" s="45"/>
      <c r="N929" s="46"/>
      <c r="P929" s="47"/>
      <c r="Q929" s="47"/>
      <c r="R929" s="47"/>
      <c r="V929" s="45"/>
    </row>
    <row r="930" spans="3:22" ht="14.25" customHeight="1">
      <c r="C930" s="45"/>
      <c r="D930" s="45"/>
      <c r="E930" s="45"/>
      <c r="F930" s="45"/>
      <c r="G930" s="45"/>
      <c r="H930" s="45"/>
      <c r="I930" s="45"/>
      <c r="J930" s="45"/>
      <c r="K930" s="45"/>
      <c r="L930" s="45"/>
      <c r="N930" s="46"/>
      <c r="P930" s="47"/>
      <c r="Q930" s="47"/>
      <c r="R930" s="47"/>
      <c r="V930" s="45"/>
    </row>
    <row r="931" spans="3:22" ht="14.25" customHeight="1">
      <c r="C931" s="45"/>
      <c r="D931" s="45"/>
      <c r="E931" s="45"/>
      <c r="F931" s="45"/>
      <c r="G931" s="45"/>
      <c r="H931" s="45"/>
      <c r="I931" s="45"/>
      <c r="J931" s="45"/>
      <c r="K931" s="45"/>
      <c r="L931" s="45"/>
      <c r="N931" s="46"/>
      <c r="P931" s="47"/>
      <c r="Q931" s="47"/>
      <c r="R931" s="47"/>
      <c r="V931" s="45"/>
    </row>
    <row r="932" spans="3:22" ht="14.25" customHeight="1">
      <c r="C932" s="45"/>
      <c r="D932" s="45"/>
      <c r="E932" s="45"/>
      <c r="F932" s="45"/>
      <c r="G932" s="45"/>
      <c r="H932" s="45"/>
      <c r="I932" s="45"/>
      <c r="J932" s="45"/>
      <c r="K932" s="45"/>
      <c r="L932" s="45"/>
      <c r="N932" s="46"/>
      <c r="P932" s="47"/>
      <c r="Q932" s="47"/>
      <c r="R932" s="47"/>
      <c r="V932" s="45"/>
    </row>
    <row r="933" spans="3:22" ht="14.25" customHeight="1">
      <c r="C933" s="45"/>
      <c r="D933" s="45"/>
      <c r="E933" s="45"/>
      <c r="F933" s="45"/>
      <c r="G933" s="45"/>
      <c r="H933" s="45"/>
      <c r="I933" s="45"/>
      <c r="J933" s="45"/>
      <c r="K933" s="45"/>
      <c r="L933" s="45"/>
      <c r="N933" s="46"/>
      <c r="P933" s="47"/>
      <c r="Q933" s="47"/>
      <c r="R933" s="47"/>
      <c r="V933" s="45"/>
    </row>
    <row r="934" spans="3:22" ht="14.25" customHeight="1">
      <c r="C934" s="45"/>
      <c r="D934" s="45"/>
      <c r="E934" s="45"/>
      <c r="F934" s="45"/>
      <c r="G934" s="45"/>
      <c r="H934" s="45"/>
      <c r="I934" s="45"/>
      <c r="J934" s="45"/>
      <c r="K934" s="45"/>
      <c r="L934" s="45"/>
      <c r="N934" s="46"/>
      <c r="P934" s="47"/>
      <c r="Q934" s="47"/>
      <c r="R934" s="47"/>
      <c r="V934" s="45"/>
    </row>
    <row r="935" spans="3:22" ht="14.25" customHeight="1">
      <c r="C935" s="45"/>
      <c r="D935" s="45"/>
      <c r="E935" s="45"/>
      <c r="F935" s="45"/>
      <c r="G935" s="45"/>
      <c r="H935" s="45"/>
      <c r="I935" s="45"/>
      <c r="J935" s="45"/>
      <c r="K935" s="45"/>
      <c r="L935" s="45"/>
      <c r="N935" s="46"/>
      <c r="P935" s="47"/>
      <c r="Q935" s="47"/>
      <c r="R935" s="47"/>
      <c r="V935" s="45"/>
    </row>
    <row r="936" spans="3:22" ht="14.25" customHeight="1">
      <c r="C936" s="45"/>
      <c r="D936" s="45"/>
      <c r="E936" s="45"/>
      <c r="F936" s="45"/>
      <c r="G936" s="45"/>
      <c r="H936" s="45"/>
      <c r="I936" s="45"/>
      <c r="J936" s="45"/>
      <c r="K936" s="45"/>
      <c r="L936" s="45"/>
      <c r="N936" s="46"/>
      <c r="P936" s="47"/>
      <c r="Q936" s="47"/>
      <c r="R936" s="47"/>
      <c r="V936" s="45"/>
    </row>
    <row r="937" spans="3:22" ht="14.25" customHeight="1">
      <c r="C937" s="45"/>
      <c r="D937" s="45"/>
      <c r="E937" s="45"/>
      <c r="F937" s="45"/>
      <c r="G937" s="45"/>
      <c r="H937" s="45"/>
      <c r="I937" s="45"/>
      <c r="J937" s="45"/>
      <c r="K937" s="45"/>
      <c r="L937" s="45"/>
      <c r="N937" s="46"/>
      <c r="P937" s="47"/>
      <c r="Q937" s="47"/>
      <c r="R937" s="47"/>
      <c r="V937" s="45"/>
    </row>
    <row r="938" spans="3:22" ht="14.25" customHeight="1">
      <c r="C938" s="45"/>
      <c r="D938" s="45"/>
      <c r="E938" s="45"/>
      <c r="F938" s="45"/>
      <c r="G938" s="45"/>
      <c r="H938" s="45"/>
      <c r="I938" s="45"/>
      <c r="J938" s="45"/>
      <c r="K938" s="45"/>
      <c r="L938" s="45"/>
      <c r="N938" s="46"/>
      <c r="P938" s="47"/>
      <c r="Q938" s="47"/>
      <c r="R938" s="47"/>
      <c r="V938" s="45"/>
    </row>
    <row r="939" spans="3:22" ht="14.25" customHeight="1">
      <c r="C939" s="45"/>
      <c r="D939" s="45"/>
      <c r="E939" s="45"/>
      <c r="F939" s="45"/>
      <c r="G939" s="45"/>
      <c r="H939" s="45"/>
      <c r="I939" s="45"/>
      <c r="J939" s="45"/>
      <c r="K939" s="45"/>
      <c r="L939" s="45"/>
      <c r="N939" s="46"/>
      <c r="P939" s="47"/>
      <c r="Q939" s="47"/>
      <c r="R939" s="47"/>
      <c r="V939" s="45"/>
    </row>
    <row r="940" spans="3:22" ht="14.25" customHeight="1">
      <c r="C940" s="45"/>
      <c r="D940" s="45"/>
      <c r="E940" s="45"/>
      <c r="F940" s="45"/>
      <c r="G940" s="45"/>
      <c r="H940" s="45"/>
      <c r="I940" s="45"/>
      <c r="J940" s="45"/>
      <c r="K940" s="45"/>
      <c r="L940" s="45"/>
      <c r="N940" s="46"/>
      <c r="P940" s="47"/>
      <c r="Q940" s="47"/>
      <c r="R940" s="47"/>
      <c r="V940" s="45"/>
    </row>
    <row r="941" spans="3:22" ht="14.25" customHeight="1">
      <c r="C941" s="45"/>
      <c r="D941" s="45"/>
      <c r="E941" s="45"/>
      <c r="F941" s="45"/>
      <c r="G941" s="45"/>
      <c r="H941" s="45"/>
      <c r="I941" s="45"/>
      <c r="J941" s="45"/>
      <c r="K941" s="45"/>
      <c r="L941" s="45"/>
      <c r="N941" s="46"/>
      <c r="P941" s="47"/>
      <c r="Q941" s="47"/>
      <c r="R941" s="47"/>
      <c r="V941" s="45"/>
    </row>
    <row r="942" spans="3:22" ht="14.25" customHeight="1">
      <c r="C942" s="45"/>
      <c r="D942" s="45"/>
      <c r="E942" s="45"/>
      <c r="F942" s="45"/>
      <c r="G942" s="45"/>
      <c r="H942" s="45"/>
      <c r="I942" s="45"/>
      <c r="J942" s="45"/>
      <c r="K942" s="45"/>
      <c r="L942" s="45"/>
      <c r="N942" s="46"/>
      <c r="P942" s="47"/>
      <c r="Q942" s="47"/>
      <c r="R942" s="47"/>
      <c r="V942" s="45"/>
    </row>
    <row r="943" spans="3:22" ht="14.25" customHeight="1">
      <c r="C943" s="45"/>
      <c r="D943" s="45"/>
      <c r="E943" s="45"/>
      <c r="F943" s="45"/>
      <c r="G943" s="45"/>
      <c r="H943" s="45"/>
      <c r="I943" s="45"/>
      <c r="J943" s="45"/>
      <c r="K943" s="45"/>
      <c r="L943" s="45"/>
      <c r="N943" s="46"/>
      <c r="P943" s="47"/>
      <c r="Q943" s="47"/>
      <c r="R943" s="47"/>
      <c r="V943" s="45"/>
    </row>
    <row r="944" spans="3:22" ht="14.25" customHeight="1">
      <c r="C944" s="45"/>
      <c r="D944" s="45"/>
      <c r="E944" s="45"/>
      <c r="F944" s="45"/>
      <c r="G944" s="45"/>
      <c r="H944" s="45"/>
      <c r="I944" s="45"/>
      <c r="J944" s="45"/>
      <c r="K944" s="45"/>
      <c r="L944" s="45"/>
      <c r="N944" s="46"/>
      <c r="P944" s="47"/>
      <c r="Q944" s="47"/>
      <c r="R944" s="47"/>
      <c r="V944" s="45"/>
    </row>
    <row r="945" spans="3:22" ht="14.25" customHeight="1">
      <c r="C945" s="45"/>
      <c r="D945" s="45"/>
      <c r="E945" s="45"/>
      <c r="F945" s="45"/>
      <c r="G945" s="45"/>
      <c r="H945" s="45"/>
      <c r="I945" s="45"/>
      <c r="J945" s="45"/>
      <c r="K945" s="45"/>
      <c r="L945" s="45"/>
      <c r="N945" s="46"/>
      <c r="P945" s="47"/>
      <c r="Q945" s="47"/>
      <c r="R945" s="47"/>
      <c r="V945" s="45"/>
    </row>
    <row r="946" spans="3:22" ht="14.25" customHeight="1">
      <c r="C946" s="45"/>
      <c r="D946" s="45"/>
      <c r="E946" s="45"/>
      <c r="F946" s="45"/>
      <c r="G946" s="45"/>
      <c r="H946" s="45"/>
      <c r="I946" s="45"/>
      <c r="J946" s="45"/>
      <c r="K946" s="45"/>
      <c r="L946" s="45"/>
      <c r="N946" s="46"/>
      <c r="P946" s="47"/>
      <c r="Q946" s="47"/>
      <c r="R946" s="47"/>
      <c r="V946" s="45"/>
    </row>
    <row r="947" spans="3:22" ht="14.25" customHeight="1">
      <c r="C947" s="45"/>
      <c r="D947" s="45"/>
      <c r="E947" s="45"/>
      <c r="F947" s="45"/>
      <c r="G947" s="45"/>
      <c r="H947" s="45"/>
      <c r="I947" s="45"/>
      <c r="J947" s="45"/>
      <c r="K947" s="45"/>
      <c r="L947" s="45"/>
      <c r="N947" s="46"/>
      <c r="P947" s="47"/>
      <c r="Q947" s="47"/>
      <c r="R947" s="47"/>
      <c r="V947" s="45"/>
    </row>
    <row r="948" spans="3:22" ht="14.25" customHeight="1">
      <c r="C948" s="45"/>
      <c r="D948" s="45"/>
      <c r="E948" s="45"/>
      <c r="F948" s="45"/>
      <c r="G948" s="45"/>
      <c r="H948" s="45"/>
      <c r="I948" s="45"/>
      <c r="J948" s="45"/>
      <c r="K948" s="45"/>
      <c r="L948" s="45"/>
      <c r="N948" s="46"/>
      <c r="P948" s="47"/>
      <c r="Q948" s="47"/>
      <c r="R948" s="47"/>
      <c r="V948" s="45"/>
    </row>
    <row r="949" spans="3:22" ht="14.25" customHeight="1">
      <c r="C949" s="45"/>
      <c r="D949" s="45"/>
      <c r="E949" s="45"/>
      <c r="F949" s="45"/>
      <c r="G949" s="45"/>
      <c r="H949" s="45"/>
      <c r="I949" s="45"/>
      <c r="J949" s="45"/>
      <c r="K949" s="45"/>
      <c r="L949" s="45"/>
      <c r="N949" s="46"/>
      <c r="P949" s="47"/>
      <c r="Q949" s="47"/>
      <c r="R949" s="47"/>
      <c r="V949" s="45"/>
    </row>
    <row r="950" spans="3:22" ht="14.25" customHeight="1">
      <c r="C950" s="45"/>
      <c r="D950" s="45"/>
      <c r="E950" s="45"/>
      <c r="F950" s="45"/>
      <c r="G950" s="45"/>
      <c r="H950" s="45"/>
      <c r="I950" s="45"/>
      <c r="J950" s="45"/>
      <c r="K950" s="45"/>
      <c r="L950" s="45"/>
      <c r="N950" s="46"/>
      <c r="P950" s="47"/>
      <c r="Q950" s="47"/>
      <c r="R950" s="47"/>
      <c r="V950" s="45"/>
    </row>
    <row r="951" spans="3:22" ht="14.25" customHeight="1">
      <c r="C951" s="45"/>
      <c r="D951" s="45"/>
      <c r="E951" s="45"/>
      <c r="F951" s="45"/>
      <c r="G951" s="45"/>
      <c r="H951" s="45"/>
      <c r="I951" s="45"/>
      <c r="J951" s="45"/>
      <c r="K951" s="45"/>
      <c r="L951" s="45"/>
      <c r="N951" s="46"/>
      <c r="P951" s="47"/>
      <c r="Q951" s="47"/>
      <c r="R951" s="47"/>
      <c r="V951" s="45"/>
    </row>
    <row r="952" spans="3:22" ht="14.25" customHeight="1">
      <c r="C952" s="45"/>
      <c r="D952" s="45"/>
      <c r="E952" s="45"/>
      <c r="F952" s="45"/>
      <c r="G952" s="45"/>
      <c r="H952" s="45"/>
      <c r="I952" s="45"/>
      <c r="J952" s="45"/>
      <c r="K952" s="45"/>
      <c r="L952" s="45"/>
      <c r="N952" s="46"/>
      <c r="P952" s="47"/>
      <c r="Q952" s="47"/>
      <c r="R952" s="47"/>
      <c r="V952" s="45"/>
    </row>
    <row r="953" spans="3:22" ht="14.25" customHeight="1">
      <c r="C953" s="45"/>
      <c r="D953" s="45"/>
      <c r="E953" s="45"/>
      <c r="F953" s="45"/>
      <c r="G953" s="45"/>
      <c r="H953" s="45"/>
      <c r="I953" s="45"/>
      <c r="J953" s="45"/>
      <c r="K953" s="45"/>
      <c r="L953" s="45"/>
      <c r="N953" s="46"/>
      <c r="P953" s="47"/>
      <c r="Q953" s="47"/>
      <c r="R953" s="47"/>
      <c r="V953" s="45"/>
    </row>
    <row r="954" spans="3:22" ht="14.25" customHeight="1">
      <c r="C954" s="45"/>
      <c r="D954" s="45"/>
      <c r="E954" s="45"/>
      <c r="F954" s="45"/>
      <c r="G954" s="45"/>
      <c r="H954" s="45"/>
      <c r="I954" s="45"/>
      <c r="J954" s="45"/>
      <c r="K954" s="45"/>
      <c r="L954" s="45"/>
      <c r="N954" s="46"/>
      <c r="P954" s="47"/>
      <c r="Q954" s="47"/>
      <c r="R954" s="47"/>
      <c r="V954" s="45"/>
    </row>
    <row r="955" spans="3:22" ht="14.25" customHeight="1">
      <c r="C955" s="45"/>
      <c r="D955" s="45"/>
      <c r="E955" s="45"/>
      <c r="F955" s="45"/>
      <c r="G955" s="45"/>
      <c r="H955" s="45"/>
      <c r="I955" s="45"/>
      <c r="J955" s="45"/>
      <c r="K955" s="45"/>
      <c r="L955" s="45"/>
      <c r="N955" s="46"/>
      <c r="P955" s="47"/>
      <c r="Q955" s="47"/>
      <c r="R955" s="47"/>
      <c r="V955" s="45"/>
    </row>
    <row r="956" spans="3:22" ht="14.25" customHeight="1">
      <c r="C956" s="45"/>
      <c r="D956" s="45"/>
      <c r="E956" s="45"/>
      <c r="F956" s="45"/>
      <c r="G956" s="45"/>
      <c r="H956" s="45"/>
      <c r="I956" s="45"/>
      <c r="J956" s="45"/>
      <c r="K956" s="45"/>
      <c r="L956" s="45"/>
      <c r="N956" s="46"/>
      <c r="P956" s="47"/>
      <c r="Q956" s="47"/>
      <c r="R956" s="47"/>
      <c r="V956" s="45"/>
    </row>
    <row r="957" spans="3:22" ht="14.25" customHeight="1">
      <c r="C957" s="45"/>
      <c r="D957" s="45"/>
      <c r="E957" s="45"/>
      <c r="F957" s="45"/>
      <c r="G957" s="45"/>
      <c r="H957" s="45"/>
      <c r="I957" s="45"/>
      <c r="J957" s="45"/>
      <c r="K957" s="45"/>
      <c r="L957" s="45"/>
      <c r="N957" s="46"/>
      <c r="P957" s="47"/>
      <c r="Q957" s="47"/>
      <c r="R957" s="47"/>
      <c r="V957" s="45"/>
    </row>
    <row r="958" spans="3:22" ht="14.25" customHeight="1">
      <c r="C958" s="45"/>
      <c r="D958" s="45"/>
      <c r="E958" s="45"/>
      <c r="F958" s="45"/>
      <c r="G958" s="45"/>
      <c r="H958" s="45"/>
      <c r="I958" s="45"/>
      <c r="J958" s="45"/>
      <c r="K958" s="45"/>
      <c r="L958" s="45"/>
      <c r="N958" s="46"/>
      <c r="P958" s="47"/>
      <c r="Q958" s="47"/>
      <c r="R958" s="47"/>
      <c r="V958" s="45"/>
    </row>
    <row r="959" spans="3:22" ht="14.25" customHeight="1">
      <c r="C959" s="45"/>
      <c r="D959" s="45"/>
      <c r="E959" s="45"/>
      <c r="F959" s="45"/>
      <c r="G959" s="45"/>
      <c r="H959" s="45"/>
      <c r="I959" s="45"/>
      <c r="J959" s="45"/>
      <c r="K959" s="45"/>
      <c r="L959" s="45"/>
      <c r="N959" s="46"/>
      <c r="P959" s="47"/>
      <c r="Q959" s="47"/>
      <c r="R959" s="47"/>
      <c r="V959" s="45"/>
    </row>
    <row r="960" spans="3:22" ht="14.25" customHeight="1">
      <c r="C960" s="45"/>
      <c r="D960" s="45"/>
      <c r="E960" s="45"/>
      <c r="F960" s="45"/>
      <c r="G960" s="45"/>
      <c r="H960" s="45"/>
      <c r="I960" s="45"/>
      <c r="J960" s="45"/>
      <c r="K960" s="45"/>
      <c r="L960" s="45"/>
      <c r="N960" s="46"/>
      <c r="P960" s="47"/>
      <c r="Q960" s="47"/>
      <c r="R960" s="47"/>
      <c r="V960" s="45"/>
    </row>
    <row r="961" spans="3:22" ht="14.25" customHeight="1">
      <c r="C961" s="45"/>
      <c r="D961" s="45"/>
      <c r="E961" s="45"/>
      <c r="F961" s="45"/>
      <c r="G961" s="45"/>
      <c r="H961" s="45"/>
      <c r="I961" s="45"/>
      <c r="J961" s="45"/>
      <c r="K961" s="45"/>
      <c r="L961" s="45"/>
      <c r="N961" s="46"/>
      <c r="P961" s="47"/>
      <c r="Q961" s="47"/>
      <c r="R961" s="47"/>
      <c r="V961" s="45"/>
    </row>
    <row r="962" spans="3:22" ht="14.25" customHeight="1">
      <c r="C962" s="45"/>
      <c r="D962" s="45"/>
      <c r="E962" s="45"/>
      <c r="F962" s="45"/>
      <c r="G962" s="45"/>
      <c r="H962" s="45"/>
      <c r="I962" s="45"/>
      <c r="J962" s="45"/>
      <c r="K962" s="45"/>
      <c r="L962" s="45"/>
      <c r="N962" s="46"/>
      <c r="P962" s="47"/>
      <c r="Q962" s="47"/>
      <c r="R962" s="47"/>
      <c r="V962" s="45"/>
    </row>
    <row r="963" spans="3:22" ht="14.25" customHeight="1">
      <c r="C963" s="45"/>
      <c r="D963" s="45"/>
      <c r="E963" s="45"/>
      <c r="F963" s="45"/>
      <c r="G963" s="45"/>
      <c r="H963" s="45"/>
      <c r="I963" s="45"/>
      <c r="J963" s="45"/>
      <c r="K963" s="45"/>
      <c r="L963" s="45"/>
      <c r="N963" s="46"/>
      <c r="P963" s="47"/>
      <c r="Q963" s="47"/>
      <c r="R963" s="47"/>
      <c r="V963" s="45"/>
    </row>
    <row r="964" spans="3:22" ht="14.25" customHeight="1">
      <c r="C964" s="45"/>
      <c r="D964" s="45"/>
      <c r="E964" s="45"/>
      <c r="F964" s="45"/>
      <c r="G964" s="45"/>
      <c r="H964" s="45"/>
      <c r="I964" s="45"/>
      <c r="J964" s="45"/>
      <c r="K964" s="45"/>
      <c r="L964" s="45"/>
      <c r="N964" s="46"/>
      <c r="P964" s="47"/>
      <c r="Q964" s="47"/>
      <c r="R964" s="47"/>
      <c r="V964" s="45"/>
    </row>
    <row r="965" spans="3:22" ht="14.25" customHeight="1">
      <c r="C965" s="45"/>
      <c r="D965" s="45"/>
      <c r="E965" s="45"/>
      <c r="F965" s="45"/>
      <c r="G965" s="45"/>
      <c r="H965" s="45"/>
      <c r="I965" s="45"/>
      <c r="J965" s="45"/>
      <c r="K965" s="45"/>
      <c r="L965" s="45"/>
      <c r="N965" s="46"/>
      <c r="P965" s="47"/>
      <c r="Q965" s="47"/>
      <c r="R965" s="47"/>
      <c r="V965" s="45"/>
    </row>
    <row r="966" spans="3:22" ht="14.25" customHeight="1">
      <c r="C966" s="45"/>
      <c r="D966" s="45"/>
      <c r="E966" s="45"/>
      <c r="F966" s="45"/>
      <c r="G966" s="45"/>
      <c r="H966" s="45"/>
      <c r="I966" s="45"/>
      <c r="J966" s="45"/>
      <c r="K966" s="45"/>
      <c r="L966" s="45"/>
      <c r="N966" s="46"/>
      <c r="P966" s="47"/>
      <c r="Q966" s="47"/>
      <c r="R966" s="47"/>
      <c r="V966" s="45"/>
    </row>
    <row r="967" spans="3:22" ht="14.25" customHeight="1">
      <c r="C967" s="45"/>
      <c r="D967" s="45"/>
      <c r="E967" s="45"/>
      <c r="F967" s="45"/>
      <c r="G967" s="45"/>
      <c r="H967" s="45"/>
      <c r="I967" s="45"/>
      <c r="J967" s="45"/>
      <c r="K967" s="45"/>
      <c r="L967" s="45"/>
      <c r="N967" s="46"/>
      <c r="P967" s="47"/>
      <c r="Q967" s="47"/>
      <c r="R967" s="47"/>
      <c r="V967" s="45"/>
    </row>
    <row r="968" spans="3:22" ht="14.25" customHeight="1">
      <c r="C968" s="45"/>
      <c r="D968" s="45"/>
      <c r="E968" s="45"/>
      <c r="F968" s="45"/>
      <c r="G968" s="45"/>
      <c r="H968" s="45"/>
      <c r="I968" s="45"/>
      <c r="J968" s="45"/>
      <c r="K968" s="45"/>
      <c r="L968" s="45"/>
      <c r="N968" s="46"/>
      <c r="P968" s="47"/>
      <c r="Q968" s="47"/>
      <c r="R968" s="47"/>
      <c r="V968" s="45"/>
    </row>
    <row r="969" spans="3:22" ht="14.25" customHeight="1">
      <c r="C969" s="45"/>
      <c r="D969" s="45"/>
      <c r="E969" s="45"/>
      <c r="F969" s="45"/>
      <c r="G969" s="45"/>
      <c r="H969" s="45"/>
      <c r="I969" s="45"/>
      <c r="J969" s="45"/>
      <c r="K969" s="45"/>
      <c r="L969" s="45"/>
      <c r="N969" s="46"/>
      <c r="P969" s="47"/>
      <c r="Q969" s="47"/>
      <c r="R969" s="47"/>
      <c r="V969" s="45"/>
    </row>
    <row r="970" spans="3:22" ht="14.25" customHeight="1">
      <c r="C970" s="45"/>
      <c r="D970" s="45"/>
      <c r="E970" s="45"/>
      <c r="F970" s="45"/>
      <c r="G970" s="45"/>
      <c r="H970" s="45"/>
      <c r="I970" s="45"/>
      <c r="J970" s="45"/>
      <c r="K970" s="45"/>
      <c r="L970" s="45"/>
      <c r="N970" s="46"/>
      <c r="P970" s="47"/>
      <c r="Q970" s="47"/>
      <c r="R970" s="47"/>
      <c r="V970" s="45"/>
    </row>
    <row r="971" spans="3:22" ht="14.25" customHeight="1">
      <c r="C971" s="45"/>
      <c r="D971" s="45"/>
      <c r="E971" s="45"/>
      <c r="F971" s="45"/>
      <c r="G971" s="45"/>
      <c r="H971" s="45"/>
      <c r="I971" s="45"/>
      <c r="J971" s="45"/>
      <c r="K971" s="45"/>
      <c r="L971" s="45"/>
      <c r="N971" s="46"/>
      <c r="P971" s="47"/>
      <c r="Q971" s="47"/>
      <c r="R971" s="47"/>
      <c r="V971" s="45"/>
    </row>
    <row r="972" spans="3:22" ht="14.25" customHeight="1">
      <c r="C972" s="45"/>
      <c r="D972" s="45"/>
      <c r="E972" s="45"/>
      <c r="F972" s="45"/>
      <c r="G972" s="45"/>
      <c r="H972" s="45"/>
      <c r="I972" s="45"/>
      <c r="J972" s="45"/>
      <c r="K972" s="45"/>
      <c r="L972" s="45"/>
      <c r="N972" s="46"/>
      <c r="P972" s="47"/>
      <c r="Q972" s="47"/>
      <c r="R972" s="47"/>
      <c r="V972" s="45"/>
    </row>
    <row r="973" spans="3:22" ht="14.25" customHeight="1">
      <c r="C973" s="45"/>
      <c r="D973" s="45"/>
      <c r="E973" s="45"/>
      <c r="F973" s="45"/>
      <c r="G973" s="45"/>
      <c r="H973" s="45"/>
      <c r="I973" s="45"/>
      <c r="J973" s="45"/>
      <c r="K973" s="45"/>
      <c r="L973" s="45"/>
      <c r="N973" s="46"/>
      <c r="P973" s="47"/>
      <c r="Q973" s="47"/>
      <c r="R973" s="47"/>
      <c r="V973" s="45"/>
    </row>
    <row r="974" spans="3:22" ht="14.25" customHeight="1">
      <c r="C974" s="45"/>
      <c r="D974" s="45"/>
      <c r="E974" s="45"/>
      <c r="F974" s="45"/>
      <c r="G974" s="45"/>
      <c r="H974" s="45"/>
      <c r="I974" s="45"/>
      <c r="J974" s="45"/>
      <c r="K974" s="45"/>
      <c r="L974" s="45"/>
      <c r="N974" s="46"/>
      <c r="P974" s="47"/>
      <c r="Q974" s="47"/>
      <c r="R974" s="47"/>
      <c r="V974" s="45"/>
    </row>
    <row r="975" spans="3:22" ht="14.25" customHeight="1">
      <c r="C975" s="45"/>
      <c r="D975" s="45"/>
      <c r="E975" s="45"/>
      <c r="F975" s="45"/>
      <c r="G975" s="45"/>
      <c r="H975" s="45"/>
      <c r="I975" s="45"/>
      <c r="J975" s="45"/>
      <c r="K975" s="45"/>
      <c r="L975" s="45"/>
      <c r="N975" s="46"/>
      <c r="P975" s="47"/>
      <c r="Q975" s="47"/>
      <c r="R975" s="47"/>
      <c r="V975" s="45"/>
    </row>
    <row r="976" spans="3:22" ht="14.25" customHeight="1">
      <c r="C976" s="45"/>
      <c r="D976" s="45"/>
      <c r="E976" s="45"/>
      <c r="F976" s="45"/>
      <c r="G976" s="45"/>
      <c r="H976" s="45"/>
      <c r="I976" s="45"/>
      <c r="J976" s="45"/>
      <c r="K976" s="45"/>
      <c r="L976" s="45"/>
      <c r="N976" s="46"/>
      <c r="P976" s="47"/>
      <c r="Q976" s="47"/>
      <c r="R976" s="47"/>
      <c r="V976" s="45"/>
    </row>
    <row r="977" spans="3:22" ht="14.25" customHeight="1">
      <c r="C977" s="45"/>
      <c r="D977" s="45"/>
      <c r="E977" s="45"/>
      <c r="F977" s="45"/>
      <c r="G977" s="45"/>
      <c r="H977" s="45"/>
      <c r="I977" s="45"/>
      <c r="J977" s="45"/>
      <c r="K977" s="45"/>
      <c r="L977" s="45"/>
      <c r="N977" s="46"/>
      <c r="P977" s="47"/>
      <c r="Q977" s="47"/>
      <c r="R977" s="47"/>
      <c r="V977" s="45"/>
    </row>
    <row r="978" spans="3:22" ht="14.25" customHeight="1">
      <c r="C978" s="45"/>
      <c r="D978" s="45"/>
      <c r="E978" s="45"/>
      <c r="F978" s="45"/>
      <c r="G978" s="45"/>
      <c r="H978" s="45"/>
      <c r="I978" s="45"/>
      <c r="J978" s="45"/>
      <c r="K978" s="45"/>
      <c r="L978" s="45"/>
      <c r="N978" s="46"/>
      <c r="P978" s="47"/>
      <c r="Q978" s="47"/>
      <c r="R978" s="47"/>
      <c r="V978" s="45"/>
    </row>
    <row r="979" spans="3:22" ht="14.25" customHeight="1">
      <c r="C979" s="45"/>
      <c r="D979" s="45"/>
      <c r="E979" s="45"/>
      <c r="F979" s="45"/>
      <c r="G979" s="45"/>
      <c r="H979" s="45"/>
      <c r="I979" s="45"/>
      <c r="J979" s="45"/>
      <c r="K979" s="45"/>
      <c r="L979" s="45"/>
      <c r="N979" s="46"/>
      <c r="P979" s="47"/>
      <c r="Q979" s="47"/>
      <c r="R979" s="47"/>
      <c r="V979" s="45"/>
    </row>
    <row r="980" spans="3:22" ht="14.25" customHeight="1">
      <c r="C980" s="45"/>
      <c r="D980" s="45"/>
      <c r="E980" s="45"/>
      <c r="F980" s="45"/>
      <c r="G980" s="45"/>
      <c r="H980" s="45"/>
      <c r="I980" s="45"/>
      <c r="J980" s="45"/>
      <c r="K980" s="45"/>
      <c r="L980" s="45"/>
      <c r="N980" s="46"/>
      <c r="P980" s="47"/>
      <c r="Q980" s="47"/>
      <c r="R980" s="47"/>
      <c r="V980" s="45"/>
    </row>
    <row r="981" spans="3:22" ht="14.25" customHeight="1">
      <c r="C981" s="45"/>
      <c r="D981" s="45"/>
      <c r="E981" s="45"/>
      <c r="F981" s="45"/>
      <c r="G981" s="45"/>
      <c r="H981" s="45"/>
      <c r="I981" s="45"/>
      <c r="J981" s="45"/>
      <c r="K981" s="45"/>
      <c r="L981" s="45"/>
      <c r="N981" s="46"/>
      <c r="P981" s="47"/>
      <c r="Q981" s="47"/>
      <c r="R981" s="47"/>
      <c r="V981" s="45"/>
    </row>
    <row r="982" spans="3:22" ht="14.25" customHeight="1">
      <c r="C982" s="45"/>
      <c r="D982" s="45"/>
      <c r="E982" s="45"/>
      <c r="F982" s="45"/>
      <c r="G982" s="45"/>
      <c r="H982" s="45"/>
      <c r="I982" s="45"/>
      <c r="J982" s="45"/>
      <c r="K982" s="45"/>
      <c r="L982" s="45"/>
      <c r="N982" s="46"/>
      <c r="P982" s="47"/>
      <c r="Q982" s="47"/>
      <c r="R982" s="47"/>
      <c r="V982" s="45"/>
    </row>
    <row r="983" spans="3:22" ht="14.25" customHeight="1">
      <c r="C983" s="45"/>
      <c r="D983" s="45"/>
      <c r="E983" s="45"/>
      <c r="F983" s="45"/>
      <c r="G983" s="45"/>
      <c r="H983" s="45"/>
      <c r="I983" s="45"/>
      <c r="J983" s="45"/>
      <c r="K983" s="45"/>
      <c r="L983" s="45"/>
      <c r="N983" s="46"/>
      <c r="P983" s="47"/>
      <c r="Q983" s="47"/>
      <c r="R983" s="47"/>
      <c r="V983" s="45"/>
    </row>
    <row r="984" spans="3:22" ht="14.25" customHeight="1">
      <c r="C984" s="45"/>
      <c r="D984" s="45"/>
      <c r="E984" s="45"/>
      <c r="F984" s="45"/>
      <c r="G984" s="45"/>
      <c r="H984" s="45"/>
      <c r="I984" s="45"/>
      <c r="J984" s="45"/>
      <c r="K984" s="45"/>
      <c r="L984" s="45"/>
      <c r="N984" s="46"/>
      <c r="P984" s="47"/>
      <c r="Q984" s="47"/>
      <c r="R984" s="47"/>
      <c r="V984" s="45"/>
    </row>
    <row r="985" spans="3:22" ht="14.25" customHeight="1">
      <c r="C985" s="45"/>
      <c r="D985" s="45"/>
      <c r="E985" s="45"/>
      <c r="F985" s="45"/>
      <c r="G985" s="45"/>
      <c r="H985" s="45"/>
      <c r="I985" s="45"/>
      <c r="J985" s="45"/>
      <c r="K985" s="45"/>
      <c r="L985" s="45"/>
      <c r="N985" s="46"/>
      <c r="P985" s="47"/>
      <c r="Q985" s="47"/>
      <c r="R985" s="47"/>
      <c r="V985" s="45"/>
    </row>
    <row r="986" spans="3:22" ht="14.25" customHeight="1">
      <c r="C986" s="45"/>
      <c r="D986" s="45"/>
      <c r="E986" s="45"/>
      <c r="F986" s="45"/>
      <c r="G986" s="45"/>
      <c r="H986" s="45"/>
      <c r="I986" s="45"/>
      <c r="J986" s="45"/>
      <c r="K986" s="45"/>
      <c r="L986" s="45"/>
      <c r="N986" s="46"/>
      <c r="P986" s="47"/>
      <c r="Q986" s="47"/>
      <c r="R986" s="47"/>
      <c r="V986" s="45"/>
    </row>
    <row r="987" spans="3:22" ht="14.25" customHeight="1">
      <c r="C987" s="45"/>
      <c r="D987" s="45"/>
      <c r="E987" s="45"/>
      <c r="F987" s="45"/>
      <c r="G987" s="45"/>
      <c r="H987" s="45"/>
      <c r="I987" s="45"/>
      <c r="J987" s="45"/>
      <c r="K987" s="45"/>
      <c r="L987" s="45"/>
      <c r="N987" s="46"/>
      <c r="P987" s="47"/>
      <c r="Q987" s="47"/>
      <c r="R987" s="47"/>
      <c r="V987" s="45"/>
    </row>
    <row r="988" spans="3:22" ht="14.25" customHeight="1">
      <c r="C988" s="45"/>
      <c r="D988" s="45"/>
      <c r="E988" s="45"/>
      <c r="F988" s="45"/>
      <c r="G988" s="45"/>
      <c r="H988" s="45"/>
      <c r="I988" s="45"/>
      <c r="J988" s="45"/>
      <c r="K988" s="45"/>
      <c r="L988" s="45"/>
      <c r="N988" s="46"/>
      <c r="P988" s="47"/>
      <c r="Q988" s="47"/>
      <c r="R988" s="47"/>
      <c r="V988" s="45"/>
    </row>
    <row r="989" spans="3:22" ht="14.25" customHeight="1">
      <c r="C989" s="45"/>
      <c r="D989" s="45"/>
      <c r="E989" s="45"/>
      <c r="F989" s="45"/>
      <c r="G989" s="45"/>
      <c r="H989" s="45"/>
      <c r="I989" s="45"/>
      <c r="J989" s="45"/>
      <c r="K989" s="45"/>
      <c r="L989" s="45"/>
      <c r="N989" s="46"/>
      <c r="P989" s="47"/>
      <c r="Q989" s="47"/>
      <c r="R989" s="47"/>
      <c r="V989" s="45"/>
    </row>
    <row r="990" spans="3:22" ht="14.25" customHeight="1">
      <c r="C990" s="45"/>
      <c r="D990" s="45"/>
      <c r="E990" s="45"/>
      <c r="F990" s="45"/>
      <c r="G990" s="45"/>
      <c r="H990" s="45"/>
      <c r="I990" s="45"/>
      <c r="J990" s="45"/>
      <c r="K990" s="45"/>
      <c r="L990" s="45"/>
      <c r="N990" s="46"/>
      <c r="P990" s="47"/>
      <c r="Q990" s="47"/>
      <c r="R990" s="47"/>
      <c r="V990" s="45"/>
    </row>
    <row r="991" spans="3:22" ht="14.25" customHeight="1">
      <c r="C991" s="45"/>
      <c r="D991" s="45"/>
      <c r="E991" s="45"/>
      <c r="F991" s="45"/>
      <c r="G991" s="45"/>
      <c r="H991" s="45"/>
      <c r="I991" s="45"/>
      <c r="J991" s="45"/>
      <c r="K991" s="45"/>
      <c r="L991" s="45"/>
      <c r="N991" s="46"/>
      <c r="P991" s="47"/>
      <c r="Q991" s="47"/>
      <c r="R991" s="47"/>
      <c r="V991" s="45"/>
    </row>
    <row r="992" spans="3:22" ht="14.25" customHeight="1">
      <c r="C992" s="45"/>
      <c r="D992" s="45"/>
      <c r="E992" s="45"/>
      <c r="F992" s="45"/>
      <c r="G992" s="45"/>
      <c r="H992" s="45"/>
      <c r="I992" s="45"/>
      <c r="J992" s="45"/>
      <c r="K992" s="45"/>
      <c r="L992" s="45"/>
      <c r="N992" s="46"/>
      <c r="P992" s="47"/>
      <c r="Q992" s="47"/>
      <c r="R992" s="47"/>
      <c r="V992" s="45"/>
    </row>
    <row r="993" spans="3:22" ht="14.25" customHeight="1">
      <c r="C993" s="45"/>
      <c r="D993" s="45"/>
      <c r="E993" s="45"/>
      <c r="F993" s="45"/>
      <c r="G993" s="45"/>
      <c r="H993" s="45"/>
      <c r="I993" s="45"/>
      <c r="J993" s="45"/>
      <c r="K993" s="45"/>
      <c r="L993" s="45"/>
      <c r="N993" s="46"/>
      <c r="P993" s="47"/>
      <c r="Q993" s="47"/>
      <c r="R993" s="47"/>
      <c r="V993" s="45"/>
    </row>
    <row r="994" spans="3:22" ht="14.25" customHeight="1">
      <c r="C994" s="45"/>
      <c r="D994" s="45"/>
      <c r="E994" s="45"/>
      <c r="F994" s="45"/>
      <c r="G994" s="45"/>
      <c r="H994" s="45"/>
      <c r="I994" s="45"/>
      <c r="J994" s="45"/>
      <c r="K994" s="45"/>
      <c r="L994" s="45"/>
      <c r="N994" s="46"/>
      <c r="P994" s="47"/>
      <c r="Q994" s="47"/>
      <c r="R994" s="47"/>
      <c r="V994" s="45"/>
    </row>
    <row r="995" spans="3:22" ht="14.25" customHeight="1">
      <c r="C995" s="45"/>
      <c r="D995" s="45"/>
      <c r="E995" s="45"/>
      <c r="F995" s="45"/>
      <c r="G995" s="45"/>
      <c r="H995" s="45"/>
      <c r="I995" s="45"/>
      <c r="J995" s="45"/>
      <c r="K995" s="45"/>
      <c r="L995" s="45"/>
      <c r="N995" s="46"/>
      <c r="P995" s="47"/>
      <c r="Q995" s="47"/>
      <c r="R995" s="47"/>
      <c r="V995" s="45"/>
    </row>
    <row r="996" spans="3:22" ht="14.25" customHeight="1">
      <c r="C996" s="45"/>
      <c r="D996" s="45"/>
      <c r="E996" s="45"/>
      <c r="F996" s="45"/>
      <c r="G996" s="45"/>
      <c r="H996" s="45"/>
      <c r="I996" s="45"/>
      <c r="J996" s="45"/>
      <c r="K996" s="45"/>
      <c r="L996" s="45"/>
      <c r="N996" s="46"/>
      <c r="P996" s="47"/>
      <c r="Q996" s="47"/>
      <c r="R996" s="47"/>
      <c r="V996" s="45"/>
    </row>
    <row r="997" spans="3:22" ht="14.25" customHeight="1">
      <c r="C997" s="45"/>
      <c r="D997" s="45"/>
      <c r="E997" s="45"/>
      <c r="F997" s="45"/>
      <c r="G997" s="45"/>
      <c r="H997" s="45"/>
      <c r="I997" s="45"/>
      <c r="J997" s="45"/>
      <c r="K997" s="45"/>
      <c r="L997" s="45"/>
      <c r="N997" s="46"/>
      <c r="P997" s="47"/>
      <c r="Q997" s="47"/>
      <c r="R997" s="47"/>
      <c r="V997" s="45"/>
    </row>
    <row r="998" spans="3:22" ht="14.25" customHeight="1">
      <c r="C998" s="45"/>
      <c r="D998" s="45"/>
      <c r="E998" s="45"/>
      <c r="F998" s="45"/>
      <c r="G998" s="45"/>
      <c r="H998" s="45"/>
      <c r="I998" s="45"/>
      <c r="J998" s="45"/>
      <c r="K998" s="45"/>
      <c r="L998" s="45"/>
      <c r="N998" s="46"/>
      <c r="P998" s="47"/>
      <c r="Q998" s="47"/>
      <c r="R998" s="47"/>
      <c r="V998" s="45"/>
    </row>
    <row r="999" spans="3:22" ht="14.25" customHeight="1">
      <c r="C999" s="45"/>
      <c r="D999" s="45"/>
      <c r="E999" s="45"/>
      <c r="F999" s="45"/>
      <c r="G999" s="45"/>
      <c r="H999" s="45"/>
      <c r="I999" s="45"/>
      <c r="J999" s="45"/>
      <c r="K999" s="45"/>
      <c r="L999" s="45"/>
      <c r="N999" s="46"/>
      <c r="P999" s="47"/>
      <c r="Q999" s="47"/>
      <c r="R999" s="47"/>
      <c r="V999" s="45"/>
    </row>
    <row r="1000" spans="3:22" ht="14.25" customHeight="1">
      <c r="C1000" s="45"/>
      <c r="D1000" s="45"/>
      <c r="E1000" s="45"/>
      <c r="F1000" s="45"/>
      <c r="G1000" s="45"/>
      <c r="H1000" s="45"/>
      <c r="I1000" s="45"/>
      <c r="J1000" s="45"/>
      <c r="K1000" s="45"/>
      <c r="L1000" s="45"/>
      <c r="N1000" s="46"/>
      <c r="P1000" s="47"/>
      <c r="Q1000" s="47"/>
      <c r="R1000" s="47"/>
      <c r="V1000" s="45"/>
    </row>
    <row r="1001" spans="3:22" ht="14.25" customHeight="1">
      <c r="C1001" s="45"/>
      <c r="D1001" s="45"/>
      <c r="E1001" s="45"/>
      <c r="F1001" s="45"/>
      <c r="G1001" s="45"/>
      <c r="H1001" s="45"/>
      <c r="I1001" s="45"/>
      <c r="J1001" s="45"/>
      <c r="K1001" s="45"/>
      <c r="L1001" s="45"/>
      <c r="N1001" s="46"/>
      <c r="P1001" s="47"/>
      <c r="Q1001" s="47"/>
      <c r="R1001" s="47"/>
      <c r="V1001" s="45"/>
    </row>
    <row r="1002" spans="3:22" ht="14.25" customHeight="1">
      <c r="C1002" s="45"/>
      <c r="D1002" s="45"/>
      <c r="E1002" s="45"/>
      <c r="F1002" s="45"/>
      <c r="G1002" s="45"/>
      <c r="H1002" s="45"/>
      <c r="I1002" s="45"/>
      <c r="J1002" s="45"/>
      <c r="K1002" s="45"/>
      <c r="L1002" s="45"/>
      <c r="N1002" s="46"/>
      <c r="P1002" s="47"/>
      <c r="Q1002" s="47"/>
      <c r="R1002" s="47"/>
      <c r="V1002" s="45"/>
    </row>
    <row r="1003" spans="3:22" ht="14.25" customHeight="1">
      <c r="C1003" s="45"/>
      <c r="D1003" s="45"/>
      <c r="E1003" s="45"/>
      <c r="F1003" s="45"/>
      <c r="G1003" s="45"/>
      <c r="H1003" s="45"/>
      <c r="I1003" s="45"/>
      <c r="J1003" s="45"/>
      <c r="K1003" s="45"/>
      <c r="L1003" s="45"/>
      <c r="N1003" s="46"/>
      <c r="P1003" s="47"/>
      <c r="Q1003" s="47"/>
      <c r="R1003" s="47"/>
      <c r="V1003" s="45"/>
    </row>
    <row r="1004" spans="3:22" ht="14.25" customHeight="1">
      <c r="C1004" s="45"/>
      <c r="D1004" s="45"/>
      <c r="E1004" s="45"/>
      <c r="F1004" s="45"/>
      <c r="G1004" s="45"/>
      <c r="H1004" s="45"/>
      <c r="I1004" s="45"/>
      <c r="J1004" s="45"/>
      <c r="K1004" s="45"/>
      <c r="L1004" s="45"/>
      <c r="N1004" s="46"/>
      <c r="P1004" s="47"/>
      <c r="Q1004" s="47"/>
      <c r="R1004" s="47"/>
      <c r="V1004" s="45"/>
    </row>
    <row r="1005" spans="3:22" ht="14.25" customHeight="1">
      <c r="C1005" s="45"/>
      <c r="D1005" s="45"/>
      <c r="E1005" s="45"/>
      <c r="F1005" s="45"/>
      <c r="G1005" s="45"/>
      <c r="H1005" s="45"/>
      <c r="I1005" s="45"/>
      <c r="J1005" s="45"/>
      <c r="K1005" s="45"/>
      <c r="L1005" s="45"/>
      <c r="N1005" s="46"/>
      <c r="P1005" s="47"/>
      <c r="Q1005" s="47"/>
      <c r="R1005" s="47"/>
      <c r="V1005" s="45"/>
    </row>
    <row r="1006" spans="3:22" ht="14.25" customHeight="1">
      <c r="C1006" s="45"/>
      <c r="D1006" s="45"/>
      <c r="E1006" s="45"/>
      <c r="F1006" s="45"/>
      <c r="G1006" s="45"/>
      <c r="H1006" s="45"/>
      <c r="I1006" s="45"/>
      <c r="J1006" s="45"/>
      <c r="K1006" s="45"/>
      <c r="L1006" s="45"/>
      <c r="N1006" s="46"/>
      <c r="P1006" s="47"/>
      <c r="Q1006" s="47"/>
      <c r="R1006" s="47"/>
      <c r="V1006" s="45"/>
    </row>
    <row r="1007" spans="3:22" ht="14.25" customHeight="1">
      <c r="C1007" s="45"/>
      <c r="D1007" s="45"/>
      <c r="E1007" s="45"/>
      <c r="F1007" s="45"/>
      <c r="G1007" s="45"/>
      <c r="H1007" s="45"/>
      <c r="I1007" s="45"/>
      <c r="J1007" s="45"/>
      <c r="K1007" s="45"/>
      <c r="L1007" s="45"/>
      <c r="N1007" s="46"/>
      <c r="P1007" s="47"/>
      <c r="Q1007" s="47"/>
      <c r="R1007" s="47"/>
      <c r="V1007" s="45"/>
    </row>
    <row r="1008" spans="3:22" ht="14.25" customHeight="1">
      <c r="C1008" s="45"/>
      <c r="D1008" s="45"/>
      <c r="E1008" s="45"/>
      <c r="F1008" s="45"/>
      <c r="G1008" s="45"/>
      <c r="H1008" s="45"/>
      <c r="I1008" s="45"/>
      <c r="J1008" s="45"/>
      <c r="K1008" s="45"/>
      <c r="L1008" s="45"/>
      <c r="N1008" s="46"/>
      <c r="P1008" s="47"/>
      <c r="Q1008" s="47"/>
      <c r="R1008" s="47"/>
      <c r="V1008" s="45"/>
    </row>
    <row r="1009" spans="3:22" ht="14.25" customHeight="1">
      <c r="C1009" s="45"/>
      <c r="D1009" s="45"/>
      <c r="E1009" s="45"/>
      <c r="F1009" s="45"/>
      <c r="G1009" s="45"/>
      <c r="H1009" s="45"/>
      <c r="I1009" s="45"/>
      <c r="J1009" s="45"/>
      <c r="K1009" s="45"/>
      <c r="L1009" s="45"/>
      <c r="N1009" s="46"/>
      <c r="P1009" s="47"/>
      <c r="Q1009" s="47"/>
      <c r="R1009" s="47"/>
      <c r="V1009" s="45"/>
    </row>
    <row r="1010" spans="3:22" ht="14.25" customHeight="1">
      <c r="C1010" s="45"/>
      <c r="D1010" s="45"/>
      <c r="E1010" s="45"/>
      <c r="F1010" s="45"/>
      <c r="G1010" s="45"/>
      <c r="H1010" s="45"/>
      <c r="I1010" s="45"/>
      <c r="J1010" s="45"/>
      <c r="K1010" s="45"/>
      <c r="L1010" s="45"/>
      <c r="N1010" s="46"/>
      <c r="P1010" s="47"/>
      <c r="Q1010" s="47"/>
      <c r="R1010" s="47"/>
      <c r="V1010" s="45"/>
    </row>
    <row r="1011" spans="3:22" ht="14.25" customHeight="1">
      <c r="C1011" s="45"/>
      <c r="D1011" s="45"/>
      <c r="E1011" s="45"/>
      <c r="F1011" s="45"/>
      <c r="G1011" s="45"/>
      <c r="H1011" s="45"/>
      <c r="I1011" s="45"/>
      <c r="J1011" s="45"/>
      <c r="K1011" s="45"/>
      <c r="L1011" s="45"/>
      <c r="N1011" s="46"/>
      <c r="P1011" s="47"/>
      <c r="Q1011" s="47"/>
      <c r="R1011" s="47"/>
      <c r="V1011" s="45"/>
    </row>
    <row r="1012" spans="3:22" ht="14.25" customHeight="1">
      <c r="C1012" s="45"/>
      <c r="D1012" s="45"/>
      <c r="E1012" s="45"/>
      <c r="F1012" s="45"/>
      <c r="G1012" s="45"/>
      <c r="H1012" s="45"/>
      <c r="I1012" s="45"/>
      <c r="J1012" s="45"/>
      <c r="K1012" s="45"/>
      <c r="L1012" s="45"/>
      <c r="N1012" s="46"/>
      <c r="P1012" s="47"/>
      <c r="Q1012" s="47"/>
      <c r="R1012" s="47"/>
      <c r="V1012" s="45"/>
    </row>
    <row r="1013" spans="3:22" ht="14.25" customHeight="1">
      <c r="C1013" s="45"/>
      <c r="D1013" s="45"/>
      <c r="E1013" s="45"/>
      <c r="F1013" s="45"/>
      <c r="G1013" s="45"/>
      <c r="H1013" s="45"/>
      <c r="I1013" s="45"/>
      <c r="J1013" s="45"/>
      <c r="K1013" s="45"/>
      <c r="L1013" s="45"/>
      <c r="N1013" s="46"/>
      <c r="P1013" s="47"/>
      <c r="Q1013" s="47"/>
      <c r="R1013" s="47"/>
      <c r="V1013" s="45"/>
    </row>
    <row r="1014" spans="3:22" ht="14.25" customHeight="1">
      <c r="C1014" s="45"/>
      <c r="D1014" s="45"/>
      <c r="E1014" s="45"/>
      <c r="F1014" s="45"/>
      <c r="G1014" s="45"/>
      <c r="H1014" s="45"/>
      <c r="I1014" s="45"/>
      <c r="J1014" s="45"/>
      <c r="K1014" s="45"/>
      <c r="L1014" s="45"/>
      <c r="N1014" s="46"/>
      <c r="P1014" s="47"/>
      <c r="Q1014" s="47"/>
      <c r="R1014" s="47"/>
      <c r="V1014" s="45"/>
    </row>
    <row r="1015" spans="3:22" ht="14.25" customHeight="1">
      <c r="C1015" s="45"/>
      <c r="D1015" s="45"/>
      <c r="E1015" s="45"/>
      <c r="F1015" s="45"/>
      <c r="G1015" s="45"/>
      <c r="H1015" s="45"/>
      <c r="I1015" s="45"/>
      <c r="J1015" s="45"/>
      <c r="K1015" s="45"/>
      <c r="L1015" s="45"/>
      <c r="N1015" s="46"/>
      <c r="P1015" s="47"/>
      <c r="Q1015" s="47"/>
      <c r="R1015" s="47"/>
      <c r="V1015" s="45"/>
    </row>
    <row r="1016" spans="3:22" ht="14.25" customHeight="1">
      <c r="C1016" s="45"/>
      <c r="D1016" s="45"/>
      <c r="E1016" s="45"/>
      <c r="F1016" s="45"/>
      <c r="G1016" s="45"/>
      <c r="H1016" s="45"/>
      <c r="I1016" s="45"/>
      <c r="J1016" s="45"/>
      <c r="K1016" s="45"/>
      <c r="L1016" s="45"/>
      <c r="N1016" s="46"/>
      <c r="P1016" s="47"/>
      <c r="Q1016" s="47"/>
      <c r="R1016" s="47"/>
      <c r="V1016" s="45"/>
    </row>
    <row r="1017" spans="3:22" ht="14.25" customHeight="1">
      <c r="C1017" s="45"/>
      <c r="D1017" s="45"/>
      <c r="E1017" s="45"/>
      <c r="F1017" s="45"/>
      <c r="G1017" s="45"/>
      <c r="H1017" s="45"/>
      <c r="I1017" s="45"/>
      <c r="J1017" s="45"/>
      <c r="K1017" s="45"/>
      <c r="L1017" s="45"/>
      <c r="N1017" s="46"/>
      <c r="P1017" s="47"/>
      <c r="Q1017" s="47"/>
      <c r="R1017" s="47"/>
      <c r="V1017" s="45"/>
    </row>
    <row r="1018" spans="3:22" ht="14.25" customHeight="1">
      <c r="C1018" s="45"/>
      <c r="D1018" s="45"/>
      <c r="E1018" s="45"/>
      <c r="F1018" s="45"/>
      <c r="G1018" s="45"/>
      <c r="H1018" s="45"/>
      <c r="I1018" s="45"/>
      <c r="J1018" s="45"/>
      <c r="K1018" s="45"/>
      <c r="L1018" s="45"/>
      <c r="N1018" s="46"/>
      <c r="P1018" s="47"/>
      <c r="Q1018" s="47"/>
      <c r="R1018" s="47"/>
      <c r="V1018" s="45"/>
    </row>
    <row r="1019" spans="3:22" ht="14.25" customHeight="1">
      <c r="C1019" s="45"/>
      <c r="D1019" s="45"/>
      <c r="E1019" s="45"/>
      <c r="F1019" s="45"/>
      <c r="G1019" s="45"/>
      <c r="H1019" s="45"/>
      <c r="I1019" s="45"/>
      <c r="J1019" s="45"/>
      <c r="K1019" s="45"/>
      <c r="L1019" s="45"/>
      <c r="N1019" s="46"/>
      <c r="P1019" s="47"/>
      <c r="Q1019" s="47"/>
      <c r="R1019" s="47"/>
      <c r="V1019" s="45"/>
    </row>
    <row r="1020" spans="3:22" ht="14.25" customHeight="1">
      <c r="C1020" s="45"/>
      <c r="D1020" s="45"/>
      <c r="E1020" s="45"/>
      <c r="F1020" s="45"/>
      <c r="G1020" s="45"/>
      <c r="H1020" s="45"/>
      <c r="I1020" s="45"/>
      <c r="J1020" s="45"/>
      <c r="K1020" s="45"/>
      <c r="L1020" s="45"/>
      <c r="N1020" s="46"/>
      <c r="P1020" s="47"/>
      <c r="Q1020" s="47"/>
      <c r="R1020" s="47"/>
      <c r="V1020" s="45"/>
    </row>
    <row r="1021" spans="3:22" ht="14.25" customHeight="1">
      <c r="C1021" s="45"/>
      <c r="D1021" s="45"/>
      <c r="E1021" s="45"/>
      <c r="F1021" s="45"/>
      <c r="G1021" s="45"/>
      <c r="H1021" s="45"/>
      <c r="I1021" s="45"/>
      <c r="J1021" s="45"/>
      <c r="K1021" s="45"/>
      <c r="L1021" s="45"/>
      <c r="N1021" s="46"/>
      <c r="P1021" s="47"/>
      <c r="Q1021" s="47"/>
      <c r="R1021" s="47"/>
      <c r="V1021" s="45"/>
    </row>
    <row r="1022" spans="3:22" ht="14.25" customHeight="1">
      <c r="C1022" s="45"/>
      <c r="D1022" s="45"/>
      <c r="E1022" s="45"/>
      <c r="F1022" s="45"/>
      <c r="G1022" s="45"/>
      <c r="H1022" s="45"/>
      <c r="I1022" s="45"/>
      <c r="J1022" s="45"/>
      <c r="K1022" s="45"/>
      <c r="L1022" s="45"/>
      <c r="N1022" s="46"/>
      <c r="P1022" s="47"/>
      <c r="Q1022" s="47"/>
      <c r="R1022" s="47"/>
      <c r="V1022" s="45"/>
    </row>
    <row r="1023" spans="3:22" ht="14.25" customHeight="1">
      <c r="C1023" s="45"/>
      <c r="D1023" s="45"/>
      <c r="E1023" s="45"/>
      <c r="F1023" s="45"/>
      <c r="G1023" s="45"/>
      <c r="H1023" s="45"/>
      <c r="I1023" s="45"/>
      <c r="J1023" s="45"/>
      <c r="K1023" s="45"/>
      <c r="L1023" s="45"/>
      <c r="N1023" s="46"/>
      <c r="P1023" s="47"/>
      <c r="Q1023" s="47"/>
      <c r="R1023" s="47"/>
      <c r="V1023" s="45"/>
    </row>
    <row r="1024" spans="3:22" ht="14.25" customHeight="1">
      <c r="C1024" s="45"/>
      <c r="D1024" s="45"/>
      <c r="E1024" s="45"/>
      <c r="F1024" s="45"/>
      <c r="G1024" s="45"/>
      <c r="H1024" s="45"/>
      <c r="I1024" s="45"/>
      <c r="J1024" s="45"/>
      <c r="K1024" s="45"/>
      <c r="L1024" s="45"/>
      <c r="N1024" s="46"/>
      <c r="P1024" s="47"/>
      <c r="Q1024" s="47"/>
      <c r="R1024" s="47"/>
      <c r="V1024" s="45"/>
    </row>
    <row r="1025" spans="3:22" ht="14.25" customHeight="1">
      <c r="C1025" s="45"/>
      <c r="D1025" s="45"/>
      <c r="E1025" s="45"/>
      <c r="F1025" s="45"/>
      <c r="G1025" s="45"/>
      <c r="H1025" s="45"/>
      <c r="I1025" s="45"/>
      <c r="J1025" s="45"/>
      <c r="K1025" s="45"/>
      <c r="L1025" s="45"/>
      <c r="N1025" s="46"/>
      <c r="P1025" s="47"/>
      <c r="Q1025" s="47"/>
      <c r="R1025" s="47"/>
      <c r="V1025" s="45"/>
    </row>
    <row r="1026" spans="3:22" ht="14.25" customHeight="1">
      <c r="C1026" s="45"/>
      <c r="D1026" s="45"/>
      <c r="E1026" s="45"/>
      <c r="F1026" s="45"/>
      <c r="G1026" s="45"/>
      <c r="H1026" s="45"/>
      <c r="I1026" s="45"/>
      <c r="J1026" s="45"/>
      <c r="K1026" s="45"/>
      <c r="L1026" s="45"/>
      <c r="N1026" s="46"/>
      <c r="P1026" s="47"/>
      <c r="Q1026" s="47"/>
      <c r="R1026" s="47"/>
      <c r="V1026" s="45"/>
    </row>
    <row r="1027" spans="3:22" ht="14.25" customHeight="1">
      <c r="C1027" s="45"/>
      <c r="D1027" s="45"/>
      <c r="E1027" s="45"/>
      <c r="F1027" s="45"/>
      <c r="G1027" s="45"/>
      <c r="H1027" s="45"/>
      <c r="I1027" s="45"/>
      <c r="J1027" s="45"/>
      <c r="K1027" s="45"/>
      <c r="L1027" s="45"/>
      <c r="N1027" s="46"/>
      <c r="P1027" s="47"/>
      <c r="Q1027" s="47"/>
      <c r="R1027" s="47"/>
      <c r="V1027" s="45"/>
    </row>
    <row r="1028" spans="3:22" ht="14.25" customHeight="1">
      <c r="C1028" s="45"/>
      <c r="D1028" s="45"/>
      <c r="E1028" s="45"/>
      <c r="F1028" s="45"/>
      <c r="G1028" s="45"/>
      <c r="H1028" s="45"/>
      <c r="I1028" s="45"/>
      <c r="J1028" s="45"/>
      <c r="K1028" s="45"/>
      <c r="L1028" s="45"/>
      <c r="N1028" s="46"/>
      <c r="P1028" s="47"/>
      <c r="Q1028" s="47"/>
      <c r="R1028" s="47"/>
      <c r="V1028" s="45"/>
    </row>
    <row r="1029" spans="3:22" ht="14.25" customHeight="1">
      <c r="C1029" s="45"/>
      <c r="D1029" s="45"/>
      <c r="E1029" s="45"/>
      <c r="F1029" s="45"/>
      <c r="G1029" s="45"/>
      <c r="H1029" s="45"/>
      <c r="I1029" s="45"/>
      <c r="J1029" s="45"/>
      <c r="K1029" s="45"/>
      <c r="L1029" s="45"/>
      <c r="N1029" s="46"/>
      <c r="P1029" s="47"/>
      <c r="Q1029" s="47"/>
      <c r="R1029" s="47"/>
      <c r="V1029" s="45"/>
    </row>
    <row r="1030" spans="3:22" ht="14.25" customHeight="1">
      <c r="C1030" s="45"/>
      <c r="D1030" s="45"/>
      <c r="E1030" s="45"/>
      <c r="F1030" s="45"/>
      <c r="G1030" s="45"/>
      <c r="H1030" s="45"/>
      <c r="I1030" s="45"/>
      <c r="J1030" s="45"/>
      <c r="K1030" s="45"/>
      <c r="L1030" s="45"/>
      <c r="N1030" s="46"/>
      <c r="P1030" s="47"/>
      <c r="Q1030" s="47"/>
      <c r="R1030" s="47"/>
      <c r="V1030" s="45"/>
    </row>
    <row r="1031" spans="3:22" ht="14.25" customHeight="1">
      <c r="C1031" s="45"/>
      <c r="D1031" s="45"/>
      <c r="E1031" s="45"/>
      <c r="F1031" s="45"/>
      <c r="G1031" s="45"/>
      <c r="H1031" s="45"/>
      <c r="I1031" s="45"/>
      <c r="J1031" s="45"/>
      <c r="K1031" s="45"/>
      <c r="L1031" s="45"/>
      <c r="N1031" s="46"/>
      <c r="P1031" s="47"/>
      <c r="Q1031" s="47"/>
      <c r="R1031" s="47"/>
      <c r="V1031" s="45"/>
    </row>
    <row r="1032" spans="3:22" ht="14.25" customHeight="1">
      <c r="C1032" s="45"/>
      <c r="D1032" s="45"/>
      <c r="E1032" s="45"/>
      <c r="F1032" s="45"/>
      <c r="G1032" s="45"/>
      <c r="H1032" s="45"/>
      <c r="I1032" s="45"/>
      <c r="J1032" s="45"/>
      <c r="K1032" s="45"/>
      <c r="L1032" s="45"/>
      <c r="N1032" s="46"/>
      <c r="P1032" s="47"/>
      <c r="Q1032" s="47"/>
      <c r="R1032" s="47"/>
      <c r="V1032" s="45"/>
    </row>
    <row r="1033" spans="3:22" ht="14.25" customHeight="1">
      <c r="C1033" s="45"/>
      <c r="D1033" s="45"/>
      <c r="E1033" s="45"/>
      <c r="F1033" s="45"/>
      <c r="G1033" s="45"/>
      <c r="H1033" s="45"/>
      <c r="I1033" s="45"/>
      <c r="J1033" s="45"/>
      <c r="K1033" s="45"/>
      <c r="L1033" s="45"/>
      <c r="N1033" s="46"/>
      <c r="P1033" s="47"/>
      <c r="Q1033" s="47"/>
      <c r="R1033" s="47"/>
      <c r="V1033" s="45"/>
    </row>
    <row r="1034" spans="3:22" ht="14.25" customHeight="1">
      <c r="C1034" s="45"/>
      <c r="D1034" s="45"/>
      <c r="E1034" s="45"/>
      <c r="F1034" s="45"/>
      <c r="G1034" s="45"/>
      <c r="H1034" s="45"/>
      <c r="I1034" s="45"/>
      <c r="J1034" s="45"/>
      <c r="K1034" s="45"/>
      <c r="L1034" s="45"/>
      <c r="N1034" s="46"/>
      <c r="P1034" s="47"/>
      <c r="Q1034" s="47"/>
      <c r="R1034" s="47"/>
      <c r="V1034" s="45"/>
    </row>
    <row r="1035" spans="3:22" ht="14.25" customHeight="1">
      <c r="C1035" s="45"/>
      <c r="D1035" s="45"/>
      <c r="E1035" s="45"/>
      <c r="F1035" s="45"/>
      <c r="G1035" s="45"/>
      <c r="H1035" s="45"/>
      <c r="I1035" s="45"/>
      <c r="J1035" s="45"/>
      <c r="K1035" s="45"/>
      <c r="L1035" s="45"/>
      <c r="N1035" s="46"/>
      <c r="P1035" s="47"/>
      <c r="Q1035" s="47"/>
      <c r="R1035" s="47"/>
      <c r="V1035" s="45"/>
    </row>
    <row r="1036" spans="3:22" ht="14.25" customHeight="1">
      <c r="C1036" s="45"/>
      <c r="D1036" s="45"/>
      <c r="E1036" s="45"/>
      <c r="F1036" s="45"/>
      <c r="G1036" s="45"/>
      <c r="H1036" s="45"/>
      <c r="I1036" s="45"/>
      <c r="J1036" s="45"/>
      <c r="K1036" s="45"/>
      <c r="L1036" s="45"/>
      <c r="N1036" s="46"/>
      <c r="P1036" s="47"/>
      <c r="Q1036" s="47"/>
      <c r="R1036" s="47"/>
      <c r="V1036" s="45"/>
    </row>
    <row r="1037" spans="3:22" ht="14.25" customHeight="1">
      <c r="C1037" s="45"/>
      <c r="D1037" s="45"/>
      <c r="E1037" s="45"/>
      <c r="F1037" s="45"/>
      <c r="G1037" s="45"/>
      <c r="H1037" s="45"/>
      <c r="I1037" s="45"/>
      <c r="J1037" s="45"/>
      <c r="K1037" s="45"/>
      <c r="L1037" s="45"/>
      <c r="N1037" s="46"/>
      <c r="P1037" s="47"/>
      <c r="Q1037" s="47"/>
      <c r="R1037" s="47"/>
      <c r="V1037" s="45"/>
    </row>
    <row r="1038" spans="3:22" ht="14.25" customHeight="1">
      <c r="C1038" s="45"/>
      <c r="D1038" s="45"/>
      <c r="E1038" s="45"/>
      <c r="F1038" s="45"/>
      <c r="G1038" s="45"/>
      <c r="H1038" s="45"/>
      <c r="I1038" s="45"/>
      <c r="J1038" s="45"/>
      <c r="K1038" s="45"/>
      <c r="L1038" s="45"/>
      <c r="N1038" s="46"/>
      <c r="P1038" s="47"/>
      <c r="Q1038" s="47"/>
      <c r="R1038" s="47"/>
      <c r="V1038" s="45"/>
    </row>
    <row r="1039" spans="3:22" ht="14.25" customHeight="1">
      <c r="C1039" s="45"/>
      <c r="D1039" s="45"/>
      <c r="E1039" s="45"/>
      <c r="F1039" s="45"/>
      <c r="G1039" s="45"/>
      <c r="H1039" s="45"/>
      <c r="I1039" s="45"/>
      <c r="J1039" s="45"/>
      <c r="K1039" s="45"/>
      <c r="L1039" s="45"/>
      <c r="N1039" s="46"/>
      <c r="P1039" s="47"/>
      <c r="Q1039" s="47"/>
      <c r="R1039" s="47"/>
      <c r="V1039" s="45"/>
    </row>
    <row r="1040" spans="3:22" ht="14.25" customHeight="1">
      <c r="C1040" s="45"/>
      <c r="D1040" s="45"/>
      <c r="E1040" s="45"/>
      <c r="F1040" s="45"/>
      <c r="G1040" s="45"/>
      <c r="H1040" s="45"/>
      <c r="I1040" s="45"/>
      <c r="J1040" s="45"/>
      <c r="K1040" s="45"/>
      <c r="L1040" s="45"/>
      <c r="N1040" s="46"/>
      <c r="P1040" s="47"/>
      <c r="Q1040" s="47"/>
      <c r="R1040" s="47"/>
      <c r="V1040" s="45"/>
    </row>
    <row r="1041" spans="3:22" ht="14.25" customHeight="1">
      <c r="C1041" s="45"/>
      <c r="D1041" s="45"/>
      <c r="E1041" s="45"/>
      <c r="F1041" s="45"/>
      <c r="G1041" s="45"/>
      <c r="H1041" s="45"/>
      <c r="I1041" s="45"/>
      <c r="J1041" s="45"/>
      <c r="K1041" s="45"/>
      <c r="L1041" s="45"/>
      <c r="N1041" s="46"/>
      <c r="P1041" s="47"/>
      <c r="Q1041" s="47"/>
      <c r="R1041" s="47"/>
      <c r="V1041" s="45"/>
    </row>
    <row r="1042" spans="3:22" ht="14.25" customHeight="1">
      <c r="C1042" s="45"/>
      <c r="D1042" s="45"/>
      <c r="E1042" s="45"/>
      <c r="F1042" s="45"/>
      <c r="G1042" s="45"/>
      <c r="H1042" s="45"/>
      <c r="I1042" s="45"/>
      <c r="J1042" s="45"/>
      <c r="K1042" s="45"/>
      <c r="L1042" s="45"/>
      <c r="N1042" s="46"/>
      <c r="P1042" s="47"/>
      <c r="Q1042" s="47"/>
      <c r="R1042" s="47"/>
      <c r="V1042" s="45"/>
    </row>
    <row r="1043" spans="3:22" ht="14.25" customHeight="1">
      <c r="C1043" s="45"/>
      <c r="D1043" s="45"/>
      <c r="E1043" s="45"/>
      <c r="F1043" s="45"/>
      <c r="G1043" s="45"/>
      <c r="H1043" s="45"/>
      <c r="I1043" s="45"/>
      <c r="J1043" s="45"/>
      <c r="K1043" s="45"/>
      <c r="L1043" s="45"/>
      <c r="N1043" s="46"/>
      <c r="P1043" s="47"/>
      <c r="Q1043" s="47"/>
      <c r="R1043" s="47"/>
      <c r="V1043" s="45"/>
    </row>
    <row r="1044" spans="3:22" ht="14.25" customHeight="1">
      <c r="C1044" s="45"/>
      <c r="D1044" s="45"/>
      <c r="E1044" s="45"/>
      <c r="F1044" s="45"/>
      <c r="G1044" s="45"/>
      <c r="H1044" s="45"/>
      <c r="I1044" s="45"/>
      <c r="J1044" s="45"/>
      <c r="K1044" s="45"/>
      <c r="L1044" s="45"/>
      <c r="N1044" s="46"/>
      <c r="P1044" s="47"/>
      <c r="Q1044" s="47"/>
      <c r="R1044" s="47"/>
      <c r="V1044" s="45"/>
    </row>
    <row r="1045" spans="3:22" ht="14.25" customHeight="1">
      <c r="C1045" s="45"/>
      <c r="D1045" s="45"/>
      <c r="E1045" s="45"/>
      <c r="F1045" s="45"/>
      <c r="G1045" s="45"/>
      <c r="H1045" s="45"/>
      <c r="I1045" s="45"/>
      <c r="J1045" s="45"/>
      <c r="K1045" s="45"/>
      <c r="L1045" s="45"/>
      <c r="N1045" s="46"/>
      <c r="P1045" s="47"/>
      <c r="Q1045" s="47"/>
      <c r="R1045" s="47"/>
      <c r="V1045" s="45"/>
    </row>
    <row r="1046" spans="3:22" ht="14.25" customHeight="1">
      <c r="C1046" s="45"/>
      <c r="D1046" s="45"/>
      <c r="E1046" s="45"/>
      <c r="F1046" s="45"/>
      <c r="G1046" s="45"/>
      <c r="H1046" s="45"/>
      <c r="I1046" s="45"/>
      <c r="J1046" s="45"/>
      <c r="K1046" s="45"/>
      <c r="L1046" s="45"/>
      <c r="N1046" s="46"/>
      <c r="P1046" s="47"/>
      <c r="Q1046" s="47"/>
      <c r="R1046" s="47"/>
      <c r="V1046" s="45"/>
    </row>
    <row r="1047" spans="3:22" ht="14.25" customHeight="1">
      <c r="C1047" s="45"/>
      <c r="D1047" s="45"/>
      <c r="E1047" s="45"/>
      <c r="F1047" s="45"/>
      <c r="G1047" s="45"/>
      <c r="H1047" s="45"/>
      <c r="I1047" s="45"/>
      <c r="J1047" s="45"/>
      <c r="K1047" s="45"/>
      <c r="L1047" s="45"/>
      <c r="N1047" s="46"/>
      <c r="P1047" s="47"/>
      <c r="Q1047" s="47"/>
      <c r="R1047" s="47"/>
      <c r="V1047" s="45"/>
    </row>
    <row r="1048" spans="3:22" ht="14.25" customHeight="1">
      <c r="C1048" s="45"/>
      <c r="D1048" s="45"/>
      <c r="E1048" s="45"/>
      <c r="F1048" s="45"/>
      <c r="G1048" s="45"/>
      <c r="H1048" s="45"/>
      <c r="I1048" s="45"/>
      <c r="J1048" s="45"/>
      <c r="K1048" s="45"/>
      <c r="L1048" s="45"/>
      <c r="N1048" s="46"/>
      <c r="P1048" s="47"/>
      <c r="Q1048" s="47"/>
      <c r="R1048" s="47"/>
      <c r="V1048" s="45"/>
    </row>
    <row r="1049" spans="3:22" ht="14.25" customHeight="1">
      <c r="C1049" s="45"/>
      <c r="D1049" s="45"/>
      <c r="E1049" s="45"/>
      <c r="F1049" s="45"/>
      <c r="G1049" s="45"/>
      <c r="H1049" s="45"/>
      <c r="I1049" s="45"/>
      <c r="J1049" s="45"/>
      <c r="K1049" s="45"/>
      <c r="L1049" s="45"/>
      <c r="N1049" s="46"/>
      <c r="P1049" s="47"/>
      <c r="Q1049" s="47"/>
      <c r="R1049" s="47"/>
      <c r="V1049" s="45"/>
    </row>
    <row r="1050" spans="3:22" ht="14.25" customHeight="1">
      <c r="C1050" s="45"/>
      <c r="D1050" s="45"/>
      <c r="E1050" s="45"/>
      <c r="F1050" s="45"/>
      <c r="G1050" s="45"/>
      <c r="H1050" s="45"/>
      <c r="I1050" s="45"/>
      <c r="J1050" s="45"/>
      <c r="K1050" s="45"/>
      <c r="L1050" s="45"/>
      <c r="N1050" s="46"/>
      <c r="P1050" s="47"/>
      <c r="Q1050" s="47"/>
      <c r="R1050" s="47"/>
      <c r="V1050" s="45"/>
    </row>
    <row r="1051" spans="3:22" ht="14.25" customHeight="1">
      <c r="C1051" s="45"/>
      <c r="D1051" s="45"/>
      <c r="E1051" s="45"/>
      <c r="F1051" s="45"/>
      <c r="G1051" s="45"/>
      <c r="H1051" s="45"/>
      <c r="I1051" s="45"/>
      <c r="J1051" s="45"/>
      <c r="K1051" s="45"/>
      <c r="L1051" s="45"/>
      <c r="N1051" s="46"/>
      <c r="P1051" s="47"/>
      <c r="Q1051" s="47"/>
      <c r="R1051" s="47"/>
      <c r="V1051" s="45"/>
    </row>
    <row r="1052" spans="3:22" ht="14.25" customHeight="1">
      <c r="C1052" s="45"/>
      <c r="D1052" s="45"/>
      <c r="E1052" s="45"/>
      <c r="F1052" s="45"/>
      <c r="G1052" s="45"/>
      <c r="H1052" s="45"/>
      <c r="I1052" s="45"/>
      <c r="J1052" s="45"/>
      <c r="K1052" s="45"/>
      <c r="L1052" s="45"/>
      <c r="N1052" s="46"/>
      <c r="P1052" s="47"/>
      <c r="Q1052" s="47"/>
      <c r="R1052" s="47"/>
      <c r="V1052" s="45"/>
    </row>
    <row r="1053" spans="3:22" ht="14.25" customHeight="1">
      <c r="C1053" s="45"/>
      <c r="D1053" s="45"/>
      <c r="E1053" s="45"/>
      <c r="F1053" s="45"/>
      <c r="G1053" s="45"/>
      <c r="H1053" s="45"/>
      <c r="I1053" s="45"/>
      <c r="J1053" s="45"/>
      <c r="K1053" s="45"/>
      <c r="L1053" s="45"/>
      <c r="N1053" s="46"/>
      <c r="P1053" s="47"/>
      <c r="Q1053" s="47"/>
      <c r="R1053" s="47"/>
      <c r="V1053" s="45"/>
    </row>
    <row r="1054" spans="3:22" ht="14.25" customHeight="1">
      <c r="C1054" s="45"/>
      <c r="D1054" s="45"/>
      <c r="E1054" s="45"/>
      <c r="F1054" s="45"/>
      <c r="G1054" s="45"/>
      <c r="H1054" s="45"/>
      <c r="I1054" s="45"/>
      <c r="J1054" s="45"/>
      <c r="K1054" s="45"/>
      <c r="L1054" s="45"/>
      <c r="N1054" s="46"/>
      <c r="P1054" s="47"/>
      <c r="Q1054" s="47"/>
      <c r="R1054" s="47"/>
      <c r="V1054" s="45"/>
    </row>
    <row r="1055" spans="3:22" ht="14.25" customHeight="1">
      <c r="C1055" s="45"/>
      <c r="D1055" s="45"/>
      <c r="E1055" s="45"/>
      <c r="F1055" s="45"/>
      <c r="G1055" s="45"/>
      <c r="H1055" s="45"/>
      <c r="I1055" s="45"/>
      <c r="J1055" s="45"/>
      <c r="K1055" s="45"/>
      <c r="L1055" s="45"/>
      <c r="N1055" s="46"/>
      <c r="P1055" s="47"/>
      <c r="Q1055" s="47"/>
      <c r="R1055" s="47"/>
      <c r="V1055" s="45"/>
    </row>
    <row r="1056" spans="3:22" ht="14.25" customHeight="1">
      <c r="C1056" s="45"/>
      <c r="D1056" s="45"/>
      <c r="E1056" s="45"/>
      <c r="F1056" s="45"/>
      <c r="G1056" s="45"/>
      <c r="H1056" s="45"/>
      <c r="I1056" s="45"/>
      <c r="J1056" s="45"/>
      <c r="K1056" s="45"/>
      <c r="L1056" s="45"/>
      <c r="N1056" s="46"/>
      <c r="P1056" s="47"/>
      <c r="Q1056" s="47"/>
      <c r="R1056" s="47"/>
      <c r="V1056" s="45"/>
    </row>
    <row r="1057" spans="3:22" ht="14.25" customHeight="1">
      <c r="C1057" s="45"/>
      <c r="D1057" s="45"/>
      <c r="E1057" s="45"/>
      <c r="F1057" s="45"/>
      <c r="G1057" s="45"/>
      <c r="H1057" s="45"/>
      <c r="I1057" s="45"/>
      <c r="J1057" s="45"/>
      <c r="K1057" s="45"/>
      <c r="L1057" s="45"/>
      <c r="N1057" s="46"/>
      <c r="P1057" s="47"/>
      <c r="Q1057" s="47"/>
      <c r="R1057" s="47"/>
      <c r="V1057" s="45"/>
    </row>
    <row r="1058" spans="3:22" ht="14.25" customHeight="1">
      <c r="C1058" s="45"/>
      <c r="D1058" s="45"/>
      <c r="E1058" s="45"/>
      <c r="F1058" s="45"/>
      <c r="G1058" s="45"/>
      <c r="H1058" s="45"/>
      <c r="I1058" s="45"/>
      <c r="J1058" s="45"/>
      <c r="K1058" s="45"/>
      <c r="L1058" s="45"/>
      <c r="N1058" s="46"/>
      <c r="P1058" s="47"/>
      <c r="Q1058" s="47"/>
      <c r="R1058" s="47"/>
      <c r="V1058" s="45"/>
    </row>
    <row r="1059" spans="3:22" ht="14.25" customHeight="1">
      <c r="C1059" s="45"/>
      <c r="D1059" s="45"/>
      <c r="E1059" s="45"/>
      <c r="F1059" s="45"/>
      <c r="G1059" s="45"/>
      <c r="H1059" s="45"/>
      <c r="I1059" s="45"/>
      <c r="J1059" s="45"/>
      <c r="K1059" s="45"/>
      <c r="L1059" s="45"/>
      <c r="N1059" s="46"/>
      <c r="P1059" s="47"/>
      <c r="Q1059" s="47"/>
      <c r="R1059" s="47"/>
      <c r="V1059" s="45"/>
    </row>
    <row r="1060" spans="3:22" ht="14.25" customHeight="1">
      <c r="C1060" s="45"/>
      <c r="D1060" s="45"/>
      <c r="E1060" s="45"/>
      <c r="F1060" s="45"/>
      <c r="G1060" s="45"/>
      <c r="H1060" s="45"/>
      <c r="I1060" s="45"/>
      <c r="J1060" s="45"/>
      <c r="K1060" s="45"/>
      <c r="L1060" s="45"/>
      <c r="N1060" s="46"/>
      <c r="P1060" s="47"/>
      <c r="Q1060" s="47"/>
      <c r="R1060" s="47"/>
      <c r="V1060" s="45"/>
    </row>
    <row r="1061" spans="3:22" ht="14.25" customHeight="1">
      <c r="C1061" s="45"/>
      <c r="D1061" s="45"/>
      <c r="E1061" s="45"/>
      <c r="F1061" s="45"/>
      <c r="G1061" s="45"/>
      <c r="H1061" s="45"/>
      <c r="I1061" s="45"/>
      <c r="J1061" s="45"/>
      <c r="K1061" s="45"/>
      <c r="L1061" s="45"/>
      <c r="N1061" s="46"/>
      <c r="P1061" s="47"/>
      <c r="Q1061" s="47"/>
      <c r="R1061" s="47"/>
      <c r="V1061" s="45"/>
    </row>
    <row r="1062" spans="3:22" ht="14.25" customHeight="1">
      <c r="C1062" s="45"/>
      <c r="D1062" s="45"/>
      <c r="E1062" s="45"/>
      <c r="F1062" s="45"/>
      <c r="G1062" s="45"/>
      <c r="H1062" s="45"/>
      <c r="I1062" s="45"/>
      <c r="J1062" s="45"/>
      <c r="K1062" s="45"/>
      <c r="L1062" s="45"/>
      <c r="N1062" s="46"/>
      <c r="P1062" s="47"/>
      <c r="Q1062" s="47"/>
      <c r="R1062" s="47"/>
      <c r="V1062" s="45"/>
    </row>
    <row r="1063" spans="3:22" ht="14.25" customHeight="1">
      <c r="C1063" s="45"/>
      <c r="D1063" s="45"/>
      <c r="E1063" s="45"/>
      <c r="F1063" s="45"/>
      <c r="G1063" s="45"/>
      <c r="H1063" s="45"/>
      <c r="I1063" s="45"/>
      <c r="J1063" s="45"/>
      <c r="K1063" s="45"/>
      <c r="L1063" s="45"/>
      <c r="N1063" s="46"/>
      <c r="P1063" s="47"/>
      <c r="Q1063" s="47"/>
      <c r="R1063" s="47"/>
      <c r="V1063" s="45"/>
    </row>
    <row r="1064" spans="3:22" ht="14.25" customHeight="1">
      <c r="C1064" s="45"/>
      <c r="D1064" s="45"/>
      <c r="E1064" s="45"/>
      <c r="F1064" s="45"/>
      <c r="G1064" s="45"/>
      <c r="H1064" s="45"/>
      <c r="I1064" s="45"/>
      <c r="J1064" s="45"/>
      <c r="K1064" s="45"/>
      <c r="L1064" s="45"/>
      <c r="N1064" s="46"/>
      <c r="P1064" s="47"/>
      <c r="Q1064" s="47"/>
      <c r="R1064" s="47"/>
      <c r="V1064" s="45"/>
    </row>
    <row r="1065" spans="3:22" ht="14.25" customHeight="1">
      <c r="C1065" s="45"/>
      <c r="D1065" s="45"/>
      <c r="E1065" s="45"/>
      <c r="F1065" s="45"/>
      <c r="G1065" s="45"/>
      <c r="H1065" s="45"/>
      <c r="I1065" s="45"/>
      <c r="J1065" s="45"/>
      <c r="K1065" s="45"/>
      <c r="L1065" s="45"/>
      <c r="N1065" s="46"/>
      <c r="P1065" s="47"/>
      <c r="Q1065" s="47"/>
      <c r="R1065" s="47"/>
      <c r="V1065" s="45"/>
    </row>
    <row r="1066" spans="3:22" ht="14.25" customHeight="1">
      <c r="C1066" s="45"/>
      <c r="D1066" s="45"/>
      <c r="E1066" s="45"/>
      <c r="F1066" s="45"/>
      <c r="G1066" s="45"/>
      <c r="H1066" s="45"/>
      <c r="I1066" s="45"/>
      <c r="J1066" s="45"/>
      <c r="K1066" s="45"/>
      <c r="L1066" s="45"/>
      <c r="N1066" s="46"/>
      <c r="P1066" s="47"/>
      <c r="Q1066" s="47"/>
      <c r="R1066" s="47"/>
      <c r="V1066" s="45"/>
    </row>
    <row r="1067" spans="3:22" ht="14.25" customHeight="1">
      <c r="C1067" s="45"/>
      <c r="D1067" s="45"/>
      <c r="E1067" s="45"/>
      <c r="F1067" s="45"/>
      <c r="G1067" s="45"/>
      <c r="H1067" s="45"/>
      <c r="I1067" s="45"/>
      <c r="J1067" s="45"/>
      <c r="K1067" s="45"/>
      <c r="L1067" s="45"/>
      <c r="N1067" s="46"/>
      <c r="P1067" s="47"/>
      <c r="Q1067" s="47"/>
      <c r="R1067" s="47"/>
      <c r="V1067" s="45"/>
    </row>
    <row r="1068" spans="3:22" ht="14.25" customHeight="1">
      <c r="C1068" s="45"/>
      <c r="D1068" s="45"/>
      <c r="E1068" s="45"/>
      <c r="F1068" s="45"/>
      <c r="G1068" s="45"/>
      <c r="H1068" s="45"/>
      <c r="I1068" s="45"/>
      <c r="J1068" s="45"/>
      <c r="K1068" s="45"/>
      <c r="L1068" s="45"/>
      <c r="N1068" s="46"/>
      <c r="P1068" s="47"/>
      <c r="Q1068" s="47"/>
      <c r="R1068" s="47"/>
      <c r="V1068" s="45"/>
    </row>
    <row r="1069" spans="3:22" ht="14.25" customHeight="1">
      <c r="C1069" s="45"/>
      <c r="D1069" s="45"/>
      <c r="E1069" s="45"/>
      <c r="F1069" s="45"/>
      <c r="G1069" s="45"/>
      <c r="H1069" s="45"/>
      <c r="I1069" s="45"/>
      <c r="J1069" s="45"/>
      <c r="K1069" s="45"/>
      <c r="L1069" s="45"/>
      <c r="N1069" s="46"/>
      <c r="P1069" s="47"/>
      <c r="Q1069" s="47"/>
      <c r="R1069" s="47"/>
      <c r="V1069" s="45"/>
    </row>
    <row r="1070" spans="3:22" ht="14.25" customHeight="1">
      <c r="C1070" s="45"/>
      <c r="D1070" s="45"/>
      <c r="E1070" s="45"/>
      <c r="F1070" s="45"/>
      <c r="G1070" s="45"/>
      <c r="H1070" s="45"/>
      <c r="I1070" s="45"/>
      <c r="J1070" s="45"/>
      <c r="K1070" s="45"/>
      <c r="L1070" s="45"/>
      <c r="N1070" s="46"/>
      <c r="P1070" s="47"/>
      <c r="Q1070" s="47"/>
      <c r="R1070" s="47"/>
      <c r="V1070" s="45"/>
    </row>
    <row r="1071" spans="3:22" ht="14.25" customHeight="1">
      <c r="C1071" s="45"/>
      <c r="D1071" s="45"/>
      <c r="E1071" s="45"/>
      <c r="F1071" s="45"/>
      <c r="G1071" s="45"/>
      <c r="H1071" s="45"/>
      <c r="I1071" s="45"/>
      <c r="J1071" s="45"/>
      <c r="K1071" s="45"/>
      <c r="L1071" s="45"/>
      <c r="N1071" s="46"/>
      <c r="P1071" s="47"/>
      <c r="Q1071" s="47"/>
      <c r="R1071" s="47"/>
      <c r="V1071" s="45"/>
    </row>
    <row r="1072" spans="3:22" ht="14.25" customHeight="1">
      <c r="C1072" s="45"/>
      <c r="D1072" s="45"/>
      <c r="E1072" s="45"/>
      <c r="F1072" s="45"/>
      <c r="G1072" s="45"/>
      <c r="H1072" s="45"/>
      <c r="I1072" s="45"/>
      <c r="J1072" s="45"/>
      <c r="K1072" s="45"/>
      <c r="L1072" s="45"/>
      <c r="N1072" s="46"/>
      <c r="P1072" s="47"/>
      <c r="Q1072" s="47"/>
      <c r="R1072" s="47"/>
      <c r="V1072" s="45"/>
    </row>
    <row r="1073" spans="3:22" ht="14.25" customHeight="1">
      <c r="C1073" s="45"/>
      <c r="D1073" s="45"/>
      <c r="E1073" s="45"/>
      <c r="F1073" s="45"/>
      <c r="G1073" s="45"/>
      <c r="H1073" s="45"/>
      <c r="I1073" s="45"/>
      <c r="J1073" s="45"/>
      <c r="K1073" s="45"/>
      <c r="L1073" s="45"/>
      <c r="N1073" s="46"/>
      <c r="P1073" s="47"/>
      <c r="Q1073" s="47"/>
      <c r="R1073" s="47"/>
      <c r="V1073" s="45"/>
    </row>
    <row r="1074" spans="3:22" ht="14.25" customHeight="1">
      <c r="C1074" s="45"/>
      <c r="D1074" s="45"/>
      <c r="E1074" s="45"/>
      <c r="F1074" s="45"/>
      <c r="G1074" s="45"/>
      <c r="H1074" s="45"/>
      <c r="I1074" s="45"/>
      <c r="J1074" s="45"/>
      <c r="K1074" s="45"/>
      <c r="L1074" s="45"/>
      <c r="N1074" s="46"/>
      <c r="P1074" s="47"/>
      <c r="Q1074" s="47"/>
      <c r="R1074" s="47"/>
      <c r="V1074" s="45"/>
    </row>
    <row r="1075" spans="3:22" ht="14.25" customHeight="1">
      <c r="C1075" s="45"/>
      <c r="D1075" s="45"/>
      <c r="E1075" s="45"/>
      <c r="F1075" s="45"/>
      <c r="G1075" s="45"/>
      <c r="H1075" s="45"/>
      <c r="I1075" s="45"/>
      <c r="J1075" s="45"/>
      <c r="K1075" s="45"/>
      <c r="L1075" s="45"/>
      <c r="N1075" s="46"/>
      <c r="P1075" s="47"/>
      <c r="Q1075" s="47"/>
      <c r="R1075" s="47"/>
      <c r="V1075" s="45"/>
    </row>
    <row r="1076" spans="3:22" ht="14.25" customHeight="1">
      <c r="C1076" s="45"/>
      <c r="D1076" s="45"/>
      <c r="E1076" s="45"/>
      <c r="F1076" s="45"/>
      <c r="G1076" s="45"/>
      <c r="H1076" s="45"/>
      <c r="I1076" s="45"/>
      <c r="J1076" s="45"/>
      <c r="K1076" s="45"/>
      <c r="L1076" s="45"/>
      <c r="N1076" s="46"/>
      <c r="P1076" s="47"/>
      <c r="Q1076" s="47"/>
      <c r="R1076" s="47"/>
      <c r="V1076" s="45"/>
    </row>
    <row r="1077" spans="3:22" ht="14.25" customHeight="1">
      <c r="C1077" s="45"/>
      <c r="D1077" s="45"/>
      <c r="E1077" s="45"/>
      <c r="F1077" s="45"/>
      <c r="G1077" s="45"/>
      <c r="H1077" s="45"/>
      <c r="I1077" s="45"/>
      <c r="J1077" s="45"/>
      <c r="K1077" s="45"/>
      <c r="L1077" s="45"/>
      <c r="N1077" s="46"/>
      <c r="P1077" s="47"/>
      <c r="Q1077" s="47"/>
      <c r="R1077" s="47"/>
      <c r="V1077" s="45"/>
    </row>
    <row r="1078" spans="3:22" ht="14.25" customHeight="1">
      <c r="C1078" s="45"/>
      <c r="D1078" s="45"/>
      <c r="E1078" s="45"/>
      <c r="F1078" s="45"/>
      <c r="G1078" s="45"/>
      <c r="H1078" s="45"/>
      <c r="I1078" s="45"/>
      <c r="J1078" s="45"/>
      <c r="K1078" s="45"/>
      <c r="L1078" s="45"/>
      <c r="N1078" s="46"/>
      <c r="P1078" s="47"/>
      <c r="Q1078" s="47"/>
      <c r="R1078" s="47"/>
      <c r="V1078" s="45"/>
    </row>
    <row r="1079" spans="3:22" ht="14.25" customHeight="1">
      <c r="C1079" s="45"/>
      <c r="D1079" s="45"/>
      <c r="E1079" s="45"/>
      <c r="F1079" s="45"/>
      <c r="G1079" s="45"/>
      <c r="H1079" s="45"/>
      <c r="I1079" s="45"/>
      <c r="J1079" s="45"/>
      <c r="K1079" s="45"/>
      <c r="L1079" s="45"/>
      <c r="N1079" s="46"/>
      <c r="P1079" s="47"/>
      <c r="Q1079" s="47"/>
      <c r="R1079" s="47"/>
      <c r="V1079" s="45"/>
    </row>
    <row r="1080" spans="3:22" ht="14.25" customHeight="1">
      <c r="C1080" s="45"/>
      <c r="D1080" s="45"/>
      <c r="E1080" s="45"/>
      <c r="F1080" s="45"/>
      <c r="G1080" s="45"/>
      <c r="H1080" s="45"/>
      <c r="I1080" s="45"/>
      <c r="J1080" s="45"/>
      <c r="K1080" s="45"/>
      <c r="L1080" s="45"/>
      <c r="N1080" s="46"/>
      <c r="P1080" s="47"/>
      <c r="Q1080" s="47"/>
      <c r="R1080" s="47"/>
      <c r="V1080" s="45"/>
    </row>
    <row r="1081" spans="3:22" ht="14.25" customHeight="1">
      <c r="C1081" s="45"/>
      <c r="D1081" s="45"/>
      <c r="E1081" s="45"/>
      <c r="F1081" s="45"/>
      <c r="G1081" s="45"/>
      <c r="H1081" s="45"/>
      <c r="I1081" s="45"/>
      <c r="J1081" s="45"/>
      <c r="K1081" s="45"/>
      <c r="L1081" s="45"/>
      <c r="N1081" s="46"/>
      <c r="P1081" s="47"/>
      <c r="Q1081" s="47"/>
      <c r="R1081" s="47"/>
      <c r="V1081" s="45"/>
    </row>
    <row r="1082" spans="3:22" ht="14.25" customHeight="1">
      <c r="C1082" s="45"/>
      <c r="D1082" s="45"/>
      <c r="E1082" s="45"/>
      <c r="F1082" s="45"/>
      <c r="G1082" s="45"/>
      <c r="H1082" s="45"/>
      <c r="I1082" s="45"/>
      <c r="J1082" s="45"/>
      <c r="K1082" s="45"/>
      <c r="L1082" s="45"/>
      <c r="N1082" s="46"/>
      <c r="P1082" s="47"/>
      <c r="Q1082" s="47"/>
      <c r="R1082" s="47"/>
      <c r="V1082" s="45"/>
    </row>
    <row r="1083" spans="3:22" ht="14.25" customHeight="1">
      <c r="C1083" s="45"/>
      <c r="D1083" s="45"/>
      <c r="E1083" s="45"/>
      <c r="F1083" s="45"/>
      <c r="G1083" s="45"/>
      <c r="H1083" s="45"/>
      <c r="I1083" s="45"/>
      <c r="J1083" s="45"/>
      <c r="K1083" s="45"/>
      <c r="L1083" s="45"/>
      <c r="N1083" s="46"/>
      <c r="P1083" s="47"/>
      <c r="Q1083" s="47"/>
      <c r="R1083" s="47"/>
      <c r="V1083" s="45"/>
    </row>
    <row r="1084" spans="3:22" ht="14.25" customHeight="1">
      <c r="C1084" s="45"/>
      <c r="D1084" s="45"/>
      <c r="E1084" s="45"/>
      <c r="F1084" s="45"/>
      <c r="G1084" s="45"/>
      <c r="H1084" s="45"/>
      <c r="I1084" s="45"/>
      <c r="J1084" s="45"/>
      <c r="K1084" s="45"/>
      <c r="L1084" s="45"/>
      <c r="N1084" s="46"/>
      <c r="P1084" s="47"/>
      <c r="Q1084" s="47"/>
      <c r="R1084" s="47"/>
      <c r="V1084" s="45"/>
    </row>
    <row r="1085" spans="3:22" ht="14.25" customHeight="1">
      <c r="C1085" s="45"/>
      <c r="D1085" s="45"/>
      <c r="E1085" s="45"/>
      <c r="F1085" s="45"/>
      <c r="G1085" s="45"/>
      <c r="H1085" s="45"/>
      <c r="I1085" s="45"/>
      <c r="J1085" s="45"/>
      <c r="K1085" s="45"/>
      <c r="L1085" s="45"/>
      <c r="N1085" s="46"/>
      <c r="P1085" s="47"/>
      <c r="Q1085" s="47"/>
      <c r="R1085" s="47"/>
      <c r="V1085" s="45"/>
    </row>
    <row r="1086" spans="3:22" ht="14.25" customHeight="1">
      <c r="C1086" s="45"/>
      <c r="D1086" s="45"/>
      <c r="E1086" s="45"/>
      <c r="F1086" s="45"/>
      <c r="G1086" s="45"/>
      <c r="H1086" s="45"/>
      <c r="I1086" s="45"/>
      <c r="J1086" s="45"/>
      <c r="K1086" s="45"/>
      <c r="L1086" s="45"/>
      <c r="N1086" s="46"/>
      <c r="P1086" s="47"/>
      <c r="Q1086" s="47"/>
      <c r="R1086" s="47"/>
      <c r="V1086" s="45"/>
    </row>
    <row r="1087" spans="3:22" ht="14.25" customHeight="1">
      <c r="C1087" s="45"/>
      <c r="D1087" s="45"/>
      <c r="E1087" s="45"/>
      <c r="F1087" s="45"/>
      <c r="G1087" s="45"/>
      <c r="H1087" s="45"/>
      <c r="I1087" s="45"/>
      <c r="J1087" s="45"/>
      <c r="K1087" s="45"/>
      <c r="L1087" s="45"/>
      <c r="N1087" s="46"/>
      <c r="P1087" s="47"/>
      <c r="Q1087" s="47"/>
      <c r="R1087" s="47"/>
      <c r="V1087" s="45"/>
    </row>
    <row r="1088" spans="3:22" ht="14.25" customHeight="1">
      <c r="C1088" s="45"/>
      <c r="D1088" s="45"/>
      <c r="E1088" s="45"/>
      <c r="F1088" s="45"/>
      <c r="G1088" s="45"/>
      <c r="H1088" s="45"/>
      <c r="I1088" s="45"/>
      <c r="J1088" s="45"/>
      <c r="K1088" s="45"/>
      <c r="L1088" s="45"/>
      <c r="N1088" s="46"/>
      <c r="P1088" s="47"/>
      <c r="Q1088" s="47"/>
      <c r="R1088" s="47"/>
      <c r="V1088" s="45"/>
    </row>
    <row r="1089" spans="3:22" ht="14.25" customHeight="1">
      <c r="C1089" s="45"/>
      <c r="D1089" s="45"/>
      <c r="E1089" s="45"/>
      <c r="F1089" s="45"/>
      <c r="G1089" s="45"/>
      <c r="H1089" s="45"/>
      <c r="I1089" s="45"/>
      <c r="J1089" s="45"/>
      <c r="K1089" s="45"/>
      <c r="L1089" s="45"/>
      <c r="N1089" s="46"/>
      <c r="P1089" s="47"/>
      <c r="Q1089" s="47"/>
      <c r="R1089" s="47"/>
      <c r="V1089" s="45"/>
    </row>
    <row r="1090" spans="3:22" ht="14.25" customHeight="1">
      <c r="C1090" s="45"/>
      <c r="D1090" s="45"/>
      <c r="E1090" s="45"/>
      <c r="F1090" s="45"/>
      <c r="G1090" s="45"/>
      <c r="H1090" s="45"/>
      <c r="I1090" s="45"/>
      <c r="J1090" s="45"/>
      <c r="K1090" s="45"/>
      <c r="L1090" s="45"/>
      <c r="N1090" s="46"/>
      <c r="P1090" s="47"/>
      <c r="Q1090" s="47"/>
      <c r="R1090" s="47"/>
      <c r="V1090" s="45"/>
    </row>
    <row r="1091" spans="3:22" ht="14.25" customHeight="1">
      <c r="C1091" s="45"/>
      <c r="D1091" s="45"/>
      <c r="E1091" s="45"/>
      <c r="F1091" s="45"/>
      <c r="G1091" s="45"/>
      <c r="H1091" s="45"/>
      <c r="I1091" s="45"/>
      <c r="J1091" s="45"/>
      <c r="K1091" s="45"/>
      <c r="L1091" s="45"/>
      <c r="N1091" s="46"/>
      <c r="P1091" s="47"/>
      <c r="Q1091" s="47"/>
      <c r="R1091" s="47"/>
      <c r="V1091" s="45"/>
    </row>
    <row r="1092" spans="3:22" ht="14.25" customHeight="1">
      <c r="C1092" s="45"/>
      <c r="D1092" s="45"/>
      <c r="E1092" s="45"/>
      <c r="F1092" s="45"/>
      <c r="G1092" s="45"/>
      <c r="H1092" s="45"/>
      <c r="I1092" s="45"/>
      <c r="J1092" s="45"/>
      <c r="K1092" s="45"/>
      <c r="L1092" s="45"/>
      <c r="N1092" s="46"/>
      <c r="P1092" s="47"/>
      <c r="Q1092" s="47"/>
      <c r="R1092" s="47"/>
      <c r="V1092" s="45"/>
    </row>
    <row r="1093" spans="3:22" ht="14.25" customHeight="1">
      <c r="C1093" s="45"/>
      <c r="D1093" s="45"/>
      <c r="E1093" s="45"/>
      <c r="F1093" s="45"/>
      <c r="G1093" s="45"/>
      <c r="H1093" s="45"/>
      <c r="I1093" s="45"/>
      <c r="J1093" s="45"/>
      <c r="K1093" s="45"/>
      <c r="L1093" s="45"/>
      <c r="N1093" s="46"/>
      <c r="P1093" s="47"/>
      <c r="Q1093" s="47"/>
      <c r="R1093" s="47"/>
      <c r="V1093" s="45"/>
    </row>
    <row r="1094" spans="3:22" ht="14.25" customHeight="1">
      <c r="C1094" s="45"/>
      <c r="D1094" s="45"/>
      <c r="E1094" s="45"/>
      <c r="F1094" s="45"/>
      <c r="G1094" s="45"/>
      <c r="H1094" s="45"/>
      <c r="I1094" s="45"/>
      <c r="J1094" s="45"/>
      <c r="K1094" s="45"/>
      <c r="L1094" s="45"/>
      <c r="N1094" s="46"/>
      <c r="P1094" s="47"/>
      <c r="Q1094" s="47"/>
      <c r="R1094" s="47"/>
      <c r="V1094" s="45"/>
    </row>
    <row r="1095" spans="3:22" ht="14.25" customHeight="1">
      <c r="C1095" s="45"/>
      <c r="D1095" s="45"/>
      <c r="E1095" s="45"/>
      <c r="F1095" s="45"/>
      <c r="G1095" s="45"/>
      <c r="H1095" s="45"/>
      <c r="I1095" s="45"/>
      <c r="J1095" s="45"/>
      <c r="K1095" s="45"/>
      <c r="L1095" s="45"/>
      <c r="N1095" s="46"/>
      <c r="P1095" s="47"/>
      <c r="Q1095" s="47"/>
      <c r="R1095" s="47"/>
      <c r="V1095" s="45"/>
    </row>
    <row r="1096" spans="3:22" ht="14.25" customHeight="1">
      <c r="C1096" s="45"/>
      <c r="D1096" s="45"/>
      <c r="E1096" s="45"/>
      <c r="F1096" s="45"/>
      <c r="G1096" s="45"/>
      <c r="H1096" s="45"/>
      <c r="I1096" s="45"/>
      <c r="J1096" s="45"/>
      <c r="K1096" s="45"/>
      <c r="L1096" s="45"/>
      <c r="N1096" s="46"/>
      <c r="P1096" s="47"/>
      <c r="Q1096" s="47"/>
      <c r="R1096" s="47"/>
      <c r="V1096" s="45"/>
    </row>
    <row r="1097" spans="3:22" ht="14.25" customHeight="1">
      <c r="C1097" s="45"/>
      <c r="D1097" s="45"/>
      <c r="E1097" s="45"/>
      <c r="F1097" s="45"/>
      <c r="G1097" s="45"/>
      <c r="H1097" s="45"/>
      <c r="I1097" s="45"/>
      <c r="J1097" s="45"/>
      <c r="K1097" s="45"/>
      <c r="L1097" s="45"/>
      <c r="N1097" s="46"/>
      <c r="P1097" s="47"/>
      <c r="Q1097" s="47"/>
      <c r="R1097" s="47"/>
      <c r="V1097" s="45"/>
    </row>
    <row r="1098" spans="3:22" ht="14.25" customHeight="1">
      <c r="C1098" s="45"/>
      <c r="D1098" s="45"/>
      <c r="E1098" s="45"/>
      <c r="F1098" s="45"/>
      <c r="G1098" s="45"/>
      <c r="H1098" s="45"/>
      <c r="I1098" s="45"/>
      <c r="J1098" s="45"/>
      <c r="K1098" s="45"/>
      <c r="L1098" s="45"/>
      <c r="N1098" s="46"/>
      <c r="P1098" s="47"/>
      <c r="Q1098" s="47"/>
      <c r="R1098" s="47"/>
      <c r="V1098" s="45"/>
    </row>
    <row r="1099" spans="3:22" ht="14.25" customHeight="1">
      <c r="C1099" s="45"/>
      <c r="D1099" s="45"/>
      <c r="E1099" s="45"/>
      <c r="F1099" s="45"/>
      <c r="G1099" s="45"/>
      <c r="H1099" s="45"/>
      <c r="I1099" s="45"/>
      <c r="J1099" s="45"/>
      <c r="K1099" s="45"/>
      <c r="L1099" s="45"/>
      <c r="N1099" s="46"/>
      <c r="P1099" s="47"/>
      <c r="Q1099" s="47"/>
      <c r="R1099" s="47"/>
      <c r="V1099" s="45"/>
    </row>
    <row r="1100" spans="3:22" ht="14.25" customHeight="1">
      <c r="C1100" s="45"/>
      <c r="D1100" s="45"/>
      <c r="E1100" s="45"/>
      <c r="F1100" s="45"/>
      <c r="G1100" s="45"/>
      <c r="H1100" s="45"/>
      <c r="I1100" s="45"/>
      <c r="J1100" s="45"/>
      <c r="K1100" s="45"/>
      <c r="L1100" s="45"/>
      <c r="N1100" s="46"/>
      <c r="P1100" s="47"/>
      <c r="Q1100" s="47"/>
      <c r="R1100" s="47"/>
      <c r="V1100" s="45"/>
    </row>
    <row r="1101" spans="3:22" ht="14.25" customHeight="1">
      <c r="C1101" s="45"/>
      <c r="D1101" s="45"/>
      <c r="E1101" s="45"/>
      <c r="F1101" s="45"/>
      <c r="G1101" s="45"/>
      <c r="H1101" s="45"/>
      <c r="I1101" s="45"/>
      <c r="J1101" s="45"/>
      <c r="K1101" s="45"/>
      <c r="L1101" s="45"/>
      <c r="N1101" s="46"/>
      <c r="P1101" s="47"/>
      <c r="Q1101" s="47"/>
      <c r="R1101" s="47"/>
      <c r="V1101" s="45"/>
    </row>
    <row r="1102" spans="3:22" ht="14.25" customHeight="1">
      <c r="C1102" s="45"/>
      <c r="D1102" s="45"/>
      <c r="E1102" s="45"/>
      <c r="F1102" s="45"/>
      <c r="G1102" s="45"/>
      <c r="H1102" s="45"/>
      <c r="I1102" s="45"/>
      <c r="J1102" s="45"/>
      <c r="K1102" s="45"/>
      <c r="L1102" s="45"/>
      <c r="N1102" s="46"/>
      <c r="P1102" s="47"/>
      <c r="Q1102" s="47"/>
      <c r="R1102" s="47"/>
      <c r="V1102" s="45"/>
    </row>
    <row r="1103" spans="3:22" ht="14.25" customHeight="1">
      <c r="C1103" s="45"/>
      <c r="D1103" s="45"/>
      <c r="E1103" s="45"/>
      <c r="F1103" s="45"/>
      <c r="G1103" s="45"/>
      <c r="H1103" s="45"/>
      <c r="I1103" s="45"/>
      <c r="J1103" s="45"/>
      <c r="K1103" s="45"/>
      <c r="L1103" s="45"/>
      <c r="N1103" s="46"/>
      <c r="P1103" s="47"/>
      <c r="Q1103" s="47"/>
      <c r="R1103" s="47"/>
      <c r="V1103" s="45"/>
    </row>
    <row r="1104" spans="3:22" ht="14.25" customHeight="1">
      <c r="C1104" s="45"/>
      <c r="D1104" s="45"/>
      <c r="E1104" s="45"/>
      <c r="F1104" s="45"/>
      <c r="G1104" s="45"/>
      <c r="H1104" s="45"/>
      <c r="I1104" s="45"/>
      <c r="J1104" s="45"/>
      <c r="K1104" s="45"/>
      <c r="L1104" s="45"/>
      <c r="N1104" s="46"/>
      <c r="P1104" s="47"/>
      <c r="Q1104" s="47"/>
      <c r="R1104" s="47"/>
      <c r="V1104" s="45"/>
    </row>
    <row r="1105" spans="3:22" ht="14.25" customHeight="1">
      <c r="C1105" s="45"/>
      <c r="D1105" s="45"/>
      <c r="E1105" s="45"/>
      <c r="F1105" s="45"/>
      <c r="G1105" s="45"/>
      <c r="H1105" s="45"/>
      <c r="I1105" s="45"/>
      <c r="J1105" s="45"/>
      <c r="K1105" s="45"/>
      <c r="L1105" s="45"/>
      <c r="N1105" s="46"/>
      <c r="P1105" s="47"/>
      <c r="Q1105" s="47"/>
      <c r="R1105" s="47"/>
      <c r="V1105" s="45"/>
    </row>
    <row r="1106" spans="3:22" ht="14.25" customHeight="1">
      <c r="C1106" s="45"/>
      <c r="D1106" s="45"/>
      <c r="E1106" s="45"/>
      <c r="F1106" s="45"/>
      <c r="G1106" s="45"/>
      <c r="H1106" s="45"/>
      <c r="I1106" s="45"/>
      <c r="J1106" s="45"/>
      <c r="K1106" s="45"/>
      <c r="L1106" s="45"/>
      <c r="N1106" s="46"/>
      <c r="P1106" s="47"/>
      <c r="Q1106" s="47"/>
      <c r="R1106" s="47"/>
      <c r="V1106" s="45"/>
    </row>
    <row r="1107" spans="3:22" ht="14.25" customHeight="1">
      <c r="C1107" s="45"/>
      <c r="D1107" s="45"/>
      <c r="E1107" s="45"/>
      <c r="F1107" s="45"/>
      <c r="G1107" s="45"/>
      <c r="H1107" s="45"/>
      <c r="I1107" s="45"/>
      <c r="J1107" s="45"/>
      <c r="K1107" s="45"/>
      <c r="L1107" s="45"/>
      <c r="N1107" s="46"/>
      <c r="P1107" s="47"/>
      <c r="Q1107" s="47"/>
      <c r="R1107" s="47"/>
      <c r="V1107" s="45"/>
    </row>
    <row r="1108" spans="3:22" ht="14.25" customHeight="1">
      <c r="C1108" s="45"/>
      <c r="D1108" s="45"/>
      <c r="E1108" s="45"/>
      <c r="F1108" s="45"/>
      <c r="G1108" s="45"/>
      <c r="H1108" s="45"/>
      <c r="I1108" s="45"/>
      <c r="J1108" s="45"/>
      <c r="K1108" s="45"/>
      <c r="L1108" s="45"/>
      <c r="N1108" s="46"/>
      <c r="P1108" s="47"/>
      <c r="Q1108" s="47"/>
      <c r="R1108" s="47"/>
      <c r="V1108" s="45"/>
    </row>
    <row r="1109" spans="3:22" ht="14.25" customHeight="1">
      <c r="C1109" s="45"/>
      <c r="D1109" s="45"/>
      <c r="E1109" s="45"/>
      <c r="F1109" s="45"/>
      <c r="G1109" s="45"/>
      <c r="H1109" s="45"/>
      <c r="I1109" s="45"/>
      <c r="J1109" s="45"/>
      <c r="K1109" s="45"/>
      <c r="L1109" s="45"/>
      <c r="N1109" s="46"/>
      <c r="P1109" s="47"/>
      <c r="Q1109" s="47"/>
      <c r="R1109" s="47"/>
      <c r="V1109" s="45"/>
    </row>
    <row r="1110" spans="3:22" ht="14.25" customHeight="1">
      <c r="C1110" s="45"/>
      <c r="D1110" s="45"/>
      <c r="E1110" s="45"/>
      <c r="F1110" s="45"/>
      <c r="G1110" s="45"/>
      <c r="H1110" s="45"/>
      <c r="I1110" s="45"/>
      <c r="J1110" s="45"/>
      <c r="K1110" s="45"/>
      <c r="L1110" s="45"/>
      <c r="N1110" s="46"/>
      <c r="P1110" s="47"/>
      <c r="Q1110" s="47"/>
      <c r="R1110" s="47"/>
      <c r="V1110" s="45"/>
    </row>
    <row r="1111" spans="3:22" ht="14.25" customHeight="1">
      <c r="C1111" s="45"/>
      <c r="D1111" s="45"/>
      <c r="E1111" s="45"/>
      <c r="F1111" s="45"/>
      <c r="G1111" s="45"/>
      <c r="H1111" s="45"/>
      <c r="I1111" s="45"/>
      <c r="J1111" s="45"/>
      <c r="K1111" s="45"/>
      <c r="L1111" s="45"/>
      <c r="N1111" s="46"/>
      <c r="P1111" s="47"/>
      <c r="Q1111" s="47"/>
      <c r="R1111" s="47"/>
      <c r="V1111" s="45"/>
    </row>
    <row r="1112" spans="3:22" ht="14.25" customHeight="1">
      <c r="C1112" s="45"/>
      <c r="D1112" s="45"/>
      <c r="E1112" s="45"/>
      <c r="F1112" s="45"/>
      <c r="G1112" s="45"/>
      <c r="H1112" s="45"/>
      <c r="I1112" s="45"/>
      <c r="J1112" s="45"/>
      <c r="K1112" s="45"/>
      <c r="L1112" s="45"/>
      <c r="N1112" s="46"/>
      <c r="P1112" s="47"/>
      <c r="Q1112" s="47"/>
      <c r="R1112" s="47"/>
      <c r="V1112" s="45"/>
    </row>
    <row r="1113" spans="3:22" ht="14.25" customHeight="1">
      <c r="C1113" s="45"/>
      <c r="D1113" s="45"/>
      <c r="E1113" s="45"/>
      <c r="F1113" s="45"/>
      <c r="G1113" s="45"/>
      <c r="H1113" s="45"/>
      <c r="I1113" s="45"/>
      <c r="J1113" s="45"/>
      <c r="K1113" s="45"/>
      <c r="L1113" s="45"/>
      <c r="N1113" s="46"/>
      <c r="P1113" s="47"/>
      <c r="Q1113" s="47"/>
      <c r="R1113" s="47"/>
      <c r="V1113" s="45"/>
    </row>
    <row r="1114" spans="3:22" ht="14.25" customHeight="1">
      <c r="C1114" s="45"/>
      <c r="D1114" s="45"/>
      <c r="E1114" s="45"/>
      <c r="F1114" s="45"/>
      <c r="G1114" s="45"/>
      <c r="H1114" s="45"/>
      <c r="I1114" s="45"/>
      <c r="J1114" s="45"/>
      <c r="K1114" s="45"/>
      <c r="L1114" s="45"/>
      <c r="N1114" s="46"/>
      <c r="P1114" s="47"/>
      <c r="Q1114" s="47"/>
      <c r="R1114" s="47"/>
      <c r="V1114" s="45"/>
    </row>
    <row r="1115" spans="3:22" ht="14.25" customHeight="1">
      <c r="C1115" s="45"/>
      <c r="D1115" s="45"/>
      <c r="E1115" s="45"/>
      <c r="F1115" s="45"/>
      <c r="G1115" s="45"/>
      <c r="H1115" s="45"/>
      <c r="I1115" s="45"/>
      <c r="J1115" s="45"/>
      <c r="K1115" s="45"/>
      <c r="L1115" s="45"/>
      <c r="N1115" s="46"/>
      <c r="P1115" s="47"/>
      <c r="Q1115" s="47"/>
      <c r="R1115" s="47"/>
      <c r="V1115" s="45"/>
    </row>
    <row r="1116" spans="3:22" ht="14.25" customHeight="1">
      <c r="C1116" s="45"/>
      <c r="D1116" s="45"/>
      <c r="E1116" s="45"/>
      <c r="F1116" s="45"/>
      <c r="G1116" s="45"/>
      <c r="H1116" s="45"/>
      <c r="I1116" s="45"/>
      <c r="J1116" s="45"/>
      <c r="K1116" s="45"/>
      <c r="L1116" s="45"/>
      <c r="N1116" s="46"/>
      <c r="P1116" s="47"/>
      <c r="Q1116" s="47"/>
      <c r="R1116" s="47"/>
      <c r="V1116" s="45"/>
    </row>
    <row r="1117" spans="3:22" ht="14.25" customHeight="1">
      <c r="C1117" s="45"/>
      <c r="D1117" s="45"/>
      <c r="E1117" s="45"/>
      <c r="F1117" s="45"/>
      <c r="G1117" s="45"/>
      <c r="H1117" s="45"/>
      <c r="I1117" s="45"/>
      <c r="J1117" s="45"/>
      <c r="K1117" s="45"/>
      <c r="L1117" s="45"/>
      <c r="N1117" s="46"/>
      <c r="P1117" s="47"/>
      <c r="Q1117" s="47"/>
      <c r="R1117" s="47"/>
      <c r="V1117" s="45"/>
    </row>
    <row r="1118" spans="3:22" ht="14.25" customHeight="1">
      <c r="C1118" s="45"/>
      <c r="D1118" s="45"/>
      <c r="E1118" s="45"/>
      <c r="F1118" s="45"/>
      <c r="G1118" s="45"/>
      <c r="H1118" s="45"/>
      <c r="I1118" s="45"/>
      <c r="J1118" s="45"/>
      <c r="K1118" s="45"/>
      <c r="L1118" s="45"/>
      <c r="N1118" s="46"/>
      <c r="P1118" s="47"/>
      <c r="Q1118" s="47"/>
      <c r="R1118" s="47"/>
      <c r="V1118" s="45"/>
    </row>
    <row r="1119" spans="3:22" ht="14.25" customHeight="1">
      <c r="C1119" s="45"/>
      <c r="D1119" s="45"/>
      <c r="E1119" s="45"/>
      <c r="F1119" s="45"/>
      <c r="G1119" s="45"/>
      <c r="H1119" s="45"/>
      <c r="I1119" s="45"/>
      <c r="J1119" s="45"/>
      <c r="K1119" s="45"/>
      <c r="L1119" s="45"/>
      <c r="N1119" s="46"/>
      <c r="P1119" s="47"/>
      <c r="Q1119" s="47"/>
      <c r="R1119" s="47"/>
      <c r="V1119" s="45"/>
    </row>
    <row r="1120" spans="3:22" ht="14.25" customHeight="1">
      <c r="C1120" s="45"/>
      <c r="D1120" s="45"/>
      <c r="E1120" s="45"/>
      <c r="F1120" s="45"/>
      <c r="G1120" s="45"/>
      <c r="H1120" s="45"/>
      <c r="I1120" s="45"/>
      <c r="J1120" s="45"/>
      <c r="K1120" s="45"/>
      <c r="L1120" s="45"/>
      <c r="N1120" s="46"/>
      <c r="P1120" s="47"/>
      <c r="Q1120" s="47"/>
      <c r="R1120" s="47"/>
      <c r="V1120" s="45"/>
    </row>
    <row r="1121" spans="3:22" ht="14.25" customHeight="1">
      <c r="C1121" s="45"/>
      <c r="D1121" s="45"/>
      <c r="E1121" s="45"/>
      <c r="F1121" s="45"/>
      <c r="G1121" s="45"/>
      <c r="H1121" s="45"/>
      <c r="I1121" s="45"/>
      <c r="J1121" s="45"/>
      <c r="K1121" s="45"/>
      <c r="L1121" s="45"/>
      <c r="N1121" s="46"/>
      <c r="P1121" s="47"/>
      <c r="Q1121" s="47"/>
      <c r="R1121" s="47"/>
      <c r="V1121" s="45"/>
    </row>
    <row r="1122" spans="3:22" ht="14.25" customHeight="1">
      <c r="C1122" s="45"/>
      <c r="D1122" s="45"/>
      <c r="E1122" s="45"/>
      <c r="F1122" s="45"/>
      <c r="G1122" s="45"/>
      <c r="H1122" s="45"/>
      <c r="I1122" s="45"/>
      <c r="J1122" s="45"/>
      <c r="K1122" s="45"/>
      <c r="L1122" s="45"/>
      <c r="N1122" s="46"/>
      <c r="P1122" s="47"/>
      <c r="Q1122" s="47"/>
      <c r="R1122" s="47"/>
      <c r="V1122" s="45"/>
    </row>
    <row r="1123" spans="3:22" ht="14.25" customHeight="1">
      <c r="C1123" s="45"/>
      <c r="D1123" s="45"/>
      <c r="E1123" s="45"/>
      <c r="F1123" s="45"/>
      <c r="G1123" s="45"/>
      <c r="H1123" s="45"/>
      <c r="I1123" s="45"/>
      <c r="J1123" s="45"/>
      <c r="K1123" s="45"/>
      <c r="L1123" s="45"/>
      <c r="N1123" s="46"/>
      <c r="P1123" s="47"/>
      <c r="Q1123" s="47"/>
      <c r="R1123" s="47"/>
      <c r="V1123" s="45"/>
    </row>
    <row r="1124" spans="3:22" ht="14.25" customHeight="1">
      <c r="C1124" s="45"/>
      <c r="D1124" s="45"/>
      <c r="E1124" s="45"/>
      <c r="F1124" s="45"/>
      <c r="G1124" s="45"/>
      <c r="H1124" s="45"/>
      <c r="I1124" s="45"/>
      <c r="J1124" s="45"/>
      <c r="K1124" s="45"/>
      <c r="L1124" s="45"/>
      <c r="N1124" s="46"/>
      <c r="P1124" s="47"/>
      <c r="Q1124" s="47"/>
      <c r="R1124" s="47"/>
      <c r="V1124" s="45"/>
    </row>
    <row r="1125" spans="3:22" ht="14.25" customHeight="1">
      <c r="C1125" s="45"/>
      <c r="D1125" s="45"/>
      <c r="E1125" s="45"/>
      <c r="F1125" s="45"/>
      <c r="G1125" s="45"/>
      <c r="H1125" s="45"/>
      <c r="I1125" s="45"/>
      <c r="J1125" s="45"/>
      <c r="K1125" s="45"/>
      <c r="L1125" s="45"/>
      <c r="N1125" s="46"/>
      <c r="P1125" s="47"/>
      <c r="Q1125" s="47"/>
      <c r="R1125" s="47"/>
      <c r="V1125" s="45"/>
    </row>
    <row r="1126" spans="3:22" ht="14.25" customHeight="1">
      <c r="C1126" s="45"/>
      <c r="D1126" s="45"/>
      <c r="E1126" s="45"/>
      <c r="F1126" s="45"/>
      <c r="G1126" s="45"/>
      <c r="H1126" s="45"/>
      <c r="I1126" s="45"/>
      <c r="J1126" s="45"/>
      <c r="K1126" s="45"/>
      <c r="L1126" s="45"/>
      <c r="N1126" s="46"/>
      <c r="P1126" s="47"/>
      <c r="Q1126" s="47"/>
      <c r="R1126" s="47"/>
      <c r="V1126" s="45"/>
    </row>
    <row r="1127" spans="3:22" ht="14.25" customHeight="1">
      <c r="C1127" s="45"/>
      <c r="D1127" s="45"/>
      <c r="E1127" s="45"/>
      <c r="F1127" s="45"/>
      <c r="G1127" s="45"/>
      <c r="H1127" s="45"/>
      <c r="I1127" s="45"/>
      <c r="J1127" s="45"/>
      <c r="K1127" s="45"/>
      <c r="L1127" s="45"/>
      <c r="N1127" s="46"/>
      <c r="P1127" s="47"/>
      <c r="Q1127" s="47"/>
      <c r="R1127" s="47"/>
      <c r="V1127" s="45"/>
    </row>
    <row r="1128" spans="3:22" ht="14.25" customHeight="1">
      <c r="C1128" s="45"/>
      <c r="D1128" s="45"/>
      <c r="E1128" s="45"/>
      <c r="F1128" s="45"/>
      <c r="G1128" s="45"/>
      <c r="H1128" s="45"/>
      <c r="I1128" s="45"/>
      <c r="J1128" s="45"/>
      <c r="K1128" s="45"/>
      <c r="L1128" s="45"/>
      <c r="N1128" s="46"/>
      <c r="P1128" s="47"/>
      <c r="Q1128" s="47"/>
      <c r="R1128" s="47"/>
      <c r="V1128" s="45"/>
    </row>
    <row r="1129" spans="3:22" ht="14.25" customHeight="1">
      <c r="C1129" s="45"/>
      <c r="D1129" s="45"/>
      <c r="E1129" s="45"/>
      <c r="F1129" s="45"/>
      <c r="G1129" s="45"/>
      <c r="H1129" s="45"/>
      <c r="I1129" s="45"/>
      <c r="J1129" s="45"/>
      <c r="K1129" s="45"/>
      <c r="L1129" s="45"/>
      <c r="N1129" s="46"/>
      <c r="P1129" s="47"/>
      <c r="Q1129" s="47"/>
      <c r="R1129" s="47"/>
      <c r="V1129" s="45"/>
    </row>
    <row r="1130" spans="3:22" ht="14.25" customHeight="1">
      <c r="C1130" s="45"/>
      <c r="D1130" s="45"/>
      <c r="E1130" s="45"/>
      <c r="F1130" s="45"/>
      <c r="G1130" s="45"/>
      <c r="H1130" s="45"/>
      <c r="I1130" s="45"/>
      <c r="J1130" s="45"/>
      <c r="K1130" s="45"/>
      <c r="L1130" s="45"/>
      <c r="N1130" s="46"/>
      <c r="P1130" s="47"/>
      <c r="Q1130" s="47"/>
      <c r="R1130" s="47"/>
      <c r="V1130" s="45"/>
    </row>
    <row r="1131" spans="3:22" ht="14.25" customHeight="1">
      <c r="C1131" s="45"/>
      <c r="D1131" s="45"/>
      <c r="E1131" s="45"/>
      <c r="F1131" s="45"/>
      <c r="G1131" s="45"/>
      <c r="H1131" s="45"/>
      <c r="I1131" s="45"/>
      <c r="J1131" s="45"/>
      <c r="K1131" s="45"/>
      <c r="L1131" s="45"/>
      <c r="N1131" s="46"/>
      <c r="P1131" s="47"/>
      <c r="Q1131" s="47"/>
      <c r="R1131" s="47"/>
      <c r="V1131" s="45"/>
    </row>
    <row r="1132" spans="3:22" ht="14.25" customHeight="1">
      <c r="C1132" s="45"/>
      <c r="D1132" s="45"/>
      <c r="E1132" s="45"/>
      <c r="F1132" s="45"/>
      <c r="G1132" s="45"/>
      <c r="H1132" s="45"/>
      <c r="I1132" s="45"/>
      <c r="J1132" s="45"/>
      <c r="K1132" s="45"/>
      <c r="L1132" s="45"/>
      <c r="N1132" s="46"/>
      <c r="P1132" s="47"/>
      <c r="Q1132" s="47"/>
      <c r="R1132" s="47"/>
      <c r="V1132" s="45"/>
    </row>
    <row r="1133" spans="3:22" ht="14.25" customHeight="1">
      <c r="C1133" s="45"/>
      <c r="D1133" s="45"/>
      <c r="E1133" s="45"/>
      <c r="F1133" s="45"/>
      <c r="G1133" s="45"/>
      <c r="H1133" s="45"/>
      <c r="I1133" s="45"/>
      <c r="J1133" s="45"/>
      <c r="K1133" s="45"/>
      <c r="L1133" s="45"/>
      <c r="N1133" s="46"/>
      <c r="P1133" s="47"/>
      <c r="Q1133" s="47"/>
      <c r="R1133" s="47"/>
      <c r="V1133" s="45"/>
    </row>
    <row r="1134" spans="3:22" ht="14.25" customHeight="1">
      <c r="C1134" s="45"/>
      <c r="D1134" s="45"/>
      <c r="E1134" s="45"/>
      <c r="F1134" s="45"/>
      <c r="G1134" s="45"/>
      <c r="H1134" s="45"/>
      <c r="I1134" s="45"/>
      <c r="J1134" s="45"/>
      <c r="K1134" s="45"/>
      <c r="L1134" s="45"/>
      <c r="N1134" s="46"/>
      <c r="P1134" s="47"/>
      <c r="Q1134" s="47"/>
      <c r="R1134" s="47"/>
      <c r="V1134" s="45"/>
    </row>
    <row r="1135" spans="3:22" ht="14.25" customHeight="1">
      <c r="C1135" s="45"/>
      <c r="D1135" s="45"/>
      <c r="E1135" s="45"/>
      <c r="F1135" s="45"/>
      <c r="G1135" s="45"/>
      <c r="H1135" s="45"/>
      <c r="I1135" s="45"/>
      <c r="J1135" s="45"/>
      <c r="K1135" s="45"/>
      <c r="L1135" s="45"/>
      <c r="N1135" s="46"/>
      <c r="P1135" s="47"/>
      <c r="Q1135" s="47"/>
      <c r="R1135" s="47"/>
      <c r="V1135" s="45"/>
    </row>
    <row r="1136" spans="3:22" ht="14.25" customHeight="1">
      <c r="C1136" s="45"/>
      <c r="D1136" s="45"/>
      <c r="E1136" s="45"/>
      <c r="F1136" s="45"/>
      <c r="G1136" s="45"/>
      <c r="H1136" s="45"/>
      <c r="I1136" s="45"/>
      <c r="J1136" s="45"/>
      <c r="K1136" s="45"/>
      <c r="L1136" s="45"/>
      <c r="N1136" s="46"/>
      <c r="P1136" s="47"/>
      <c r="Q1136" s="47"/>
      <c r="R1136" s="47"/>
      <c r="V1136" s="45"/>
    </row>
    <row r="1137" spans="3:22" ht="14.25" customHeight="1">
      <c r="C1137" s="45"/>
      <c r="D1137" s="45"/>
      <c r="E1137" s="45"/>
      <c r="F1137" s="45"/>
      <c r="G1137" s="45"/>
      <c r="H1137" s="45"/>
      <c r="I1137" s="45"/>
      <c r="J1137" s="45"/>
      <c r="K1137" s="45"/>
      <c r="L1137" s="45"/>
      <c r="N1137" s="46"/>
      <c r="P1137" s="47"/>
      <c r="Q1137" s="47"/>
      <c r="R1137" s="47"/>
      <c r="V1137" s="45"/>
    </row>
    <row r="1138" spans="3:22" ht="14.25" customHeight="1">
      <c r="C1138" s="45"/>
      <c r="D1138" s="45"/>
      <c r="E1138" s="45"/>
      <c r="F1138" s="45"/>
      <c r="G1138" s="45"/>
      <c r="H1138" s="45"/>
      <c r="I1138" s="45"/>
      <c r="J1138" s="45"/>
      <c r="K1138" s="45"/>
      <c r="L1138" s="45"/>
      <c r="N1138" s="46"/>
      <c r="P1138" s="47"/>
      <c r="Q1138" s="47"/>
      <c r="R1138" s="47"/>
      <c r="V1138" s="45"/>
    </row>
    <row r="1139" spans="3:22" ht="14.25" customHeight="1">
      <c r="C1139" s="45"/>
      <c r="D1139" s="45"/>
      <c r="E1139" s="45"/>
      <c r="F1139" s="45"/>
      <c r="G1139" s="45"/>
      <c r="H1139" s="45"/>
      <c r="I1139" s="45"/>
      <c r="J1139" s="45"/>
      <c r="K1139" s="45"/>
      <c r="L1139" s="45"/>
      <c r="N1139" s="46"/>
      <c r="P1139" s="47"/>
      <c r="Q1139" s="47"/>
      <c r="R1139" s="47"/>
      <c r="V1139" s="45"/>
    </row>
    <row r="1140" spans="3:22" ht="14.25" customHeight="1">
      <c r="C1140" s="45"/>
      <c r="D1140" s="45"/>
      <c r="E1140" s="45"/>
      <c r="F1140" s="45"/>
      <c r="G1140" s="45"/>
      <c r="H1140" s="45"/>
      <c r="I1140" s="45"/>
      <c r="J1140" s="45"/>
      <c r="K1140" s="45"/>
      <c r="L1140" s="45"/>
      <c r="N1140" s="46"/>
      <c r="P1140" s="47"/>
      <c r="Q1140" s="47"/>
      <c r="R1140" s="47"/>
      <c r="V1140" s="45"/>
    </row>
    <row r="1141" spans="3:22" ht="14.25" customHeight="1">
      <c r="C1141" s="45"/>
      <c r="D1141" s="45"/>
      <c r="E1141" s="45"/>
      <c r="F1141" s="45"/>
      <c r="G1141" s="45"/>
      <c r="H1141" s="45"/>
      <c r="I1141" s="45"/>
      <c r="J1141" s="45"/>
      <c r="K1141" s="45"/>
      <c r="L1141" s="45"/>
      <c r="N1141" s="46"/>
      <c r="P1141" s="47"/>
      <c r="Q1141" s="47"/>
      <c r="R1141" s="47"/>
      <c r="V1141" s="45"/>
    </row>
    <row r="1142" spans="3:22" ht="14.25" customHeight="1">
      <c r="C1142" s="45"/>
      <c r="D1142" s="45"/>
      <c r="E1142" s="45"/>
      <c r="F1142" s="45"/>
      <c r="G1142" s="45"/>
      <c r="H1142" s="45"/>
      <c r="I1142" s="45"/>
      <c r="J1142" s="45"/>
      <c r="K1142" s="45"/>
      <c r="L1142" s="45"/>
      <c r="N1142" s="46"/>
      <c r="P1142" s="47"/>
      <c r="Q1142" s="47"/>
      <c r="R1142" s="47"/>
      <c r="V1142" s="45"/>
    </row>
    <row r="1143" spans="3:22" ht="14.25" customHeight="1">
      <c r="C1143" s="45"/>
      <c r="D1143" s="45"/>
      <c r="E1143" s="45"/>
      <c r="F1143" s="45"/>
      <c r="G1143" s="45"/>
      <c r="H1143" s="45"/>
      <c r="I1143" s="45"/>
      <c r="J1143" s="45"/>
      <c r="K1143" s="45"/>
      <c r="L1143" s="45"/>
      <c r="N1143" s="46"/>
      <c r="P1143" s="47"/>
      <c r="Q1143" s="47"/>
      <c r="R1143" s="47"/>
      <c r="V1143" s="45"/>
    </row>
    <row r="1144" spans="3:22" ht="14.25" customHeight="1">
      <c r="C1144" s="45"/>
      <c r="D1144" s="45"/>
      <c r="E1144" s="45"/>
      <c r="F1144" s="45"/>
      <c r="G1144" s="45"/>
      <c r="H1144" s="45"/>
      <c r="I1144" s="45"/>
      <c r="J1144" s="45"/>
      <c r="K1144" s="45"/>
      <c r="L1144" s="45"/>
      <c r="N1144" s="46"/>
      <c r="P1144" s="47"/>
      <c r="Q1144" s="47"/>
      <c r="R1144" s="47"/>
      <c r="V1144" s="45"/>
    </row>
    <row r="1145" spans="3:22" ht="14.25" customHeight="1">
      <c r="C1145" s="45"/>
      <c r="D1145" s="45"/>
      <c r="E1145" s="45"/>
      <c r="F1145" s="45"/>
      <c r="G1145" s="45"/>
      <c r="H1145" s="45"/>
      <c r="I1145" s="45"/>
      <c r="J1145" s="45"/>
      <c r="K1145" s="45"/>
      <c r="L1145" s="45"/>
      <c r="N1145" s="46"/>
      <c r="P1145" s="47"/>
      <c r="Q1145" s="47"/>
      <c r="R1145" s="47"/>
      <c r="V1145" s="45"/>
    </row>
    <row r="1146" spans="3:22" ht="14.25" customHeight="1">
      <c r="C1146" s="45"/>
      <c r="D1146" s="45"/>
      <c r="E1146" s="45"/>
      <c r="F1146" s="45"/>
      <c r="G1146" s="45"/>
      <c r="H1146" s="45"/>
      <c r="I1146" s="45"/>
      <c r="J1146" s="45"/>
      <c r="K1146" s="45"/>
      <c r="L1146" s="45"/>
      <c r="N1146" s="46"/>
      <c r="P1146" s="47"/>
      <c r="Q1146" s="47"/>
      <c r="R1146" s="47"/>
      <c r="V1146" s="45"/>
    </row>
    <row r="1147" spans="3:22" ht="14.25" customHeight="1">
      <c r="C1147" s="45"/>
      <c r="D1147" s="45"/>
      <c r="E1147" s="45"/>
      <c r="F1147" s="45"/>
      <c r="G1147" s="45"/>
      <c r="H1147" s="45"/>
      <c r="I1147" s="45"/>
      <c r="J1147" s="45"/>
      <c r="K1147" s="45"/>
      <c r="L1147" s="45"/>
      <c r="N1147" s="46"/>
      <c r="P1147" s="47"/>
      <c r="Q1147" s="47"/>
      <c r="R1147" s="47"/>
      <c r="V1147" s="45"/>
    </row>
    <row r="1148" spans="3:22" ht="14.25" customHeight="1">
      <c r="C1148" s="45"/>
      <c r="D1148" s="45"/>
      <c r="E1148" s="45"/>
      <c r="F1148" s="45"/>
      <c r="G1148" s="45"/>
      <c r="H1148" s="45"/>
      <c r="I1148" s="45"/>
      <c r="J1148" s="45"/>
      <c r="K1148" s="45"/>
      <c r="L1148" s="45"/>
      <c r="N1148" s="46"/>
      <c r="P1148" s="47"/>
      <c r="Q1148" s="47"/>
      <c r="R1148" s="47"/>
      <c r="V1148" s="45"/>
    </row>
    <row r="1149" spans="3:22" ht="14.25" customHeight="1">
      <c r="C1149" s="45"/>
      <c r="D1149" s="45"/>
      <c r="E1149" s="45"/>
      <c r="F1149" s="45"/>
      <c r="G1149" s="45"/>
      <c r="H1149" s="45"/>
      <c r="I1149" s="45"/>
      <c r="J1149" s="45"/>
      <c r="K1149" s="45"/>
      <c r="L1149" s="45"/>
      <c r="N1149" s="46"/>
      <c r="P1149" s="47"/>
      <c r="Q1149" s="47"/>
      <c r="R1149" s="47"/>
      <c r="V1149" s="45"/>
    </row>
    <row r="1150" spans="3:22" ht="14.25" customHeight="1">
      <c r="C1150" s="45"/>
      <c r="D1150" s="45"/>
      <c r="E1150" s="45"/>
      <c r="F1150" s="45"/>
      <c r="G1150" s="45"/>
      <c r="H1150" s="45"/>
      <c r="I1150" s="45"/>
      <c r="J1150" s="45"/>
      <c r="K1150" s="45"/>
      <c r="L1150" s="45"/>
      <c r="N1150" s="46"/>
      <c r="P1150" s="47"/>
      <c r="Q1150" s="47"/>
      <c r="R1150" s="47"/>
      <c r="V1150" s="45"/>
    </row>
    <row r="1151" spans="3:22" ht="14.25" customHeight="1">
      <c r="C1151" s="45"/>
      <c r="D1151" s="45"/>
      <c r="E1151" s="45"/>
      <c r="F1151" s="45"/>
      <c r="G1151" s="45"/>
      <c r="H1151" s="45"/>
      <c r="I1151" s="45"/>
      <c r="J1151" s="45"/>
      <c r="K1151" s="45"/>
      <c r="L1151" s="45"/>
      <c r="N1151" s="46"/>
      <c r="P1151" s="47"/>
      <c r="Q1151" s="47"/>
      <c r="R1151" s="47"/>
      <c r="V1151" s="45"/>
    </row>
    <row r="1152" spans="3:22" ht="14.25" customHeight="1">
      <c r="C1152" s="45"/>
      <c r="D1152" s="45"/>
      <c r="E1152" s="45"/>
      <c r="F1152" s="45"/>
      <c r="G1152" s="45"/>
      <c r="H1152" s="45"/>
      <c r="I1152" s="45"/>
      <c r="J1152" s="45"/>
      <c r="K1152" s="45"/>
      <c r="L1152" s="45"/>
      <c r="N1152" s="46"/>
      <c r="P1152" s="47"/>
      <c r="Q1152" s="47"/>
      <c r="R1152" s="47"/>
      <c r="V1152" s="45"/>
    </row>
    <row r="1153" spans="3:22" ht="14.25" customHeight="1">
      <c r="C1153" s="45"/>
      <c r="D1153" s="45"/>
      <c r="E1153" s="45"/>
      <c r="F1153" s="45"/>
      <c r="G1153" s="45"/>
      <c r="H1153" s="45"/>
      <c r="I1153" s="45"/>
      <c r="J1153" s="45"/>
      <c r="K1153" s="45"/>
      <c r="L1153" s="45"/>
      <c r="N1153" s="46"/>
      <c r="P1153" s="47"/>
      <c r="Q1153" s="47"/>
      <c r="R1153" s="47"/>
      <c r="V1153" s="45"/>
    </row>
    <row r="1154" spans="3:22" ht="14.25" customHeight="1">
      <c r="C1154" s="45"/>
      <c r="D1154" s="45"/>
      <c r="E1154" s="45"/>
      <c r="F1154" s="45"/>
      <c r="G1154" s="45"/>
      <c r="H1154" s="45"/>
      <c r="I1154" s="45"/>
      <c r="J1154" s="45"/>
      <c r="K1154" s="45"/>
      <c r="L1154" s="45"/>
      <c r="N1154" s="46"/>
      <c r="P1154" s="47"/>
      <c r="Q1154" s="47"/>
      <c r="R1154" s="47"/>
      <c r="V1154" s="45"/>
    </row>
    <row r="1155" spans="3:22" ht="14.25" customHeight="1">
      <c r="C1155" s="45"/>
      <c r="D1155" s="45"/>
      <c r="E1155" s="45"/>
      <c r="F1155" s="45"/>
      <c r="G1155" s="45"/>
      <c r="H1155" s="45"/>
      <c r="I1155" s="45"/>
      <c r="J1155" s="45"/>
      <c r="K1155" s="45"/>
      <c r="L1155" s="45"/>
      <c r="N1155" s="46"/>
      <c r="P1155" s="47"/>
      <c r="Q1155" s="47"/>
      <c r="R1155" s="47"/>
      <c r="V1155" s="45"/>
    </row>
    <row r="1156" spans="3:22" ht="14.25" customHeight="1">
      <c r="C1156" s="45"/>
      <c r="D1156" s="45"/>
      <c r="E1156" s="45"/>
      <c r="F1156" s="45"/>
      <c r="G1156" s="45"/>
      <c r="H1156" s="45"/>
      <c r="I1156" s="45"/>
      <c r="J1156" s="45"/>
      <c r="K1156" s="45"/>
      <c r="L1156" s="45"/>
      <c r="N1156" s="46"/>
      <c r="P1156" s="47"/>
      <c r="Q1156" s="47"/>
      <c r="R1156" s="47"/>
      <c r="V1156" s="45"/>
    </row>
    <row r="1157" spans="3:22" ht="14.25" customHeight="1">
      <c r="C1157" s="45"/>
      <c r="D1157" s="45"/>
      <c r="E1157" s="45"/>
      <c r="F1157" s="45"/>
      <c r="G1157" s="45"/>
      <c r="H1157" s="45"/>
      <c r="I1157" s="45"/>
      <c r="J1157" s="45"/>
      <c r="K1157" s="45"/>
      <c r="L1157" s="45"/>
      <c r="N1157" s="46"/>
      <c r="P1157" s="47"/>
      <c r="Q1157" s="47"/>
      <c r="R1157" s="47"/>
      <c r="V1157" s="45"/>
    </row>
    <row r="1158" spans="3:22" ht="14.25" customHeight="1">
      <c r="C1158" s="45"/>
      <c r="D1158" s="45"/>
      <c r="E1158" s="45"/>
      <c r="F1158" s="45"/>
      <c r="G1158" s="45"/>
      <c r="H1158" s="45"/>
      <c r="I1158" s="45"/>
      <c r="J1158" s="45"/>
      <c r="K1158" s="45"/>
      <c r="L1158" s="45"/>
      <c r="N1158" s="46"/>
      <c r="P1158" s="47"/>
      <c r="Q1158" s="47"/>
      <c r="R1158" s="47"/>
      <c r="V1158" s="45"/>
    </row>
    <row r="1159" spans="3:22" ht="14.25" customHeight="1">
      <c r="C1159" s="45"/>
      <c r="D1159" s="45"/>
      <c r="E1159" s="45"/>
      <c r="F1159" s="45"/>
      <c r="G1159" s="45"/>
      <c r="H1159" s="45"/>
      <c r="I1159" s="45"/>
      <c r="J1159" s="45"/>
      <c r="K1159" s="45"/>
      <c r="L1159" s="45"/>
      <c r="N1159" s="46"/>
      <c r="P1159" s="47"/>
      <c r="Q1159" s="47"/>
      <c r="R1159" s="47"/>
      <c r="V1159" s="45"/>
    </row>
    <row r="1160" spans="3:22" ht="14.25" customHeight="1">
      <c r="C1160" s="45"/>
      <c r="D1160" s="45"/>
      <c r="E1160" s="45"/>
      <c r="F1160" s="45"/>
      <c r="G1160" s="45"/>
      <c r="H1160" s="45"/>
      <c r="I1160" s="45"/>
      <c r="J1160" s="45"/>
      <c r="K1160" s="45"/>
      <c r="L1160" s="45"/>
      <c r="N1160" s="46"/>
      <c r="P1160" s="47"/>
      <c r="Q1160" s="47"/>
      <c r="R1160" s="47"/>
      <c r="V1160" s="45"/>
    </row>
    <row r="1161" spans="3:22" ht="14.25" customHeight="1">
      <c r="C1161" s="45"/>
      <c r="D1161" s="45"/>
      <c r="E1161" s="45"/>
      <c r="F1161" s="45"/>
      <c r="G1161" s="45"/>
      <c r="H1161" s="45"/>
      <c r="I1161" s="45"/>
      <c r="J1161" s="45"/>
      <c r="K1161" s="45"/>
      <c r="L1161" s="45"/>
      <c r="N1161" s="46"/>
      <c r="P1161" s="47"/>
      <c r="Q1161" s="47"/>
      <c r="R1161" s="47"/>
      <c r="V1161" s="45"/>
    </row>
    <row r="1162" spans="3:22" ht="14.25" customHeight="1">
      <c r="C1162" s="45"/>
      <c r="D1162" s="45"/>
      <c r="E1162" s="45"/>
      <c r="F1162" s="45"/>
      <c r="G1162" s="45"/>
      <c r="H1162" s="45"/>
      <c r="I1162" s="45"/>
      <c r="J1162" s="45"/>
      <c r="K1162" s="45"/>
      <c r="L1162" s="45"/>
      <c r="N1162" s="46"/>
      <c r="P1162" s="47"/>
      <c r="Q1162" s="47"/>
      <c r="R1162" s="47"/>
      <c r="V1162" s="45"/>
    </row>
    <row r="1163" spans="3:22" ht="14.25" customHeight="1">
      <c r="C1163" s="45"/>
      <c r="D1163" s="45"/>
      <c r="E1163" s="45"/>
      <c r="F1163" s="45"/>
      <c r="G1163" s="45"/>
      <c r="H1163" s="45"/>
      <c r="I1163" s="45"/>
      <c r="J1163" s="45"/>
      <c r="K1163" s="45"/>
      <c r="L1163" s="45"/>
      <c r="N1163" s="46"/>
      <c r="P1163" s="47"/>
      <c r="Q1163" s="47"/>
      <c r="R1163" s="47"/>
      <c r="V1163" s="45"/>
    </row>
    <row r="1164" spans="3:22" ht="14.25" customHeight="1">
      <c r="C1164" s="45"/>
      <c r="D1164" s="45"/>
      <c r="E1164" s="45"/>
      <c r="F1164" s="45"/>
      <c r="G1164" s="45"/>
      <c r="H1164" s="45"/>
      <c r="I1164" s="45"/>
      <c r="J1164" s="45"/>
      <c r="K1164" s="45"/>
      <c r="L1164" s="45"/>
      <c r="N1164" s="46"/>
      <c r="P1164" s="47"/>
      <c r="Q1164" s="47"/>
      <c r="R1164" s="47"/>
      <c r="V1164" s="45"/>
    </row>
    <row r="1165" spans="3:22" ht="14.25" customHeight="1">
      <c r="C1165" s="45"/>
      <c r="D1165" s="45"/>
      <c r="E1165" s="45"/>
      <c r="F1165" s="45"/>
      <c r="G1165" s="45"/>
      <c r="H1165" s="45"/>
      <c r="I1165" s="45"/>
      <c r="J1165" s="45"/>
      <c r="K1165" s="45"/>
      <c r="L1165" s="45"/>
      <c r="N1165" s="46"/>
      <c r="P1165" s="47"/>
      <c r="Q1165" s="47"/>
      <c r="R1165" s="47"/>
      <c r="V1165" s="45"/>
    </row>
    <row r="1166" spans="3:22" ht="14.25" customHeight="1">
      <c r="C1166" s="45"/>
      <c r="D1166" s="45"/>
      <c r="E1166" s="45"/>
      <c r="F1166" s="45"/>
      <c r="G1166" s="45"/>
      <c r="H1166" s="45"/>
      <c r="I1166" s="45"/>
      <c r="J1166" s="45"/>
      <c r="K1166" s="45"/>
      <c r="L1166" s="45"/>
      <c r="N1166" s="46"/>
      <c r="P1166" s="47"/>
      <c r="Q1166" s="47"/>
      <c r="R1166" s="47"/>
      <c r="V1166" s="45"/>
    </row>
    <row r="1167" spans="3:22" ht="14.25" customHeight="1">
      <c r="C1167" s="45"/>
      <c r="D1167" s="45"/>
      <c r="E1167" s="45"/>
      <c r="F1167" s="45"/>
      <c r="G1167" s="45"/>
      <c r="H1167" s="45"/>
      <c r="I1167" s="45"/>
      <c r="J1167" s="45"/>
      <c r="K1167" s="45"/>
      <c r="L1167" s="45"/>
      <c r="N1167" s="46"/>
      <c r="P1167" s="47"/>
      <c r="Q1167" s="47"/>
      <c r="R1167" s="47"/>
      <c r="V1167" s="45"/>
    </row>
    <row r="1168" spans="3:22" ht="14.25" customHeight="1">
      <c r="C1168" s="45"/>
      <c r="D1168" s="45"/>
      <c r="E1168" s="45"/>
      <c r="F1168" s="45"/>
      <c r="G1168" s="45"/>
      <c r="H1168" s="45"/>
      <c r="I1168" s="45"/>
      <c r="J1168" s="45"/>
      <c r="K1168" s="45"/>
      <c r="L1168" s="45"/>
      <c r="N1168" s="46"/>
      <c r="P1168" s="47"/>
      <c r="Q1168" s="47"/>
      <c r="R1168" s="47"/>
      <c r="V1168" s="45"/>
    </row>
    <row r="1169" spans="3:22" ht="14.25" customHeight="1">
      <c r="C1169" s="45"/>
      <c r="D1169" s="45"/>
      <c r="E1169" s="45"/>
      <c r="F1169" s="45"/>
      <c r="G1169" s="45"/>
      <c r="H1169" s="45"/>
      <c r="I1169" s="45"/>
      <c r="J1169" s="45"/>
      <c r="K1169" s="45"/>
      <c r="L1169" s="45"/>
      <c r="N1169" s="46"/>
      <c r="P1169" s="47"/>
      <c r="Q1169" s="47"/>
      <c r="R1169" s="47"/>
      <c r="V1169" s="45"/>
    </row>
    <row r="1170" spans="3:22" ht="14.25" customHeight="1">
      <c r="C1170" s="45"/>
      <c r="D1170" s="45"/>
      <c r="E1170" s="45"/>
      <c r="F1170" s="45"/>
      <c r="G1170" s="45"/>
      <c r="H1170" s="45"/>
      <c r="I1170" s="45"/>
      <c r="J1170" s="45"/>
      <c r="K1170" s="45"/>
      <c r="L1170" s="45"/>
      <c r="N1170" s="46"/>
      <c r="P1170" s="47"/>
      <c r="Q1170" s="47"/>
      <c r="R1170" s="47"/>
      <c r="V1170" s="45"/>
    </row>
    <row r="1171" spans="3:22" ht="14.25" customHeight="1">
      <c r="C1171" s="45"/>
      <c r="D1171" s="45"/>
      <c r="E1171" s="45"/>
      <c r="F1171" s="45"/>
      <c r="G1171" s="45"/>
      <c r="H1171" s="45"/>
      <c r="I1171" s="45"/>
      <c r="J1171" s="45"/>
      <c r="K1171" s="45"/>
      <c r="L1171" s="45"/>
      <c r="N1171" s="46"/>
      <c r="P1171" s="47"/>
      <c r="Q1171" s="47"/>
      <c r="R1171" s="47"/>
      <c r="V1171" s="45"/>
    </row>
  </sheetData>
  <mergeCells count="294">
    <mergeCell ref="Z54:AD54"/>
    <mergeCell ref="Z145:AD145"/>
    <mergeCell ref="Z120:AD120"/>
    <mergeCell ref="Z203:AD203"/>
    <mergeCell ref="Z98:AD98"/>
    <mergeCell ref="Z274:AD274"/>
    <mergeCell ref="Z181:AD181"/>
    <mergeCell ref="Z166:AD166"/>
    <mergeCell ref="Z79:AD79"/>
    <mergeCell ref="Z260:AD260"/>
    <mergeCell ref="Z217:AD217"/>
    <mergeCell ref="Z173:AD173"/>
    <mergeCell ref="Z245:AD245"/>
    <mergeCell ref="Z250:AD250"/>
    <mergeCell ref="Z273:AD273"/>
    <mergeCell ref="Z167:AD167"/>
    <mergeCell ref="Z272:AD272"/>
    <mergeCell ref="Z127:AD127"/>
    <mergeCell ref="Z219:AD219"/>
    <mergeCell ref="Z177:AD177"/>
    <mergeCell ref="Z148:AD148"/>
    <mergeCell ref="Z192:AD192"/>
    <mergeCell ref="Z172:AD172"/>
    <mergeCell ref="Z199:AD199"/>
    <mergeCell ref="Z143:AD143"/>
    <mergeCell ref="Z275:AD275"/>
    <mergeCell ref="Z228:AD228"/>
    <mergeCell ref="Z284:AD284"/>
    <mergeCell ref="Z222:AD222"/>
    <mergeCell ref="Z276:AD276"/>
    <mergeCell ref="Z302:AD302"/>
    <mergeCell ref="Z106:AD106"/>
    <mergeCell ref="Z251:AD251"/>
    <mergeCell ref="Z291:AD291"/>
    <mergeCell ref="Z189:AD189"/>
    <mergeCell ref="Z155:AD155"/>
    <mergeCell ref="Z140:AD140"/>
    <mergeCell ref="Z93:AD93"/>
    <mergeCell ref="Z238:AD238"/>
    <mergeCell ref="Z198:AD198"/>
    <mergeCell ref="Z121:AD121"/>
    <mergeCell ref="Z187:AD187"/>
    <mergeCell ref="Z196:AD196"/>
    <mergeCell ref="Z280:AD280"/>
    <mergeCell ref="Z152:AD152"/>
    <mergeCell ref="Z103:AD103"/>
    <mergeCell ref="Z197:AD197"/>
    <mergeCell ref="Z154:AD154"/>
    <mergeCell ref="Z212:AD212"/>
    <mergeCell ref="Z163:AD163"/>
    <mergeCell ref="Z277:AD277"/>
    <mergeCell ref="Z286:AD286"/>
    <mergeCell ref="Z180:AD180"/>
    <mergeCell ref="Z96:AD96"/>
    <mergeCell ref="Z3:AD3"/>
    <mergeCell ref="Z301:AD301"/>
    <mergeCell ref="Z188:AD188"/>
    <mergeCell ref="Z239:AD239"/>
    <mergeCell ref="Z201:AD201"/>
    <mergeCell ref="Z130:AD130"/>
    <mergeCell ref="Z253:AD253"/>
    <mergeCell ref="Z117:AD117"/>
    <mergeCell ref="Z83:AD83"/>
    <mergeCell ref="Z157:AD157"/>
    <mergeCell ref="Z262:AD262"/>
    <mergeCell ref="Z68:AD68"/>
    <mergeCell ref="Z240:AD240"/>
    <mergeCell ref="Z67:AD67"/>
    <mergeCell ref="Z123:AD123"/>
    <mergeCell ref="Z5:AD5"/>
    <mergeCell ref="Z132:AD132"/>
    <mergeCell ref="Z110:AD110"/>
    <mergeCell ref="Z230:AD230"/>
    <mergeCell ref="Z290:AD290"/>
    <mergeCell ref="Z224:AD224"/>
    <mergeCell ref="Z295:AD295"/>
    <mergeCell ref="Z20:AD20"/>
    <mergeCell ref="Z60:AD60"/>
    <mergeCell ref="Z288:AD288"/>
    <mergeCell ref="Z84:AD84"/>
    <mergeCell ref="Z59:AD59"/>
    <mergeCell ref="Z118:AD118"/>
    <mergeCell ref="Z31:AD31"/>
    <mergeCell ref="Z202:AD202"/>
    <mergeCell ref="Z216:AD216"/>
    <mergeCell ref="Z158:AD158"/>
    <mergeCell ref="Z40:AD40"/>
    <mergeCell ref="Z225:AD225"/>
    <mergeCell ref="Z108:AD108"/>
    <mergeCell ref="Z257:AD257"/>
    <mergeCell ref="Z86:AD86"/>
    <mergeCell ref="Z55:AD55"/>
    <mergeCell ref="Z266:AD266"/>
    <mergeCell ref="Z104:AD104"/>
    <mergeCell ref="Z160:AD160"/>
    <mergeCell ref="Z136:AD136"/>
    <mergeCell ref="Z241:AD241"/>
    <mergeCell ref="Z70:AD70"/>
    <mergeCell ref="Z150:AD150"/>
    <mergeCell ref="Z32:AD32"/>
    <mergeCell ref="Z144:AD144"/>
    <mergeCell ref="Z159:AD159"/>
    <mergeCell ref="Z7:AD7"/>
    <mergeCell ref="Z72:AD72"/>
    <mergeCell ref="Z134:AD134"/>
    <mergeCell ref="Z16:AD16"/>
    <mergeCell ref="Z283:AD283"/>
    <mergeCell ref="Z252:AD252"/>
    <mergeCell ref="Z258:AD258"/>
    <mergeCell ref="Z243:AD243"/>
    <mergeCell ref="Z18:AD18"/>
    <mergeCell ref="Z8:AD8"/>
    <mergeCell ref="Z33:AD33"/>
    <mergeCell ref="Z51:AD51"/>
    <mergeCell ref="Z42:AD42"/>
    <mergeCell ref="Z170:AD170"/>
    <mergeCell ref="Z28:AD28"/>
    <mergeCell ref="Z19:AD19"/>
    <mergeCell ref="Z9:AD9"/>
    <mergeCell ref="Z30:AD30"/>
    <mergeCell ref="Z164:AD164"/>
    <mergeCell ref="Z235:AD235"/>
    <mergeCell ref="Z109:AD109"/>
    <mergeCell ref="Z25:AD25"/>
    <mergeCell ref="Z267:AD267"/>
    <mergeCell ref="Z174:AD174"/>
    <mergeCell ref="Z281:AD281"/>
    <mergeCell ref="Z112:AD112"/>
    <mergeCell ref="Z282:AD282"/>
    <mergeCell ref="Z292:AD292"/>
    <mergeCell ref="Z81:AD81"/>
    <mergeCell ref="Z175:AD175"/>
    <mergeCell ref="Z62:AD62"/>
    <mergeCell ref="Z184:AD184"/>
    <mergeCell ref="Z298:AD298"/>
    <mergeCell ref="Z131:AD131"/>
    <mergeCell ref="Z71:AD71"/>
    <mergeCell ref="Z285:AD285"/>
    <mergeCell ref="Z294:AD294"/>
    <mergeCell ref="Z195:AD195"/>
    <mergeCell ref="Z64:AD64"/>
    <mergeCell ref="Z204:AD204"/>
    <mergeCell ref="Z244:AD244"/>
    <mergeCell ref="Z73:AD73"/>
    <mergeCell ref="Z213:AD213"/>
    <mergeCell ref="Z269:AD269"/>
    <mergeCell ref="Z278:AD278"/>
    <mergeCell ref="Z82:AD82"/>
    <mergeCell ref="Z231:AD231"/>
    <mergeCell ref="Z176:AD176"/>
    <mergeCell ref="Z36:AD36"/>
    <mergeCell ref="Z232:AD232"/>
    <mergeCell ref="Z45:AD45"/>
    <mergeCell ref="Z101:AD101"/>
    <mergeCell ref="Z124:AD124"/>
    <mergeCell ref="Z58:AD58"/>
    <mergeCell ref="Z114:AD114"/>
    <mergeCell ref="Z259:AD259"/>
    <mergeCell ref="Z268:AD268"/>
    <mergeCell ref="Z97:AD97"/>
    <mergeCell ref="Z214:AD214"/>
    <mergeCell ref="Z156:AD156"/>
    <mergeCell ref="Z183:AD183"/>
    <mergeCell ref="Z43:AD43"/>
    <mergeCell ref="Z69:AD69"/>
    <mergeCell ref="Z41:AD41"/>
    <mergeCell ref="Z91:AD91"/>
    <mergeCell ref="Z263:AD263"/>
    <mergeCell ref="Z210:AD210"/>
    <mergeCell ref="Z161:AD161"/>
    <mergeCell ref="Z200:AD200"/>
    <mergeCell ref="Z111:AD111"/>
    <mergeCell ref="Z209:AD209"/>
    <mergeCell ref="Z147:AD147"/>
    <mergeCell ref="Z6:AD6"/>
    <mergeCell ref="Z133:AD133"/>
    <mergeCell ref="Z256:AD256"/>
    <mergeCell ref="Z169:AD169"/>
    <mergeCell ref="Z85:AD85"/>
    <mergeCell ref="Z151:AD151"/>
    <mergeCell ref="Z296:AD296"/>
    <mergeCell ref="Z178:AD178"/>
    <mergeCell ref="Z61:AD61"/>
    <mergeCell ref="Z126:AD126"/>
    <mergeCell ref="Z141:AD141"/>
    <mergeCell ref="Z246:AD246"/>
    <mergeCell ref="Z75:AD75"/>
    <mergeCell ref="Z193:AD193"/>
    <mergeCell ref="Z135:AD135"/>
    <mergeCell ref="Z255:AD255"/>
    <mergeCell ref="Z218:AD218"/>
    <mergeCell ref="Z233:AD233"/>
    <mergeCell ref="Z227:AD227"/>
    <mergeCell ref="Z242:AD242"/>
    <mergeCell ref="Z116:AD116"/>
    <mergeCell ref="Z125:AD125"/>
    <mergeCell ref="Z208:AD208"/>
    <mergeCell ref="Z205:AD205"/>
    <mergeCell ref="Z10:AD10"/>
    <mergeCell ref="Z137:AD137"/>
    <mergeCell ref="Z24:AD24"/>
    <mergeCell ref="Z90:AD90"/>
    <mergeCell ref="Z146:AD146"/>
    <mergeCell ref="Z65:AD65"/>
    <mergeCell ref="Z74:AD74"/>
    <mergeCell ref="Z37:AD37"/>
    <mergeCell ref="Z102:AD102"/>
    <mergeCell ref="Z12:AD12"/>
    <mergeCell ref="Z14:AD14"/>
    <mergeCell ref="Z35:AD35"/>
    <mergeCell ref="Z138:AD138"/>
    <mergeCell ref="Z107:AD107"/>
    <mergeCell ref="Z34:AD34"/>
    <mergeCell ref="Z26:AD26"/>
    <mergeCell ref="Z27:AD27"/>
    <mergeCell ref="Z47:AD47"/>
    <mergeCell ref="Z56:AD56"/>
    <mergeCell ref="Z38:AD38"/>
    <mergeCell ref="Z105:AD105"/>
    <mergeCell ref="Z92:AD92"/>
    <mergeCell ref="Z39:AD39"/>
    <mergeCell ref="Z99:AD99"/>
    <mergeCell ref="Z2:AD2"/>
    <mergeCell ref="Z139:AD139"/>
    <mergeCell ref="Z237:AD237"/>
    <mergeCell ref="Z49:AD49"/>
    <mergeCell ref="Z129:AD129"/>
    <mergeCell ref="Z300:AD300"/>
    <mergeCell ref="Z76:AD76"/>
    <mergeCell ref="Z221:AD221"/>
    <mergeCell ref="Z287:AD287"/>
    <mergeCell ref="Z168:AD168"/>
    <mergeCell ref="Z57:AD57"/>
    <mergeCell ref="Z113:AD113"/>
    <mergeCell ref="Z179:AD179"/>
    <mergeCell ref="Z66:AD66"/>
    <mergeCell ref="Z271:AD271"/>
    <mergeCell ref="Z100:AD100"/>
    <mergeCell ref="Z171:AD171"/>
    <mergeCell ref="Z53:AD53"/>
    <mergeCell ref="Z223:AD223"/>
    <mergeCell ref="Z289:AD289"/>
    <mergeCell ref="Z50:AD50"/>
    <mergeCell ref="Z115:AD115"/>
    <mergeCell ref="Z22:AD22"/>
    <mergeCell ref="Z264:AD264"/>
    <mergeCell ref="Z297:AD297"/>
    <mergeCell ref="Z21:AD21"/>
    <mergeCell ref="Z122:AD122"/>
    <mergeCell ref="Z247:AD247"/>
    <mergeCell ref="Z185:AD185"/>
    <mergeCell ref="Z142:AD142"/>
    <mergeCell ref="Z29:AD29"/>
    <mergeCell ref="Z194:AD194"/>
    <mergeCell ref="Z23:AD23"/>
    <mergeCell ref="Z265:AD265"/>
    <mergeCell ref="Z94:AD94"/>
    <mergeCell ref="Z234:AD234"/>
    <mergeCell ref="Z48:AD48"/>
    <mergeCell ref="Z88:AD88"/>
    <mergeCell ref="Z153:AD153"/>
    <mergeCell ref="Z63:AD63"/>
    <mergeCell ref="Z293:AD293"/>
    <mergeCell ref="Z206:AD206"/>
    <mergeCell ref="Z215:AD215"/>
    <mergeCell ref="Z190:AD190"/>
    <mergeCell ref="Z261:AD261"/>
    <mergeCell ref="Z279:AD279"/>
    <mergeCell ref="Z207:AD207"/>
    <mergeCell ref="Z149:AD149"/>
    <mergeCell ref="Z299:AD299"/>
    <mergeCell ref="Z13:AD13"/>
    <mergeCell ref="Z182:AD182"/>
    <mergeCell ref="Z4:AD4"/>
    <mergeCell ref="Z249:AD249"/>
    <mergeCell ref="Z191:AD191"/>
    <mergeCell ref="Z78:AD78"/>
    <mergeCell ref="Z87:AD87"/>
    <mergeCell ref="Z236:AD236"/>
    <mergeCell ref="Z119:AD119"/>
    <mergeCell ref="Z17:AD17"/>
    <mergeCell ref="Z186:AD186"/>
    <mergeCell ref="Z128:AD128"/>
    <mergeCell ref="Z46:AD46"/>
    <mergeCell ref="Z211:AD211"/>
    <mergeCell ref="Z226:AD226"/>
    <mergeCell ref="Z80:AD80"/>
    <mergeCell ref="Z15:AD15"/>
    <mergeCell ref="Z220:AD220"/>
    <mergeCell ref="Z89:AD89"/>
    <mergeCell ref="Z254:AD254"/>
    <mergeCell ref="Z165:AD165"/>
    <mergeCell ref="Z52:AD52"/>
    <mergeCell ref="Z248:AD248"/>
  </mergeCells>
  <phoneticPr fontId="29" type="noConversion"/>
  <dataValidations count="2">
    <dataValidation type="list" allowBlank="1" showErrorMessage="1" sqref="M46:M76 M79:M85 M88:M94 M164:M228" xr:uid="{00000000-0002-0000-0800-000000000000}">
      <formula1>"magic,phycial,shield,heal,mp"</formula1>
      <formula2>0</formula2>
    </dataValidation>
    <dataValidation type="list" allowBlank="1" showErrorMessage="1" sqref="M3:M10 M13:M43 M97:M162 M231:M269 M272:M302" xr:uid="{00000000-0002-0000-0800-000001000000}">
      <formula1>"magic,phycial,shield,heal"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181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2" max="2" width="22.140625" customWidth="1"/>
    <col min="3" max="3" width="52.28515625" customWidth="1"/>
    <col min="18" max="18" width="14.5703125" customWidth="1"/>
    <col min="21" max="21" width="14.28515625" customWidth="1"/>
    <col min="27" max="27" width="20.7109375" customWidth="1"/>
    <col min="28" max="28" width="20" customWidth="1"/>
    <col min="31" max="31" width="15.42578125" customWidth="1"/>
  </cols>
  <sheetData>
    <row r="1" spans="1:31" ht="14.25" customHeight="1">
      <c r="A1" s="40" t="s">
        <v>705</v>
      </c>
      <c r="B1" s="40" t="s">
        <v>1168</v>
      </c>
      <c r="C1" s="40" t="s">
        <v>1169</v>
      </c>
      <c r="D1" s="40" t="s">
        <v>1170</v>
      </c>
      <c r="E1" s="40" t="s">
        <v>1171</v>
      </c>
      <c r="F1" s="40" t="s">
        <v>1172</v>
      </c>
      <c r="G1" s="40" t="s">
        <v>1173</v>
      </c>
      <c r="H1" s="40" t="s">
        <v>685</v>
      </c>
      <c r="I1" s="40" t="s">
        <v>686</v>
      </c>
      <c r="J1" s="40" t="s">
        <v>687</v>
      </c>
      <c r="K1" s="40" t="s">
        <v>688</v>
      </c>
      <c r="L1" s="40" t="s">
        <v>689</v>
      </c>
      <c r="M1" s="40" t="s">
        <v>39</v>
      </c>
      <c r="N1" s="40" t="s">
        <v>690</v>
      </c>
      <c r="O1" s="40" t="s">
        <v>691</v>
      </c>
      <c r="P1" s="40" t="s">
        <v>692</v>
      </c>
      <c r="Q1" s="40" t="s">
        <v>693</v>
      </c>
      <c r="R1" s="40" t="s">
        <v>694</v>
      </c>
      <c r="S1" s="40" t="s">
        <v>695</v>
      </c>
      <c r="T1" s="40" t="s">
        <v>696</v>
      </c>
      <c r="U1" s="40" t="s">
        <v>697</v>
      </c>
      <c r="V1" s="40" t="s">
        <v>698</v>
      </c>
      <c r="W1" s="40" t="s">
        <v>1174</v>
      </c>
      <c r="X1" s="40" t="s">
        <v>1175</v>
      </c>
      <c r="Y1" s="48" t="s">
        <v>1176</v>
      </c>
      <c r="Z1" s="40" t="s">
        <v>1177</v>
      </c>
      <c r="AA1" s="40" t="s">
        <v>1178</v>
      </c>
      <c r="AB1" s="40" t="s">
        <v>1179</v>
      </c>
      <c r="AC1" s="40" t="s">
        <v>1180</v>
      </c>
      <c r="AD1" s="40" t="s">
        <v>1181</v>
      </c>
      <c r="AE1" s="2" t="s">
        <v>1182</v>
      </c>
    </row>
    <row r="2" spans="1:31" ht="14.25" customHeight="1">
      <c r="A2" s="6">
        <v>1001</v>
      </c>
      <c r="B2" s="8" t="s">
        <v>1183</v>
      </c>
      <c r="C2" s="52" t="str">
        <f>"每層提升5%攻擊，可堆疊，最多"&amp;X2&amp;"層，持續"&amp;Y2&amp;"回合"</f>
        <v>每層提升5%攻擊，可堆疊，最多5層，持續3回合</v>
      </c>
      <c r="D2" s="6" t="s">
        <v>767</v>
      </c>
      <c r="E2" s="63"/>
      <c r="F2" s="63"/>
      <c r="G2" s="63"/>
      <c r="H2" s="63">
        <v>0.05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 t="b">
        <f>TRUE()</f>
        <v>1</v>
      </c>
      <c r="X2" s="6">
        <v>5</v>
      </c>
      <c r="Y2" s="6">
        <v>3</v>
      </c>
      <c r="Z2" s="2"/>
      <c r="AA2" s="2"/>
      <c r="AB2" s="2"/>
      <c r="AC2" s="2"/>
      <c r="AD2" s="6"/>
      <c r="AE2" s="2"/>
    </row>
    <row r="3" spans="1:31" ht="14.25" customHeight="1">
      <c r="A3" s="6">
        <v>1002</v>
      </c>
      <c r="B3" s="8" t="s">
        <v>1184</v>
      </c>
      <c r="C3" s="52" t="str">
        <f>"每層提升5%防禦，可堆疊，最多"&amp;X3&amp;"層，持續"&amp;Y3&amp;"回合"</f>
        <v>每層提升5%防禦，可堆疊，最多5層，持續3回合</v>
      </c>
      <c r="D3" s="6" t="s">
        <v>767</v>
      </c>
      <c r="E3" s="6"/>
      <c r="F3" s="6"/>
      <c r="G3" s="6"/>
      <c r="H3" s="6"/>
      <c r="I3" s="6"/>
      <c r="J3" s="63">
        <v>0.05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 t="b">
        <f>TRUE()</f>
        <v>1</v>
      </c>
      <c r="X3" s="6">
        <v>5</v>
      </c>
      <c r="Y3" s="6">
        <v>3</v>
      </c>
      <c r="Z3" s="2"/>
      <c r="AA3" s="2"/>
      <c r="AB3" s="2"/>
      <c r="AC3" s="2"/>
      <c r="AD3" s="6"/>
      <c r="AE3" s="2"/>
    </row>
    <row r="4" spans="1:31" ht="14.25" customHeight="1">
      <c r="A4" s="6">
        <v>1003</v>
      </c>
      <c r="B4" s="8" t="s">
        <v>1185</v>
      </c>
      <c r="C4" s="52" t="str">
        <f>"每層提升5%魔攻，可堆疊，最多"&amp;X4&amp;"層，持續"&amp;Y4&amp;"回合"</f>
        <v>每層提升5%魔攻，可堆疊，最多5層，持續3回合</v>
      </c>
      <c r="D4" s="6" t="s">
        <v>767</v>
      </c>
      <c r="E4" s="6"/>
      <c r="F4" s="6"/>
      <c r="G4" s="6"/>
      <c r="H4" s="6"/>
      <c r="I4" s="63">
        <v>0.05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 t="b">
        <f>TRUE()</f>
        <v>1</v>
      </c>
      <c r="X4" s="6">
        <v>5</v>
      </c>
      <c r="Y4" s="6">
        <v>3</v>
      </c>
      <c r="Z4" s="2"/>
      <c r="AA4" s="2"/>
      <c r="AB4" s="2"/>
      <c r="AC4" s="2"/>
      <c r="AD4" s="6"/>
      <c r="AE4" s="2"/>
    </row>
    <row r="5" spans="1:31" ht="14.25" customHeight="1">
      <c r="A5" s="6">
        <v>1004</v>
      </c>
      <c r="B5" s="8" t="s">
        <v>1186</v>
      </c>
      <c r="C5" s="52" t="str">
        <f>"每層提升5%魔防，可堆疊，最多"&amp;X5&amp;"層，持續"&amp;Y5&amp;"回合"</f>
        <v>每層提升5%魔防，可堆疊，最多5層，持續3回合</v>
      </c>
      <c r="D5" s="6" t="s">
        <v>767</v>
      </c>
      <c r="E5" s="6"/>
      <c r="F5" s="6"/>
      <c r="G5" s="6"/>
      <c r="H5" s="6"/>
      <c r="I5" s="6"/>
      <c r="J5" s="6"/>
      <c r="K5" s="63">
        <v>0.05</v>
      </c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 t="b">
        <f>TRUE()</f>
        <v>1</v>
      </c>
      <c r="X5" s="6">
        <v>5</v>
      </c>
      <c r="Y5" s="6">
        <v>3</v>
      </c>
      <c r="Z5" s="2"/>
      <c r="AA5" s="2"/>
      <c r="AB5" s="2"/>
      <c r="AC5" s="2"/>
      <c r="AD5" s="6"/>
      <c r="AE5" s="2"/>
    </row>
    <row r="6" spans="1:31" ht="14.25" customHeight="1">
      <c r="A6" s="6">
        <v>1005</v>
      </c>
      <c r="B6" s="8" t="s">
        <v>1187</v>
      </c>
      <c r="C6" s="52" t="str">
        <f>"每層提升5%爆擊率，可堆疊，最多"&amp;X6&amp;"層，持續"&amp;Y6&amp;"回合"</f>
        <v>每層提升5%爆擊率，可堆疊，最多5層，持續3回合</v>
      </c>
      <c r="D6" s="6" t="s">
        <v>767</v>
      </c>
      <c r="E6" s="6"/>
      <c r="F6" s="6"/>
      <c r="G6" s="6"/>
      <c r="H6" s="6"/>
      <c r="I6" s="6"/>
      <c r="J6" s="6"/>
      <c r="K6" s="6"/>
      <c r="L6" s="63">
        <v>0.05</v>
      </c>
      <c r="M6" s="6"/>
      <c r="N6" s="6"/>
      <c r="O6" s="6"/>
      <c r="P6" s="6"/>
      <c r="Q6" s="6"/>
      <c r="R6" s="6"/>
      <c r="S6" s="6"/>
      <c r="T6" s="6"/>
      <c r="U6" s="6"/>
      <c r="V6" s="6"/>
      <c r="W6" s="6" t="b">
        <f>TRUE()</f>
        <v>1</v>
      </c>
      <c r="X6" s="6">
        <v>5</v>
      </c>
      <c r="Y6" s="6">
        <v>3</v>
      </c>
      <c r="Z6" s="2"/>
      <c r="AA6" s="2"/>
      <c r="AB6" s="2"/>
      <c r="AC6" s="2"/>
      <c r="AD6" s="6"/>
      <c r="AE6" s="2"/>
    </row>
    <row r="7" spans="1:31" ht="14.25" customHeight="1">
      <c r="A7" s="6">
        <v>1006</v>
      </c>
      <c r="B7" s="8" t="s">
        <v>1188</v>
      </c>
      <c r="C7" s="52" t="str">
        <f>"每層提升5%爆擊傷害，可堆疊，最多"&amp;X7&amp;"層，持續"&amp;Y7&amp;"回合"</f>
        <v>每層提升5%爆擊傷害，可堆疊，最多5層，持續3回合</v>
      </c>
      <c r="D7" s="6" t="s">
        <v>767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63">
        <v>0.05</v>
      </c>
      <c r="R7" s="2"/>
      <c r="S7" s="2"/>
      <c r="T7" s="2"/>
      <c r="U7" s="2"/>
      <c r="V7" s="6"/>
      <c r="W7" s="6" t="b">
        <f>TRUE()</f>
        <v>1</v>
      </c>
      <c r="X7" s="6">
        <v>5</v>
      </c>
      <c r="Y7" s="6">
        <v>3</v>
      </c>
      <c r="Z7" s="2"/>
      <c r="AA7" s="2"/>
      <c r="AB7" s="2"/>
      <c r="AC7" s="2"/>
      <c r="AD7" s="6"/>
      <c r="AE7" s="2"/>
    </row>
    <row r="8" spans="1:31" ht="14.25" customHeight="1">
      <c r="A8" s="6">
        <v>1007</v>
      </c>
      <c r="B8" s="8" t="s">
        <v>1189</v>
      </c>
      <c r="C8" s="52" t="str">
        <f>"每層提升5%技能傷害，可堆疊，最多"&amp;X8&amp;"層，持續"&amp;Y8&amp;"回合"</f>
        <v>每層提升5%技能傷害，可堆疊，最多5層，持續3回合</v>
      </c>
      <c r="D8" s="6" t="s">
        <v>767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63">
        <v>0.05</v>
      </c>
      <c r="T8" s="2"/>
      <c r="U8" s="2"/>
      <c r="V8" s="6"/>
      <c r="W8" s="6" t="b">
        <f>TRUE()</f>
        <v>1</v>
      </c>
      <c r="X8" s="6">
        <v>5</v>
      </c>
      <c r="Y8" s="6">
        <v>3</v>
      </c>
      <c r="Z8" s="2"/>
      <c r="AA8" s="2"/>
      <c r="AB8" s="2"/>
      <c r="AC8" s="2"/>
      <c r="AD8" s="6"/>
      <c r="AE8" s="2"/>
    </row>
    <row r="9" spans="1:31" ht="14.25" customHeight="1">
      <c r="A9" s="6">
        <v>1008</v>
      </c>
      <c r="B9" s="8" t="s">
        <v>1190</v>
      </c>
      <c r="C9" s="52" t="str">
        <f>"每層提升5%爆擊抗性，可堆疊，最多"&amp;X9&amp;"層，持續"&amp;Y9&amp;"回合"</f>
        <v>每層提升5%爆擊抗性，可堆疊，最多5層，持續3回合</v>
      </c>
      <c r="D9" s="6" t="s">
        <v>767</v>
      </c>
      <c r="E9" s="2"/>
      <c r="F9" s="2"/>
      <c r="G9" s="2"/>
      <c r="H9" s="2"/>
      <c r="I9" s="2"/>
      <c r="J9" s="2"/>
      <c r="K9" s="2"/>
      <c r="L9" s="2"/>
      <c r="M9" s="2"/>
      <c r="N9" s="63">
        <v>0.05</v>
      </c>
      <c r="O9" s="2"/>
      <c r="P9" s="2"/>
      <c r="Q9" s="2"/>
      <c r="R9" s="2"/>
      <c r="S9" s="2"/>
      <c r="T9" s="2"/>
      <c r="U9" s="2"/>
      <c r="V9" s="6"/>
      <c r="W9" s="6" t="b">
        <f>TRUE()</f>
        <v>1</v>
      </c>
      <c r="X9" s="6">
        <v>5</v>
      </c>
      <c r="Y9" s="6">
        <v>3</v>
      </c>
      <c r="Z9" s="2"/>
      <c r="AA9" s="2"/>
      <c r="AB9" s="2"/>
      <c r="AC9" s="2"/>
      <c r="AD9" s="6"/>
      <c r="AE9" s="2"/>
    </row>
    <row r="10" spans="1:31" ht="14.25" customHeight="1">
      <c r="A10" s="6">
        <v>1009</v>
      </c>
      <c r="B10" s="8" t="s">
        <v>1191</v>
      </c>
      <c r="C10" s="52" t="str">
        <f>"每層提升5%爆傷抗性，可堆疊，最多"&amp;X10&amp;"層，持續"&amp;Y10&amp;"回合"</f>
        <v>每層提升5%爆傷抗性，可堆疊，最多5層，持續3回合</v>
      </c>
      <c r="D10" s="6" t="s">
        <v>767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63">
        <v>0.05</v>
      </c>
      <c r="S10" s="2"/>
      <c r="T10" s="2"/>
      <c r="U10" s="2"/>
      <c r="V10" s="6"/>
      <c r="W10" s="6" t="b">
        <f>TRUE()</f>
        <v>1</v>
      </c>
      <c r="X10" s="6">
        <v>5</v>
      </c>
      <c r="Y10" s="6">
        <v>3</v>
      </c>
      <c r="Z10" s="2"/>
      <c r="AA10" s="2"/>
      <c r="AB10" s="2"/>
      <c r="AC10" s="2"/>
      <c r="AD10" s="6"/>
      <c r="AE10" s="2"/>
    </row>
    <row r="11" spans="1:31" ht="14.25" customHeight="1">
      <c r="A11" s="6">
        <v>1010</v>
      </c>
      <c r="B11" s="8" t="s">
        <v>1192</v>
      </c>
      <c r="C11" s="52" t="str">
        <f>"每層提升5%技能倍率抗性，可堆疊，最多"&amp;X11&amp;"層，持續"&amp;Y11&amp;"回合"</f>
        <v>每層提升5%技能倍率抗性，可堆疊，最多5層，持續3回合</v>
      </c>
      <c r="D11" s="6" t="s">
        <v>767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63">
        <v>0.05</v>
      </c>
      <c r="U11" s="2"/>
      <c r="V11" s="6"/>
      <c r="W11" s="6" t="b">
        <f>TRUE()</f>
        <v>1</v>
      </c>
      <c r="X11" s="6">
        <v>5</v>
      </c>
      <c r="Y11" s="6">
        <v>3</v>
      </c>
      <c r="Z11" s="2"/>
      <c r="AA11" s="2"/>
      <c r="AB11" s="2"/>
      <c r="AC11" s="2"/>
      <c r="AD11" s="6"/>
      <c r="AE11" s="2"/>
    </row>
    <row r="12" spans="1:31" ht="14.25" customHeight="1">
      <c r="A12" s="6">
        <v>1011</v>
      </c>
      <c r="B12" s="8" t="s">
        <v>1193</v>
      </c>
      <c r="C12" s="52" t="str">
        <f>"每層提升3%造成傷害，可堆疊，最多"&amp;X12&amp;"層，持續"&amp;Y12&amp;"回合"</f>
        <v>每層提升3%造成傷害，可堆疊，最多5層，持續3回合</v>
      </c>
      <c r="D12" s="6" t="s">
        <v>767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63">
        <v>0.03</v>
      </c>
      <c r="V12" s="6"/>
      <c r="W12" s="6" t="b">
        <f>TRUE()</f>
        <v>1</v>
      </c>
      <c r="X12" s="6">
        <v>5</v>
      </c>
      <c r="Y12" s="6">
        <v>3</v>
      </c>
      <c r="Z12" s="2"/>
      <c r="AA12" s="2"/>
      <c r="AB12" s="2"/>
      <c r="AC12" s="2"/>
      <c r="AD12" s="6"/>
      <c r="AE12" s="2"/>
    </row>
    <row r="13" spans="1:31" ht="14.25" customHeight="1">
      <c r="A13" s="6">
        <v>1012</v>
      </c>
      <c r="B13" s="8" t="s">
        <v>1194</v>
      </c>
      <c r="C13" s="52" t="str">
        <f>"每層提升3%減少受到傷害，可堆疊，最多"&amp;X13&amp;"層，持續"&amp;Y13&amp;"回合"</f>
        <v>每層提升3%減少受到傷害，可堆疊，最多5層，持續3回合</v>
      </c>
      <c r="D13" s="6" t="s">
        <v>767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63">
        <v>0.03</v>
      </c>
      <c r="W13" s="6" t="b">
        <f>TRUE()</f>
        <v>1</v>
      </c>
      <c r="X13" s="6">
        <v>5</v>
      </c>
      <c r="Y13" s="6">
        <v>3</v>
      </c>
      <c r="Z13" s="2"/>
      <c r="AA13" s="2"/>
      <c r="AB13" s="2"/>
      <c r="AC13" s="2"/>
      <c r="AD13" s="6"/>
      <c r="AE13" s="2"/>
    </row>
    <row r="14" spans="1:31" ht="14.25" customHeight="1">
      <c r="A14" s="45"/>
      <c r="B14" s="45"/>
      <c r="V14" s="45"/>
      <c r="Y14" s="45"/>
    </row>
    <row r="15" spans="1:31" ht="14.25" customHeight="1">
      <c r="A15" s="45"/>
      <c r="B15" s="45"/>
      <c r="V15" s="45"/>
      <c r="Y15" s="45"/>
    </row>
    <row r="16" spans="1:31" ht="14.25" customHeight="1">
      <c r="A16" s="40" t="s">
        <v>705</v>
      </c>
      <c r="B16" s="40" t="s">
        <v>1168</v>
      </c>
      <c r="C16" s="40" t="s">
        <v>1169</v>
      </c>
      <c r="D16" s="40" t="s">
        <v>1170</v>
      </c>
      <c r="E16" s="40" t="s">
        <v>1171</v>
      </c>
      <c r="F16" s="40" t="s">
        <v>1172</v>
      </c>
      <c r="G16" s="40" t="s">
        <v>1173</v>
      </c>
      <c r="H16" s="40" t="s">
        <v>685</v>
      </c>
      <c r="I16" s="40" t="s">
        <v>686</v>
      </c>
      <c r="J16" s="40" t="s">
        <v>687</v>
      </c>
      <c r="K16" s="40" t="s">
        <v>688</v>
      </c>
      <c r="L16" s="40" t="s">
        <v>689</v>
      </c>
      <c r="M16" s="40" t="s">
        <v>39</v>
      </c>
      <c r="N16" s="40" t="s">
        <v>690</v>
      </c>
      <c r="O16" s="40" t="s">
        <v>691</v>
      </c>
      <c r="P16" s="40" t="s">
        <v>692</v>
      </c>
      <c r="Q16" s="40" t="s">
        <v>693</v>
      </c>
      <c r="R16" s="40" t="s">
        <v>694</v>
      </c>
      <c r="S16" s="40" t="s">
        <v>695</v>
      </c>
      <c r="T16" s="40" t="s">
        <v>696</v>
      </c>
      <c r="U16" s="40" t="s">
        <v>697</v>
      </c>
      <c r="V16" s="40" t="s">
        <v>698</v>
      </c>
      <c r="W16" s="40" t="s">
        <v>1174</v>
      </c>
      <c r="X16" s="40" t="s">
        <v>1175</v>
      </c>
      <c r="Y16" s="48" t="s">
        <v>1176</v>
      </c>
      <c r="Z16" s="40" t="s">
        <v>1177</v>
      </c>
      <c r="AA16" s="40" t="s">
        <v>1178</v>
      </c>
      <c r="AB16" s="40" t="s">
        <v>1179</v>
      </c>
      <c r="AC16" s="40" t="s">
        <v>1180</v>
      </c>
      <c r="AD16" s="40" t="s">
        <v>1181</v>
      </c>
      <c r="AE16" s="2" t="s">
        <v>1182</v>
      </c>
    </row>
    <row r="17" spans="1:31" ht="14.25" customHeight="1">
      <c r="A17" s="6">
        <v>2001</v>
      </c>
      <c r="B17" s="8" t="s">
        <v>1195</v>
      </c>
      <c r="C17" s="52" t="str">
        <f>"每層降低5%攻擊，可堆疊，最多"&amp;X17&amp;"層，持續"&amp;Y17&amp;"回合"</f>
        <v>每層降低5%攻擊，可堆疊，最多5層，持續3回合</v>
      </c>
      <c r="D17" s="6" t="s">
        <v>769</v>
      </c>
      <c r="E17" s="63"/>
      <c r="F17" s="63"/>
      <c r="G17" s="63"/>
      <c r="H17" s="63">
        <v>-0.05</v>
      </c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 t="b">
        <f>TRUE()</f>
        <v>1</v>
      </c>
      <c r="X17" s="6">
        <v>5</v>
      </c>
      <c r="Y17" s="6">
        <v>3</v>
      </c>
      <c r="Z17" s="2"/>
      <c r="AA17" s="2"/>
      <c r="AB17" s="2"/>
      <c r="AC17" s="2"/>
      <c r="AD17" s="6"/>
      <c r="AE17" s="2"/>
    </row>
    <row r="18" spans="1:31" ht="14.25" customHeight="1">
      <c r="A18" s="6">
        <v>2002</v>
      </c>
      <c r="B18" s="8" t="s">
        <v>1196</v>
      </c>
      <c r="C18" s="52" t="str">
        <f>"每層降低5%防禦，可堆疊，最多"&amp;X18&amp;"層，持續"&amp;Y18&amp;"回合"</f>
        <v>每層降低5%防禦，可堆疊，最多5層，持續3回合</v>
      </c>
      <c r="D18" s="6" t="s">
        <v>769</v>
      </c>
      <c r="E18" s="6"/>
      <c r="F18" s="6"/>
      <c r="G18" s="6"/>
      <c r="H18" s="6"/>
      <c r="I18" s="6"/>
      <c r="J18" s="63">
        <v>-0.05</v>
      </c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 t="b">
        <f>TRUE()</f>
        <v>1</v>
      </c>
      <c r="X18" s="6">
        <v>5</v>
      </c>
      <c r="Y18" s="6">
        <v>3</v>
      </c>
      <c r="Z18" s="2"/>
      <c r="AA18" s="2"/>
      <c r="AB18" s="2"/>
      <c r="AC18" s="2"/>
      <c r="AD18" s="6"/>
      <c r="AE18" s="2"/>
    </row>
    <row r="19" spans="1:31" ht="14.25" customHeight="1">
      <c r="A19" s="6">
        <v>2003</v>
      </c>
      <c r="B19" s="8" t="s">
        <v>1197</v>
      </c>
      <c r="C19" s="52" t="str">
        <f>"每層降低5%魔攻，可堆疊，最多"&amp;X19&amp;"層，持續"&amp;Y19&amp;"回合"</f>
        <v>每層降低5%魔攻，可堆疊，最多5層，持續3回合</v>
      </c>
      <c r="D19" s="6" t="s">
        <v>769</v>
      </c>
      <c r="E19" s="6"/>
      <c r="F19" s="6"/>
      <c r="G19" s="6"/>
      <c r="H19" s="6"/>
      <c r="I19" s="63">
        <v>-0.05</v>
      </c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 t="b">
        <f>TRUE()</f>
        <v>1</v>
      </c>
      <c r="X19" s="6">
        <v>5</v>
      </c>
      <c r="Y19" s="6">
        <v>3</v>
      </c>
      <c r="Z19" s="2"/>
      <c r="AA19" s="2"/>
      <c r="AB19" s="2"/>
      <c r="AC19" s="2"/>
      <c r="AD19" s="6"/>
      <c r="AE19" s="2"/>
    </row>
    <row r="20" spans="1:31" ht="14.25" customHeight="1">
      <c r="A20" s="6">
        <v>2004</v>
      </c>
      <c r="B20" s="8" t="s">
        <v>1198</v>
      </c>
      <c r="C20" s="52" t="str">
        <f>"每層降低5%魔防，可堆疊，最多"&amp;X20&amp;"層，持續"&amp;Y20&amp;"回合"</f>
        <v>每層降低5%魔防，可堆疊，最多5層，持續3回合</v>
      </c>
      <c r="D20" s="6" t="s">
        <v>769</v>
      </c>
      <c r="E20" s="6"/>
      <c r="F20" s="6"/>
      <c r="G20" s="6"/>
      <c r="H20" s="6"/>
      <c r="I20" s="6"/>
      <c r="J20" s="6"/>
      <c r="K20" s="63">
        <v>-0.05</v>
      </c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 t="b">
        <f>TRUE()</f>
        <v>1</v>
      </c>
      <c r="X20" s="6">
        <v>5</v>
      </c>
      <c r="Y20" s="6">
        <v>3</v>
      </c>
      <c r="Z20" s="2"/>
      <c r="AA20" s="2"/>
      <c r="AB20" s="2"/>
      <c r="AC20" s="2"/>
      <c r="AD20" s="6"/>
      <c r="AE20" s="2"/>
    </row>
    <row r="21" spans="1:31" ht="14.25" customHeight="1">
      <c r="A21" s="6">
        <v>2005</v>
      </c>
      <c r="B21" s="8" t="s">
        <v>1199</v>
      </c>
      <c r="C21" s="52" t="str">
        <f>"每層降低5%爆擊率，可堆疊，最多"&amp;X21&amp;"層，持續"&amp;Y21&amp;"回合"</f>
        <v>每層降低5%爆擊率，可堆疊，最多5層，持續3回合</v>
      </c>
      <c r="D21" s="6" t="s">
        <v>769</v>
      </c>
      <c r="E21" s="6"/>
      <c r="F21" s="6"/>
      <c r="G21" s="6"/>
      <c r="H21" s="6"/>
      <c r="I21" s="6"/>
      <c r="J21" s="6"/>
      <c r="K21" s="6"/>
      <c r="L21" s="63">
        <v>-0.05</v>
      </c>
      <c r="M21" s="6"/>
      <c r="N21" s="6"/>
      <c r="O21" s="6"/>
      <c r="P21" s="6"/>
      <c r="Q21" s="6"/>
      <c r="R21" s="6"/>
      <c r="S21" s="6"/>
      <c r="T21" s="6"/>
      <c r="U21" s="6"/>
      <c r="V21" s="6"/>
      <c r="W21" s="6" t="b">
        <f>TRUE()</f>
        <v>1</v>
      </c>
      <c r="X21" s="6">
        <v>5</v>
      </c>
      <c r="Y21" s="6">
        <v>3</v>
      </c>
      <c r="Z21" s="2"/>
      <c r="AA21" s="2"/>
      <c r="AB21" s="2"/>
      <c r="AC21" s="2"/>
      <c r="AD21" s="6"/>
      <c r="AE21" s="2"/>
    </row>
    <row r="22" spans="1:31" ht="14.25" customHeight="1">
      <c r="A22" s="6">
        <v>2006</v>
      </c>
      <c r="B22" s="8" t="s">
        <v>1200</v>
      </c>
      <c r="C22" s="52" t="str">
        <f>"每層降低5%爆擊傷害，可堆疊，最多"&amp;X22&amp;"層，持續"&amp;Y22&amp;"回合"</f>
        <v>每層降低5%爆擊傷害，可堆疊，最多5層，持續3回合</v>
      </c>
      <c r="D22" s="6" t="s">
        <v>769</v>
      </c>
      <c r="E22" s="6"/>
      <c r="F22" s="6"/>
      <c r="G22" s="6"/>
      <c r="H22" s="6"/>
      <c r="I22" s="6"/>
      <c r="J22" s="6"/>
      <c r="K22" s="6"/>
      <c r="L22" s="6"/>
      <c r="M22" s="2"/>
      <c r="N22" s="2"/>
      <c r="O22" s="2"/>
      <c r="P22" s="2"/>
      <c r="Q22" s="63">
        <v>-0.05</v>
      </c>
      <c r="R22" s="2"/>
      <c r="S22" s="2"/>
      <c r="T22" s="2"/>
      <c r="U22" s="2"/>
      <c r="V22" s="6"/>
      <c r="W22" s="6" t="b">
        <f>TRUE()</f>
        <v>1</v>
      </c>
      <c r="X22" s="6">
        <v>5</v>
      </c>
      <c r="Y22" s="6">
        <v>3</v>
      </c>
      <c r="Z22" s="2"/>
      <c r="AA22" s="2"/>
      <c r="AB22" s="2"/>
      <c r="AC22" s="2"/>
      <c r="AD22" s="6"/>
      <c r="AE22" s="2"/>
    </row>
    <row r="23" spans="1:31" ht="14.25" customHeight="1">
      <c r="A23" s="6">
        <v>2007</v>
      </c>
      <c r="B23" s="8" t="s">
        <v>1201</v>
      </c>
      <c r="C23" s="52" t="str">
        <f>"每層降低5%技能傷害，可堆疊，最多"&amp;X23&amp;"層，持續"&amp;Y23&amp;"回合"</f>
        <v>每層降低5%技能傷害，可堆疊，最多5層，持續3回合</v>
      </c>
      <c r="D23" s="6" t="s">
        <v>769</v>
      </c>
      <c r="E23" s="6"/>
      <c r="F23" s="6"/>
      <c r="G23" s="6"/>
      <c r="H23" s="6"/>
      <c r="I23" s="6"/>
      <c r="J23" s="6"/>
      <c r="K23" s="6"/>
      <c r="L23" s="6"/>
      <c r="M23" s="2"/>
      <c r="N23" s="2"/>
      <c r="O23" s="2"/>
      <c r="P23" s="2"/>
      <c r="Q23" s="2"/>
      <c r="R23" s="2"/>
      <c r="S23" s="63">
        <v>-0.05</v>
      </c>
      <c r="T23" s="2"/>
      <c r="U23" s="2"/>
      <c r="V23" s="6"/>
      <c r="W23" s="6" t="b">
        <f>TRUE()</f>
        <v>1</v>
      </c>
      <c r="X23" s="6">
        <v>5</v>
      </c>
      <c r="Y23" s="6">
        <v>3</v>
      </c>
      <c r="Z23" s="2"/>
      <c r="AA23" s="2"/>
      <c r="AB23" s="2"/>
      <c r="AC23" s="2"/>
      <c r="AD23" s="6"/>
      <c r="AE23" s="2"/>
    </row>
    <row r="24" spans="1:31" ht="14.25" customHeight="1">
      <c r="A24" s="6">
        <v>2008</v>
      </c>
      <c r="B24" s="8" t="s">
        <v>1202</v>
      </c>
      <c r="C24" s="52" t="str">
        <f>"每層降低5%爆擊抗性，可堆疊，最多"&amp;X24&amp;"層，持續"&amp;Y24&amp;"回合"</f>
        <v>每層降低5%爆擊抗性，可堆疊，最多5層，持續3回合</v>
      </c>
      <c r="D24" s="6" t="s">
        <v>769</v>
      </c>
      <c r="E24" s="6"/>
      <c r="F24" s="6"/>
      <c r="G24" s="6"/>
      <c r="H24" s="6"/>
      <c r="I24" s="6"/>
      <c r="J24" s="6"/>
      <c r="K24" s="6"/>
      <c r="L24" s="6"/>
      <c r="M24" s="2"/>
      <c r="N24" s="63">
        <v>-0.05</v>
      </c>
      <c r="O24" s="2"/>
      <c r="P24" s="2"/>
      <c r="Q24" s="2"/>
      <c r="R24" s="2"/>
      <c r="S24" s="2"/>
      <c r="T24" s="2"/>
      <c r="U24" s="2"/>
      <c r="V24" s="6"/>
      <c r="W24" s="6" t="b">
        <f>TRUE()</f>
        <v>1</v>
      </c>
      <c r="X24" s="6">
        <v>5</v>
      </c>
      <c r="Y24" s="6">
        <v>3</v>
      </c>
      <c r="Z24" s="2"/>
      <c r="AA24" s="2"/>
      <c r="AB24" s="2"/>
      <c r="AC24" s="2"/>
      <c r="AD24" s="6"/>
      <c r="AE24" s="2"/>
    </row>
    <row r="25" spans="1:31" ht="14.25" customHeight="1">
      <c r="A25" s="6">
        <v>2009</v>
      </c>
      <c r="B25" s="8" t="s">
        <v>1203</v>
      </c>
      <c r="C25" s="52" t="str">
        <f>"每層降低5%爆傷抗性，可堆疊，最多"&amp;X25&amp;"層，持續"&amp;Y25&amp;"回合"</f>
        <v>每層降低5%爆傷抗性，可堆疊，最多5層，持續3回合</v>
      </c>
      <c r="D25" s="6" t="s">
        <v>769</v>
      </c>
      <c r="E25" s="6"/>
      <c r="F25" s="6"/>
      <c r="G25" s="6"/>
      <c r="H25" s="6"/>
      <c r="I25" s="6"/>
      <c r="J25" s="6"/>
      <c r="K25" s="6"/>
      <c r="L25" s="6"/>
      <c r="M25" s="2"/>
      <c r="N25" s="2"/>
      <c r="O25" s="2"/>
      <c r="P25" s="2"/>
      <c r="Q25" s="2"/>
      <c r="R25" s="63">
        <v>-0.05</v>
      </c>
      <c r="S25" s="2"/>
      <c r="T25" s="2"/>
      <c r="U25" s="2"/>
      <c r="V25" s="6"/>
      <c r="W25" s="6" t="b">
        <f>TRUE()</f>
        <v>1</v>
      </c>
      <c r="X25" s="6">
        <v>5</v>
      </c>
      <c r="Y25" s="6">
        <v>3</v>
      </c>
      <c r="Z25" s="2"/>
      <c r="AA25" s="2"/>
      <c r="AB25" s="2"/>
      <c r="AC25" s="2"/>
      <c r="AD25" s="6"/>
      <c r="AE25" s="2"/>
    </row>
    <row r="26" spans="1:31" ht="14.25" customHeight="1">
      <c r="A26" s="6">
        <v>2010</v>
      </c>
      <c r="B26" s="8" t="s">
        <v>1204</v>
      </c>
      <c r="C26" s="52" t="str">
        <f>"每層降低5%技能傷害，可堆疊，最多"&amp;X26&amp;"層，持續"&amp;Y26&amp;"回合"</f>
        <v>每層降低5%技能傷害，可堆疊，最多5層，持續3回合</v>
      </c>
      <c r="D26" s="6" t="s">
        <v>769</v>
      </c>
      <c r="E26" s="6"/>
      <c r="F26" s="6"/>
      <c r="G26" s="6"/>
      <c r="H26" s="6"/>
      <c r="I26" s="6"/>
      <c r="J26" s="6"/>
      <c r="K26" s="6"/>
      <c r="L26" s="6"/>
      <c r="M26" s="2"/>
      <c r="N26" s="2"/>
      <c r="O26" s="2"/>
      <c r="P26" s="2"/>
      <c r="Q26" s="2"/>
      <c r="R26" s="2"/>
      <c r="S26" s="2"/>
      <c r="T26" s="63">
        <v>-0.05</v>
      </c>
      <c r="U26" s="2"/>
      <c r="V26" s="6"/>
      <c r="W26" s="6" t="b">
        <f>TRUE()</f>
        <v>1</v>
      </c>
      <c r="X26" s="6">
        <v>5</v>
      </c>
      <c r="Y26" s="6">
        <v>3</v>
      </c>
      <c r="Z26" s="2"/>
      <c r="AA26" s="2"/>
      <c r="AB26" s="2"/>
      <c r="AC26" s="2"/>
      <c r="AD26" s="6"/>
      <c r="AE26" s="2"/>
    </row>
    <row r="27" spans="1:31" ht="14.25" customHeight="1">
      <c r="A27" s="6">
        <v>2011</v>
      </c>
      <c r="B27" s="8" t="s">
        <v>1205</v>
      </c>
      <c r="C27" s="52" t="str">
        <f>"每層降低3%造成傷害，可堆疊，最多"&amp;X27&amp;"層，持續"&amp;Y27&amp;"回合"</f>
        <v>每層降低3%造成傷害，可堆疊，最多5層，持續3回合</v>
      </c>
      <c r="D27" s="6" t="s">
        <v>769</v>
      </c>
      <c r="E27" s="6"/>
      <c r="F27" s="6"/>
      <c r="G27" s="6"/>
      <c r="H27" s="6"/>
      <c r="I27" s="6"/>
      <c r="J27" s="6"/>
      <c r="K27" s="6"/>
      <c r="L27" s="6"/>
      <c r="M27" s="2"/>
      <c r="N27" s="2"/>
      <c r="O27" s="2"/>
      <c r="P27" s="2"/>
      <c r="Q27" s="2"/>
      <c r="R27" s="2"/>
      <c r="S27" s="2"/>
      <c r="T27" s="2"/>
      <c r="U27" s="63">
        <v>-0.03</v>
      </c>
      <c r="V27" s="6"/>
      <c r="W27" s="6" t="b">
        <f>TRUE()</f>
        <v>1</v>
      </c>
      <c r="X27" s="6">
        <v>5</v>
      </c>
      <c r="Y27" s="6">
        <v>3</v>
      </c>
      <c r="Z27" s="2"/>
      <c r="AA27" s="2"/>
      <c r="AB27" s="2"/>
      <c r="AC27" s="2"/>
      <c r="AD27" s="6"/>
      <c r="AE27" s="2"/>
    </row>
    <row r="28" spans="1:31" ht="14.25" customHeight="1">
      <c r="A28" s="6">
        <v>2012</v>
      </c>
      <c r="B28" s="8" t="s">
        <v>1206</v>
      </c>
      <c r="C28" s="52" t="str">
        <f>"每層增加3%受到傷害，可堆疊，最多"&amp;X28&amp;"層，持續"&amp;Y28&amp;"回合"</f>
        <v>每層增加3%受到傷害，可堆疊，最多5層，持續3回合</v>
      </c>
      <c r="D28" s="6" t="s">
        <v>769</v>
      </c>
      <c r="E28" s="6"/>
      <c r="F28" s="6"/>
      <c r="G28" s="6"/>
      <c r="H28" s="6"/>
      <c r="I28" s="6"/>
      <c r="J28" s="6"/>
      <c r="K28" s="6"/>
      <c r="L28" s="6"/>
      <c r="M28" s="2"/>
      <c r="N28" s="2"/>
      <c r="O28" s="2"/>
      <c r="P28" s="2"/>
      <c r="Q28" s="2"/>
      <c r="R28" s="2"/>
      <c r="S28" s="2"/>
      <c r="T28" s="2"/>
      <c r="U28" s="2"/>
      <c r="V28" s="63">
        <v>-0.03</v>
      </c>
      <c r="W28" s="6" t="b">
        <f>TRUE()</f>
        <v>1</v>
      </c>
      <c r="X28" s="6">
        <v>5</v>
      </c>
      <c r="Y28" s="6">
        <v>3</v>
      </c>
      <c r="Z28" s="2"/>
      <c r="AA28" s="2"/>
      <c r="AB28" s="2"/>
      <c r="AC28" s="2"/>
      <c r="AD28" s="6"/>
      <c r="AE28" s="2"/>
    </row>
    <row r="29" spans="1:31" ht="14.25" customHeight="1">
      <c r="A29" s="45"/>
      <c r="B29" s="45"/>
      <c r="C29" s="47"/>
      <c r="D29" s="45"/>
      <c r="E29" s="45"/>
      <c r="F29" s="45"/>
      <c r="G29" s="45"/>
      <c r="H29" s="45"/>
      <c r="I29" s="45"/>
      <c r="J29" s="45"/>
      <c r="K29" s="45"/>
      <c r="L29" s="64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AD29" s="45"/>
    </row>
    <row r="30" spans="1:31" ht="14.25" customHeight="1">
      <c r="A30" s="40" t="s">
        <v>705</v>
      </c>
      <c r="B30" s="40" t="s">
        <v>1168</v>
      </c>
      <c r="C30" s="40" t="s">
        <v>1169</v>
      </c>
      <c r="D30" s="40" t="s">
        <v>1170</v>
      </c>
      <c r="E30" s="40" t="s">
        <v>1171</v>
      </c>
      <c r="F30" s="40" t="s">
        <v>1172</v>
      </c>
      <c r="G30" s="40" t="s">
        <v>1173</v>
      </c>
      <c r="H30" s="40" t="s">
        <v>685</v>
      </c>
      <c r="I30" s="40" t="s">
        <v>686</v>
      </c>
      <c r="J30" s="40" t="s">
        <v>687</v>
      </c>
      <c r="K30" s="40" t="s">
        <v>688</v>
      </c>
      <c r="L30" s="40" t="s">
        <v>689</v>
      </c>
      <c r="M30" s="40" t="s">
        <v>39</v>
      </c>
      <c r="N30" s="40" t="s">
        <v>690</v>
      </c>
      <c r="O30" s="40" t="s">
        <v>691</v>
      </c>
      <c r="P30" s="40" t="s">
        <v>692</v>
      </c>
      <c r="Q30" s="40" t="s">
        <v>693</v>
      </c>
      <c r="R30" s="40" t="s">
        <v>694</v>
      </c>
      <c r="S30" s="40" t="s">
        <v>695</v>
      </c>
      <c r="T30" s="40" t="s">
        <v>696</v>
      </c>
      <c r="U30" s="40" t="s">
        <v>697</v>
      </c>
      <c r="V30" s="40" t="s">
        <v>698</v>
      </c>
      <c r="W30" s="40" t="s">
        <v>1174</v>
      </c>
      <c r="X30" s="40" t="s">
        <v>1175</v>
      </c>
      <c r="Y30" s="48" t="s">
        <v>1176</v>
      </c>
      <c r="Z30" s="40" t="s">
        <v>1177</v>
      </c>
      <c r="AA30" s="40" t="s">
        <v>1178</v>
      </c>
      <c r="AB30" s="40" t="s">
        <v>1179</v>
      </c>
      <c r="AC30" s="40" t="s">
        <v>1180</v>
      </c>
      <c r="AD30" s="40" t="s">
        <v>1181</v>
      </c>
      <c r="AE30" s="2" t="s">
        <v>1182</v>
      </c>
    </row>
    <row r="31" spans="1:31" ht="14.25" customHeight="1">
      <c r="A31" s="6">
        <v>1996</v>
      </c>
      <c r="B31" s="8" t="s">
        <v>1207</v>
      </c>
      <c r="C31" s="52" t="str">
        <f>"將所有受到的傷害50%改由發起護衛者承擔"&amp;"持續"&amp;Y31&amp;"回合"</f>
        <v>將所有受到的傷害50%改由發起護衛者承擔持續2回合</v>
      </c>
      <c r="D31" s="6" t="s">
        <v>767</v>
      </c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 t="b">
        <f>FALSE()</f>
        <v>0</v>
      </c>
      <c r="X31" s="6">
        <v>1</v>
      </c>
      <c r="Y31" s="6">
        <v>2</v>
      </c>
      <c r="Z31" s="2"/>
      <c r="AA31" s="2"/>
      <c r="AB31" s="2"/>
      <c r="AC31" s="2"/>
      <c r="AD31" s="6"/>
      <c r="AE31" s="2"/>
    </row>
    <row r="32" spans="1:31" ht="14.25" customHeight="1">
      <c r="A32" s="6">
        <v>1997</v>
      </c>
      <c r="B32" s="8" t="s">
        <v>1208</v>
      </c>
      <c r="C32" s="52" t="str">
        <f>"減少15%受到的傷害，並將受到傷害反射至攻擊者，"&amp;"持續"&amp;Y32&amp;"回合"</f>
        <v>減少15%受到的傷害，並將受到傷害反射至攻擊者，持續2回合</v>
      </c>
      <c r="D32" s="6" t="s">
        <v>767</v>
      </c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>
        <v>0.15</v>
      </c>
      <c r="Q32" s="6"/>
      <c r="R32" s="6"/>
      <c r="S32" s="6"/>
      <c r="T32" s="6"/>
      <c r="U32" s="6"/>
      <c r="V32" s="6"/>
      <c r="W32" s="6" t="b">
        <f>FALSE()</f>
        <v>0</v>
      </c>
      <c r="X32" s="6">
        <v>1</v>
      </c>
      <c r="Y32" s="6">
        <v>2</v>
      </c>
      <c r="Z32" s="2"/>
      <c r="AA32" s="2"/>
      <c r="AB32" s="2"/>
      <c r="AC32" s="2"/>
      <c r="AD32" s="6"/>
      <c r="AE32" s="2"/>
    </row>
    <row r="33" spans="1:31" ht="14.25" customHeight="1">
      <c r="A33" s="6">
        <v>1998</v>
      </c>
      <c r="B33" s="8" t="s">
        <v>1209</v>
      </c>
      <c r="C33" s="52" t="str">
        <f>"將所有受到的傷害改由發起護衛者承擔，"&amp;"持續"&amp;Y33&amp;"回合"</f>
        <v>將所有受到的傷害改由發起護衛者承擔，持續1回合</v>
      </c>
      <c r="D33" s="6" t="s">
        <v>767</v>
      </c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 t="b">
        <f>FALSE()</f>
        <v>0</v>
      </c>
      <c r="X33" s="6">
        <v>1</v>
      </c>
      <c r="Y33" s="6">
        <v>1</v>
      </c>
      <c r="Z33" s="2"/>
      <c r="AA33" s="2"/>
      <c r="AB33" s="2"/>
      <c r="AC33" s="2"/>
      <c r="AD33" s="6"/>
      <c r="AE33" s="2"/>
    </row>
    <row r="34" spans="1:31" ht="14.25" customHeight="1">
      <c r="A34" s="6">
        <v>1999</v>
      </c>
      <c r="B34" s="8" t="s">
        <v>1210</v>
      </c>
      <c r="C34" s="52" t="str">
        <f>"優先抵擋傷害的護盾HP，"&amp;"持續"&amp;Y34&amp;"回合"</f>
        <v>優先抵擋傷害的護盾HP，持續3回合</v>
      </c>
      <c r="D34" s="6" t="s">
        <v>767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 t="b">
        <f>FALSE()</f>
        <v>0</v>
      </c>
      <c r="X34" s="6">
        <v>1</v>
      </c>
      <c r="Y34" s="6">
        <v>3</v>
      </c>
      <c r="Z34" s="2"/>
      <c r="AA34" s="2"/>
      <c r="AB34" s="2"/>
      <c r="AC34" s="2"/>
      <c r="AD34" s="6"/>
      <c r="AE34" s="2"/>
    </row>
    <row r="35" spans="1:31" ht="14.25" customHeight="1">
      <c r="A35" s="45"/>
      <c r="B35" s="45"/>
      <c r="V35" s="45"/>
      <c r="Y35" s="45"/>
    </row>
    <row r="36" spans="1:31" ht="14.25" customHeight="1">
      <c r="A36" s="40" t="s">
        <v>705</v>
      </c>
      <c r="B36" s="40" t="s">
        <v>1168</v>
      </c>
      <c r="C36" s="40" t="s">
        <v>1169</v>
      </c>
      <c r="D36" s="40" t="s">
        <v>1170</v>
      </c>
      <c r="E36" s="40" t="s">
        <v>1171</v>
      </c>
      <c r="F36" s="40" t="s">
        <v>1172</v>
      </c>
      <c r="G36" s="40" t="s">
        <v>1173</v>
      </c>
      <c r="H36" s="40" t="s">
        <v>685</v>
      </c>
      <c r="I36" s="40" t="s">
        <v>686</v>
      </c>
      <c r="J36" s="40" t="s">
        <v>687</v>
      </c>
      <c r="K36" s="40" t="s">
        <v>688</v>
      </c>
      <c r="L36" s="40" t="s">
        <v>689</v>
      </c>
      <c r="M36" s="40" t="s">
        <v>39</v>
      </c>
      <c r="N36" s="40" t="s">
        <v>690</v>
      </c>
      <c r="O36" s="40" t="s">
        <v>691</v>
      </c>
      <c r="P36" s="40" t="s">
        <v>692</v>
      </c>
      <c r="Q36" s="40" t="s">
        <v>693</v>
      </c>
      <c r="R36" s="40" t="s">
        <v>694</v>
      </c>
      <c r="S36" s="40" t="s">
        <v>695</v>
      </c>
      <c r="T36" s="40" t="s">
        <v>696</v>
      </c>
      <c r="U36" s="40" t="s">
        <v>697</v>
      </c>
      <c r="V36" s="40" t="s">
        <v>698</v>
      </c>
      <c r="W36" s="40" t="s">
        <v>1174</v>
      </c>
      <c r="X36" s="40" t="s">
        <v>1175</v>
      </c>
      <c r="Y36" s="48" t="s">
        <v>1176</v>
      </c>
      <c r="Z36" s="40" t="s">
        <v>1177</v>
      </c>
      <c r="AA36" s="40" t="s">
        <v>1178</v>
      </c>
      <c r="AB36" s="40" t="s">
        <v>1179</v>
      </c>
      <c r="AC36" s="40" t="s">
        <v>1180</v>
      </c>
      <c r="AD36" s="40" t="s">
        <v>1181</v>
      </c>
      <c r="AE36" s="2" t="s">
        <v>1182</v>
      </c>
    </row>
    <row r="37" spans="1:31" ht="14.25" customHeight="1">
      <c r="A37" s="6">
        <v>3001</v>
      </c>
      <c r="B37" s="8" t="s">
        <v>1211</v>
      </c>
      <c r="C37" s="52" t="str">
        <f>"每回合恢復40%施術者魔法攻擊的HP恢復，"&amp;"持續"&amp;Y37&amp;"回合"</f>
        <v>每回合恢復40%施術者魔法攻擊的HP恢復，持續3回合</v>
      </c>
      <c r="D37" s="6" t="s">
        <v>767</v>
      </c>
      <c r="E37" s="6"/>
      <c r="F37" s="6"/>
      <c r="G37" s="6"/>
      <c r="H37" s="6"/>
      <c r="I37" s="6">
        <v>0.4</v>
      </c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 t="b">
        <f>FALSE()</f>
        <v>0</v>
      </c>
      <c r="X37" s="6">
        <v>1</v>
      </c>
      <c r="Y37" s="6">
        <v>3</v>
      </c>
      <c r="Z37" s="2"/>
      <c r="AA37" s="2"/>
      <c r="AB37" s="2"/>
      <c r="AC37" s="2"/>
      <c r="AD37" s="6"/>
      <c r="AE37" s="2"/>
    </row>
    <row r="38" spans="1:31" ht="14.25" customHeight="1">
      <c r="A38" s="6">
        <v>3002</v>
      </c>
      <c r="B38" s="8" t="s">
        <v>1212</v>
      </c>
      <c r="C38" s="52" t="str">
        <f>"每回合恢復2%施術者魔法攻擊力的MP恢復，"&amp;"持續"&amp;Y38&amp;"回合"</f>
        <v>每回合恢復2%施術者魔法攻擊力的MP恢復，持續2回合</v>
      </c>
      <c r="D38" s="6" t="s">
        <v>767</v>
      </c>
      <c r="E38" s="6"/>
      <c r="F38" s="6"/>
      <c r="G38" s="6"/>
      <c r="H38" s="6"/>
      <c r="I38" s="6">
        <v>0.02</v>
      </c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 t="b">
        <f>FALSE()</f>
        <v>0</v>
      </c>
      <c r="X38" s="6">
        <v>1</v>
      </c>
      <c r="Y38" s="6">
        <v>2</v>
      </c>
      <c r="Z38" s="2"/>
      <c r="AA38" s="2"/>
      <c r="AB38" s="2"/>
      <c r="AC38" s="2"/>
      <c r="AD38" s="6"/>
      <c r="AE38" s="2"/>
    </row>
    <row r="39" spans="1:31" ht="14.25" customHeight="1">
      <c r="A39" s="6">
        <v>3003</v>
      </c>
      <c r="B39" s="8" t="s">
        <v>1213</v>
      </c>
      <c r="C39" s="52" t="str">
        <f>"回合結束時立即增加10%行動值，"&amp;"持續"&amp;Y39&amp;"回合"</f>
        <v>回合結束時立即增加10%行動值，持續2回合</v>
      </c>
      <c r="D39" s="6" t="s">
        <v>767</v>
      </c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0.1</v>
      </c>
      <c r="P39" s="6"/>
      <c r="Q39" s="6"/>
      <c r="R39" s="6"/>
      <c r="S39" s="6"/>
      <c r="T39" s="6"/>
      <c r="U39" s="6"/>
      <c r="V39" s="6"/>
      <c r="W39" s="6" t="b">
        <f>FALSE()</f>
        <v>0</v>
      </c>
      <c r="X39" s="6">
        <v>1</v>
      </c>
      <c r="Y39" s="6">
        <v>2</v>
      </c>
      <c r="Z39" s="2"/>
      <c r="AA39" s="2"/>
      <c r="AB39" s="2"/>
      <c r="AC39" s="2"/>
      <c r="AD39" s="6"/>
      <c r="AE39" s="2"/>
    </row>
    <row r="40" spans="1:31" ht="14.25" customHeight="1">
      <c r="A40" s="6">
        <v>3004</v>
      </c>
      <c r="B40" s="8" t="s">
        <v>1214</v>
      </c>
      <c r="C40" s="4" t="s">
        <v>1215</v>
      </c>
      <c r="D40" s="6" t="s">
        <v>767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6">
        <v>0.2</v>
      </c>
      <c r="W40" s="6" t="b">
        <f>FALSE()</f>
        <v>0</v>
      </c>
      <c r="X40" s="6">
        <v>1</v>
      </c>
      <c r="Y40" s="6">
        <v>2</v>
      </c>
      <c r="Z40" s="2"/>
      <c r="AA40" s="2"/>
      <c r="AB40" s="2"/>
      <c r="AC40" s="2"/>
      <c r="AD40" s="6"/>
      <c r="AE40" s="2"/>
    </row>
    <row r="41" spans="1:31" ht="14.25" customHeight="1">
      <c r="A41" s="6">
        <v>3005</v>
      </c>
      <c r="B41" s="8" t="s">
        <v>1216</v>
      </c>
      <c r="C41" s="4" t="s">
        <v>1217</v>
      </c>
      <c r="D41" s="6" t="s">
        <v>767</v>
      </c>
      <c r="E41" s="2"/>
      <c r="F41" s="2"/>
      <c r="G41" s="2"/>
      <c r="H41" s="2"/>
      <c r="I41" s="2"/>
      <c r="J41" s="2">
        <v>-0.3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6"/>
      <c r="W41" s="6" t="b">
        <f>FALSE()</f>
        <v>0</v>
      </c>
      <c r="X41" s="6">
        <v>1</v>
      </c>
      <c r="Y41" s="6">
        <v>2</v>
      </c>
      <c r="Z41" s="2"/>
      <c r="AA41" s="2"/>
      <c r="AB41" s="2"/>
      <c r="AC41" s="2"/>
      <c r="AD41" s="6"/>
      <c r="AE41" s="2"/>
    </row>
    <row r="42" spans="1:31" ht="14.25" customHeight="1">
      <c r="A42" s="6">
        <v>3006</v>
      </c>
      <c r="B42" s="8" t="s">
        <v>1218</v>
      </c>
      <c r="C42" s="4" t="s">
        <v>1219</v>
      </c>
      <c r="D42" s="6" t="s">
        <v>767</v>
      </c>
      <c r="E42" s="2"/>
      <c r="F42" s="2"/>
      <c r="G42" s="2"/>
      <c r="H42" s="2"/>
      <c r="I42" s="2"/>
      <c r="J42" s="2"/>
      <c r="K42" s="2">
        <v>-0.3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6"/>
      <c r="W42" s="6" t="b">
        <f>FALSE()</f>
        <v>0</v>
      </c>
      <c r="X42" s="6">
        <v>1</v>
      </c>
      <c r="Y42" s="6">
        <v>2</v>
      </c>
      <c r="Z42" s="2"/>
      <c r="AA42" s="2"/>
      <c r="AB42" s="2"/>
      <c r="AC42" s="2"/>
      <c r="AD42" s="6"/>
      <c r="AE42" s="2"/>
    </row>
    <row r="43" spans="1:31" ht="14.25" customHeight="1">
      <c r="A43" s="6">
        <v>3007</v>
      </c>
      <c r="B43" s="8" t="s">
        <v>1220</v>
      </c>
      <c r="C43" s="4" t="s">
        <v>1221</v>
      </c>
      <c r="D43" s="6" t="s">
        <v>767</v>
      </c>
      <c r="E43" s="2"/>
      <c r="F43" s="2"/>
      <c r="G43" s="2"/>
      <c r="H43" s="2"/>
      <c r="I43" s="2"/>
      <c r="J43" s="2"/>
      <c r="K43" s="2"/>
      <c r="L43" s="2">
        <v>0.3</v>
      </c>
      <c r="M43" s="2"/>
      <c r="N43" s="2"/>
      <c r="O43" s="2"/>
      <c r="P43" s="2"/>
      <c r="Q43" s="2"/>
      <c r="R43" s="2"/>
      <c r="S43" s="2"/>
      <c r="T43" s="2"/>
      <c r="U43" s="2"/>
      <c r="V43" s="6"/>
      <c r="W43" s="6" t="b">
        <f>FALSE()</f>
        <v>0</v>
      </c>
      <c r="X43" s="6">
        <v>1</v>
      </c>
      <c r="Y43" s="6">
        <v>2</v>
      </c>
      <c r="Z43" s="2"/>
      <c r="AA43" s="2"/>
      <c r="AB43" s="2"/>
      <c r="AC43" s="2"/>
      <c r="AD43" s="6"/>
      <c r="AE43" s="2"/>
    </row>
    <row r="44" spans="1:31" ht="14.25" customHeight="1">
      <c r="A44" s="6">
        <v>3008</v>
      </c>
      <c r="B44" s="8" t="s">
        <v>1222</v>
      </c>
      <c r="C44" s="4" t="s">
        <v>1223</v>
      </c>
      <c r="D44" s="6" t="s">
        <v>767</v>
      </c>
      <c r="E44" s="2"/>
      <c r="F44" s="2"/>
      <c r="G44" s="2"/>
      <c r="H44" s="2"/>
      <c r="I44" s="2">
        <v>0.3</v>
      </c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6"/>
      <c r="W44" s="6" t="b">
        <f>FALSE()</f>
        <v>0</v>
      </c>
      <c r="X44" s="6">
        <v>1</v>
      </c>
      <c r="Y44" s="6">
        <v>2</v>
      </c>
      <c r="Z44" s="2"/>
      <c r="AA44" s="2"/>
      <c r="AB44" s="2"/>
      <c r="AC44" s="2"/>
      <c r="AD44" s="6"/>
      <c r="AE44" s="2"/>
    </row>
    <row r="45" spans="1:31" ht="14.25" customHeight="1">
      <c r="A45" s="6">
        <v>3009</v>
      </c>
      <c r="B45" s="8" t="s">
        <v>1224</v>
      </c>
      <c r="C45" s="4" t="s">
        <v>1225</v>
      </c>
      <c r="D45" s="6" t="s">
        <v>767</v>
      </c>
      <c r="E45" s="2"/>
      <c r="F45" s="2"/>
      <c r="G45" s="2"/>
      <c r="H45" s="2"/>
      <c r="I45" s="2">
        <v>0.5</v>
      </c>
      <c r="J45" s="2"/>
      <c r="K45" s="2"/>
      <c r="L45" s="2"/>
      <c r="M45" s="2"/>
      <c r="N45" s="2"/>
      <c r="O45" s="2"/>
      <c r="P45" s="2"/>
      <c r="Q45" s="2"/>
      <c r="R45" s="2"/>
      <c r="S45" s="2">
        <v>0.1</v>
      </c>
      <c r="T45" s="2"/>
      <c r="U45" s="2"/>
      <c r="V45" s="6"/>
      <c r="W45" s="6" t="b">
        <f>FALSE()</f>
        <v>0</v>
      </c>
      <c r="X45" s="6">
        <v>1</v>
      </c>
      <c r="Y45" s="6">
        <v>2</v>
      </c>
      <c r="Z45" s="2"/>
      <c r="AA45" s="2"/>
      <c r="AB45" s="2"/>
      <c r="AC45" s="2"/>
      <c r="AD45" s="6"/>
      <c r="AE45" s="2"/>
    </row>
    <row r="46" spans="1:31" ht="14.25" customHeight="1">
      <c r="A46" s="6">
        <v>3010</v>
      </c>
      <c r="B46" s="8" t="s">
        <v>1226</v>
      </c>
      <c r="C46" s="4" t="s">
        <v>1227</v>
      </c>
      <c r="D46" s="6" t="s">
        <v>767</v>
      </c>
      <c r="E46" s="2"/>
      <c r="F46" s="2"/>
      <c r="G46" s="2"/>
      <c r="H46" s="2"/>
      <c r="I46" s="2"/>
      <c r="J46" s="2"/>
      <c r="K46" s="2"/>
      <c r="L46" s="2">
        <v>0.5</v>
      </c>
      <c r="M46" s="2"/>
      <c r="N46" s="2"/>
      <c r="O46" s="2"/>
      <c r="P46" s="2"/>
      <c r="Q46" s="2"/>
      <c r="R46" s="2"/>
      <c r="S46" s="2"/>
      <c r="T46" s="2"/>
      <c r="U46" s="2"/>
      <c r="V46" s="6"/>
      <c r="W46" s="6" t="b">
        <f>FALSE()</f>
        <v>0</v>
      </c>
      <c r="X46" s="6">
        <v>1</v>
      </c>
      <c r="Y46" s="6">
        <v>2</v>
      </c>
      <c r="Z46" s="2"/>
      <c r="AA46" s="2"/>
      <c r="AB46" s="2"/>
      <c r="AC46" s="2"/>
      <c r="AD46" s="6"/>
      <c r="AE46" s="2"/>
    </row>
    <row r="47" spans="1:31" ht="14.25" customHeight="1">
      <c r="A47" s="6">
        <v>3011</v>
      </c>
      <c r="B47" s="8" t="s">
        <v>1228</v>
      </c>
      <c r="C47" s="4" t="s">
        <v>1229</v>
      </c>
      <c r="D47" s="6" t="s">
        <v>767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>
        <v>0.5</v>
      </c>
      <c r="R47" s="2"/>
      <c r="S47" s="2"/>
      <c r="T47" s="2"/>
      <c r="U47" s="2"/>
      <c r="V47" s="6"/>
      <c r="W47" s="6" t="b">
        <f>FALSE()</f>
        <v>0</v>
      </c>
      <c r="X47" s="6">
        <v>1</v>
      </c>
      <c r="Y47" s="6">
        <v>2</v>
      </c>
      <c r="Z47" s="2"/>
      <c r="AA47" s="2"/>
      <c r="AB47" s="2"/>
      <c r="AC47" s="2"/>
      <c r="AD47" s="6"/>
      <c r="AE47" s="2"/>
    </row>
    <row r="48" spans="1:31" ht="14.25" customHeight="1">
      <c r="A48" s="6">
        <v>3012</v>
      </c>
      <c r="B48" s="8" t="s">
        <v>1230</v>
      </c>
      <c r="C48" s="4" t="s">
        <v>1231</v>
      </c>
      <c r="D48" s="6" t="s">
        <v>767</v>
      </c>
      <c r="E48" s="2"/>
      <c r="F48" s="2"/>
      <c r="G48" s="2"/>
      <c r="H48" s="2"/>
      <c r="I48" s="2"/>
      <c r="J48" s="2"/>
      <c r="K48" s="2"/>
      <c r="L48" s="2">
        <v>0.3</v>
      </c>
      <c r="M48" s="2"/>
      <c r="N48" s="2"/>
      <c r="O48" s="2"/>
      <c r="P48" s="2"/>
      <c r="Q48" s="2">
        <v>0.4</v>
      </c>
      <c r="R48" s="2"/>
      <c r="S48" s="2"/>
      <c r="T48" s="2"/>
      <c r="U48" s="2"/>
      <c r="V48" s="6"/>
      <c r="W48" s="6" t="b">
        <f>FALSE()</f>
        <v>0</v>
      </c>
      <c r="X48" s="6">
        <v>1</v>
      </c>
      <c r="Y48" s="6">
        <v>2</v>
      </c>
      <c r="Z48" s="2"/>
      <c r="AA48" s="2"/>
      <c r="AB48" s="2"/>
      <c r="AC48" s="2"/>
      <c r="AD48" s="6"/>
      <c r="AE48" s="2"/>
    </row>
    <row r="49" spans="1:31" ht="14.25" customHeight="1">
      <c r="A49" s="6">
        <v>3013</v>
      </c>
      <c r="B49" s="8" t="s">
        <v>1232</v>
      </c>
      <c r="C49" s="4" t="s">
        <v>1233</v>
      </c>
      <c r="D49" s="6" t="s">
        <v>767</v>
      </c>
      <c r="E49" s="2"/>
      <c r="F49" s="2"/>
      <c r="G49" s="2"/>
      <c r="H49" s="2">
        <v>0.5</v>
      </c>
      <c r="I49" s="2">
        <v>0.5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6"/>
      <c r="W49" s="6" t="b">
        <f>FALSE()</f>
        <v>0</v>
      </c>
      <c r="X49" s="6">
        <v>1</v>
      </c>
      <c r="Y49" s="6">
        <v>1</v>
      </c>
      <c r="Z49" s="2"/>
      <c r="AA49" s="2"/>
      <c r="AB49" s="2"/>
      <c r="AC49" s="2"/>
      <c r="AD49" s="6"/>
      <c r="AE49" s="2"/>
    </row>
    <row r="50" spans="1:31" ht="14.25" customHeight="1">
      <c r="A50" s="6">
        <v>3014</v>
      </c>
      <c r="B50" s="8" t="s">
        <v>1234</v>
      </c>
      <c r="C50" s="4" t="s">
        <v>1235</v>
      </c>
      <c r="D50" s="6" t="s">
        <v>767</v>
      </c>
      <c r="E50" s="2"/>
      <c r="F50" s="2"/>
      <c r="G50" s="2"/>
      <c r="H50" s="2"/>
      <c r="I50" s="2"/>
      <c r="J50" s="2"/>
      <c r="K50" s="2"/>
      <c r="L50" s="2">
        <v>0.1</v>
      </c>
      <c r="M50" s="2"/>
      <c r="N50" s="2"/>
      <c r="O50" s="2"/>
      <c r="P50" s="2"/>
      <c r="Q50" s="2"/>
      <c r="R50" s="2"/>
      <c r="S50" s="2"/>
      <c r="T50" s="2"/>
      <c r="U50" s="2"/>
      <c r="V50" s="6"/>
      <c r="W50" s="6" t="b">
        <f>FALSE()</f>
        <v>0</v>
      </c>
      <c r="X50" s="6">
        <v>1</v>
      </c>
      <c r="Y50" s="6">
        <v>2</v>
      </c>
      <c r="Z50" s="2"/>
      <c r="AA50" s="2"/>
      <c r="AB50" s="2"/>
      <c r="AC50" s="2"/>
      <c r="AD50" s="6"/>
      <c r="AE50" s="2"/>
    </row>
    <row r="51" spans="1:31" ht="14.25" customHeight="1">
      <c r="A51" s="6">
        <v>3015</v>
      </c>
      <c r="B51" s="8" t="s">
        <v>1236</v>
      </c>
      <c r="C51" s="4" t="s">
        <v>1237</v>
      </c>
      <c r="D51" s="6" t="s">
        <v>767</v>
      </c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>
        <v>-0.5</v>
      </c>
      <c r="U51" s="2"/>
      <c r="V51" s="6"/>
      <c r="W51" s="6" t="b">
        <f>FALSE()</f>
        <v>0</v>
      </c>
      <c r="X51" s="6">
        <v>1</v>
      </c>
      <c r="Y51" s="6">
        <v>1</v>
      </c>
      <c r="Z51" s="2"/>
      <c r="AA51" s="2"/>
      <c r="AB51" s="2"/>
      <c r="AC51" s="2"/>
      <c r="AD51" s="6"/>
      <c r="AE51" s="2"/>
    </row>
    <row r="52" spans="1:31" ht="14.25" customHeight="1">
      <c r="A52" s="6">
        <v>3016</v>
      </c>
      <c r="B52" s="8" t="s">
        <v>1238</v>
      </c>
      <c r="C52" s="4" t="s">
        <v>1239</v>
      </c>
      <c r="D52" s="6" t="s">
        <v>767</v>
      </c>
      <c r="E52" s="2"/>
      <c r="F52" s="2"/>
      <c r="G52" s="2"/>
      <c r="H52" s="2"/>
      <c r="I52" s="2"/>
      <c r="J52" s="2"/>
      <c r="K52" s="2"/>
      <c r="L52" s="2">
        <v>1</v>
      </c>
      <c r="M52" s="2"/>
      <c r="N52" s="2"/>
      <c r="O52" s="2"/>
      <c r="P52" s="2"/>
      <c r="Q52" s="2"/>
      <c r="R52" s="2"/>
      <c r="S52" s="2"/>
      <c r="T52" s="2"/>
      <c r="U52" s="2"/>
      <c r="V52" s="6"/>
      <c r="W52" s="6" t="b">
        <f>FALSE()</f>
        <v>0</v>
      </c>
      <c r="X52" s="6">
        <v>1</v>
      </c>
      <c r="Y52" s="6">
        <v>1</v>
      </c>
      <c r="Z52" s="2"/>
      <c r="AA52" s="2"/>
      <c r="AB52" s="2"/>
      <c r="AC52" s="2"/>
      <c r="AD52" s="6"/>
      <c r="AE52" s="2"/>
    </row>
    <row r="53" spans="1:31" ht="14.25" customHeight="1">
      <c r="A53" s="6">
        <v>3017</v>
      </c>
      <c r="B53" s="8" t="s">
        <v>1240</v>
      </c>
      <c r="C53" s="4" t="s">
        <v>1241</v>
      </c>
      <c r="D53" s="6" t="s">
        <v>767</v>
      </c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>
        <v>0.5</v>
      </c>
      <c r="S53" s="2"/>
      <c r="T53" s="2"/>
      <c r="U53" s="2"/>
      <c r="V53" s="6">
        <v>0.1</v>
      </c>
      <c r="W53" s="6" t="b">
        <f>FALSE()</f>
        <v>0</v>
      </c>
      <c r="X53" s="6">
        <v>1</v>
      </c>
      <c r="Y53" s="6">
        <v>2</v>
      </c>
      <c r="Z53" s="2"/>
      <c r="AA53" s="2"/>
      <c r="AB53" s="2"/>
      <c r="AC53" s="2"/>
      <c r="AD53" s="6"/>
      <c r="AE53" s="2"/>
    </row>
    <row r="54" spans="1:31" ht="14.25" customHeight="1">
      <c r="A54" s="6">
        <v>3018</v>
      </c>
      <c r="B54" s="8" t="s">
        <v>1242</v>
      </c>
      <c r="C54" s="4" t="s">
        <v>1243</v>
      </c>
      <c r="D54" s="6" t="s">
        <v>767</v>
      </c>
      <c r="E54" s="2"/>
      <c r="F54" s="2"/>
      <c r="G54" s="2"/>
      <c r="H54" s="2">
        <v>0.8</v>
      </c>
      <c r="I54" s="2">
        <v>0.8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6"/>
      <c r="W54" s="6" t="b">
        <f>FALSE()</f>
        <v>0</v>
      </c>
      <c r="X54" s="6">
        <v>1</v>
      </c>
      <c r="Y54" s="6">
        <v>5</v>
      </c>
      <c r="Z54" s="2"/>
      <c r="AA54" s="2"/>
      <c r="AB54" s="2"/>
      <c r="AC54" s="2"/>
      <c r="AD54" s="6"/>
      <c r="AE54" s="2"/>
    </row>
    <row r="55" spans="1:31" ht="16.5" customHeight="1">
      <c r="A55" s="6">
        <v>3019</v>
      </c>
      <c r="B55" s="8" t="s">
        <v>1244</v>
      </c>
      <c r="C55" s="4" t="s">
        <v>1245</v>
      </c>
      <c r="D55" s="6" t="s">
        <v>767</v>
      </c>
      <c r="E55" s="2"/>
      <c r="F55" s="2"/>
      <c r="G55" s="2"/>
      <c r="H55" s="2"/>
      <c r="I55" s="2"/>
      <c r="J55" s="2"/>
      <c r="K55" s="2"/>
      <c r="L55" s="2">
        <v>1</v>
      </c>
      <c r="M55" s="2"/>
      <c r="N55" s="2"/>
      <c r="O55" s="2"/>
      <c r="P55" s="2"/>
      <c r="Q55" s="2"/>
      <c r="R55" s="2"/>
      <c r="S55" s="2"/>
      <c r="T55" s="2"/>
      <c r="U55" s="2"/>
      <c r="V55" s="6"/>
      <c r="W55" s="6" t="b">
        <f>FALSE()</f>
        <v>0</v>
      </c>
      <c r="X55" s="6">
        <v>1</v>
      </c>
      <c r="Y55" s="6">
        <v>3</v>
      </c>
      <c r="Z55" s="6"/>
      <c r="AA55" s="6"/>
      <c r="AB55" s="6"/>
      <c r="AC55" s="6"/>
      <c r="AD55" s="6"/>
      <c r="AE55" s="6"/>
    </row>
    <row r="56" spans="1:31" ht="14.25" customHeight="1">
      <c r="A56" s="6">
        <v>3020</v>
      </c>
      <c r="B56" s="8" t="s">
        <v>169</v>
      </c>
      <c r="C56" s="2" t="s">
        <v>1246</v>
      </c>
      <c r="D56" s="6" t="s">
        <v>767</v>
      </c>
      <c r="E56" s="2"/>
      <c r="F56" s="2">
        <v>56</v>
      </c>
      <c r="G56" s="2"/>
      <c r="H56" s="2">
        <v>0.3</v>
      </c>
      <c r="I56" s="2"/>
      <c r="J56" s="2"/>
      <c r="K56" s="2"/>
      <c r="L56" s="2">
        <v>0.2</v>
      </c>
      <c r="M56" s="2"/>
      <c r="N56" s="2"/>
      <c r="O56" s="2"/>
      <c r="P56" s="2"/>
      <c r="Q56" s="2">
        <v>0.5</v>
      </c>
      <c r="R56" s="2"/>
      <c r="S56" s="2"/>
      <c r="T56" s="2"/>
      <c r="U56" s="2"/>
      <c r="V56" s="6"/>
      <c r="W56" s="6" t="b">
        <f>FALSE()</f>
        <v>0</v>
      </c>
      <c r="X56" s="6">
        <v>1</v>
      </c>
      <c r="Y56" s="6">
        <v>3</v>
      </c>
      <c r="Z56" s="6"/>
      <c r="AA56" s="6"/>
      <c r="AB56" s="6"/>
      <c r="AC56" s="6"/>
      <c r="AD56" s="6"/>
      <c r="AE56" s="6"/>
    </row>
    <row r="57" spans="1:31" ht="14.25" customHeight="1">
      <c r="A57" s="45"/>
      <c r="B57" s="45"/>
      <c r="V57" s="45"/>
    </row>
    <row r="58" spans="1:31" ht="14.25" customHeight="1">
      <c r="A58" s="40" t="s">
        <v>705</v>
      </c>
      <c r="B58" s="40" t="s">
        <v>1168</v>
      </c>
      <c r="C58" s="40" t="s">
        <v>1169</v>
      </c>
      <c r="D58" s="40" t="s">
        <v>1170</v>
      </c>
      <c r="E58" s="40" t="s">
        <v>1171</v>
      </c>
      <c r="F58" s="40" t="s">
        <v>1172</v>
      </c>
      <c r="G58" s="40" t="s">
        <v>1173</v>
      </c>
      <c r="H58" s="40" t="s">
        <v>685</v>
      </c>
      <c r="I58" s="40" t="s">
        <v>686</v>
      </c>
      <c r="J58" s="40" t="s">
        <v>687</v>
      </c>
      <c r="K58" s="40" t="s">
        <v>688</v>
      </c>
      <c r="L58" s="40" t="s">
        <v>689</v>
      </c>
      <c r="M58" s="40" t="s">
        <v>39</v>
      </c>
      <c r="N58" s="40" t="s">
        <v>690</v>
      </c>
      <c r="O58" s="40" t="s">
        <v>691</v>
      </c>
      <c r="P58" s="40" t="s">
        <v>692</v>
      </c>
      <c r="Q58" s="40" t="s">
        <v>693</v>
      </c>
      <c r="R58" s="40" t="s">
        <v>694</v>
      </c>
      <c r="S58" s="40" t="s">
        <v>695</v>
      </c>
      <c r="T58" s="40" t="s">
        <v>696</v>
      </c>
      <c r="U58" s="40" t="s">
        <v>697</v>
      </c>
      <c r="V58" s="40" t="s">
        <v>698</v>
      </c>
      <c r="W58" s="40" t="s">
        <v>1174</v>
      </c>
      <c r="X58" s="40" t="s">
        <v>1175</v>
      </c>
      <c r="Y58" s="48" t="s">
        <v>1176</v>
      </c>
      <c r="Z58" s="40" t="s">
        <v>1177</v>
      </c>
      <c r="AA58" s="40" t="s">
        <v>1178</v>
      </c>
      <c r="AB58" s="40" t="s">
        <v>1179</v>
      </c>
      <c r="AC58" s="40" t="s">
        <v>1180</v>
      </c>
      <c r="AD58" s="40" t="s">
        <v>1181</v>
      </c>
      <c r="AE58" s="2" t="s">
        <v>1182</v>
      </c>
    </row>
    <row r="59" spans="1:31" ht="14.25" customHeight="1">
      <c r="A59" s="6">
        <v>4001</v>
      </c>
      <c r="B59" s="8" t="s">
        <v>1247</v>
      </c>
      <c r="C59" s="52" t="str">
        <f>"每層於每回合給予施術者5%魔法攻擊的傷害，"&amp;"最多"&amp;X59&amp;"層，"&amp;"持續"&amp;Y59&amp;"回合"</f>
        <v>每層於每回合給予施術者5%魔法攻擊的傷害，最多20層，持續3回合</v>
      </c>
      <c r="D59" s="6" t="s">
        <v>769</v>
      </c>
      <c r="E59" s="6"/>
      <c r="F59" s="6"/>
      <c r="G59" s="6"/>
      <c r="H59" s="6"/>
      <c r="I59" s="6">
        <v>-0.05</v>
      </c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 t="b">
        <f>TRUE()</f>
        <v>1</v>
      </c>
      <c r="X59" s="6">
        <v>20</v>
      </c>
      <c r="Y59" s="6">
        <v>3</v>
      </c>
      <c r="Z59" s="2"/>
      <c r="AA59" s="2"/>
      <c r="AB59" s="2"/>
      <c r="AC59" s="2"/>
      <c r="AD59" s="6"/>
      <c r="AE59" s="2"/>
    </row>
    <row r="60" spans="1:31" ht="14.25" customHeight="1">
      <c r="A60" s="6">
        <v>4002</v>
      </c>
      <c r="B60" s="8" t="s">
        <v>1248</v>
      </c>
      <c r="C60" s="52" t="str">
        <f>"每層於每回合給予施術者5%魔法攻擊的傷害，"&amp;"最多"&amp;X60&amp;"層，"&amp;"持續"&amp;Y60&amp;"回合"</f>
        <v>每層於每回合給予施術者5%魔法攻擊的傷害，最多10層，持續2回合</v>
      </c>
      <c r="D60" s="6" t="s">
        <v>769</v>
      </c>
      <c r="E60" s="6"/>
      <c r="F60" s="6"/>
      <c r="G60" s="6"/>
      <c r="H60" s="6"/>
      <c r="I60" s="6">
        <v>-0.1</v>
      </c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 t="b">
        <f>TRUE()</f>
        <v>1</v>
      </c>
      <c r="X60" s="6">
        <v>10</v>
      </c>
      <c r="Y60" s="6">
        <v>2</v>
      </c>
      <c r="Z60" s="2"/>
      <c r="AA60" s="2"/>
      <c r="AB60" s="2"/>
      <c r="AC60" s="2"/>
      <c r="AD60" s="6"/>
      <c r="AE60" s="2"/>
    </row>
    <row r="61" spans="1:31" ht="14.25" customHeight="1">
      <c r="A61" s="6">
        <v>4003</v>
      </c>
      <c r="B61" s="8" t="s">
        <v>1249</v>
      </c>
      <c r="C61" s="52" t="str">
        <f>"每層於每回合給予施術者5%魔法攻擊的傷害，"&amp;"最多"&amp;X61&amp;"層，"&amp;"持續"&amp;Y61&amp;"回合"</f>
        <v>每層於每回合給予施術者5%魔法攻擊的傷害，最多10層，持續2回合</v>
      </c>
      <c r="D61" s="6" t="s">
        <v>769</v>
      </c>
      <c r="E61" s="6"/>
      <c r="F61" s="6"/>
      <c r="G61" s="6"/>
      <c r="H61" s="6">
        <v>-0.1</v>
      </c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 t="b">
        <f>TRUE()</f>
        <v>1</v>
      </c>
      <c r="X61" s="6">
        <v>10</v>
      </c>
      <c r="Y61" s="6">
        <v>2</v>
      </c>
      <c r="Z61" s="2"/>
      <c r="AA61" s="2"/>
      <c r="AB61" s="2"/>
      <c r="AC61" s="2"/>
      <c r="AD61" s="6"/>
      <c r="AE61" s="2"/>
    </row>
    <row r="62" spans="1:31" ht="14.25" customHeight="1">
      <c r="A62" s="6">
        <v>4004</v>
      </c>
      <c r="B62" s="8" t="s">
        <v>1250</v>
      </c>
      <c r="C62" s="52" t="str">
        <f>"每層於每回合給予施術者5%魔法攻擊的傷害，"&amp;"最多"&amp;X62&amp;"層，"&amp;"持續"&amp;Y62&amp;"回合"</f>
        <v>每層於每回合給予施術者5%魔法攻擊的傷害，最多20層，持續3回合</v>
      </c>
      <c r="D62" s="6" t="s">
        <v>769</v>
      </c>
      <c r="E62" s="6"/>
      <c r="F62" s="6"/>
      <c r="G62" s="6"/>
      <c r="H62" s="6">
        <v>-0.05</v>
      </c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 t="b">
        <f>TRUE()</f>
        <v>1</v>
      </c>
      <c r="X62" s="6">
        <v>20</v>
      </c>
      <c r="Y62" s="6">
        <v>3</v>
      </c>
      <c r="Z62" s="2"/>
      <c r="AA62" s="2"/>
      <c r="AB62" s="2"/>
      <c r="AC62" s="2"/>
      <c r="AD62" s="6"/>
      <c r="AE62" s="2"/>
    </row>
    <row r="63" spans="1:31" ht="14.25" customHeight="1">
      <c r="A63" s="6">
        <v>4005</v>
      </c>
      <c r="B63" s="8" t="s">
        <v>1251</v>
      </c>
      <c r="C63" s="1" t="s">
        <v>1252</v>
      </c>
      <c r="D63" s="6" t="s">
        <v>769</v>
      </c>
      <c r="E63" s="6"/>
      <c r="F63" s="6"/>
      <c r="G63" s="6"/>
      <c r="H63" s="6">
        <v>-0.05</v>
      </c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 t="b">
        <f>TRUE()</f>
        <v>1</v>
      </c>
      <c r="X63" s="6">
        <v>20</v>
      </c>
      <c r="Y63" s="6">
        <v>3</v>
      </c>
      <c r="Z63" s="2"/>
      <c r="AA63" s="2"/>
      <c r="AB63" s="2"/>
      <c r="AC63" s="2"/>
      <c r="AD63" s="6"/>
      <c r="AE63" s="2"/>
    </row>
    <row r="64" spans="1:31" ht="14.25" customHeight="1">
      <c r="A64" s="45"/>
      <c r="B64" s="45"/>
      <c r="V64" s="45"/>
    </row>
    <row r="65" spans="1:31" ht="14.25" customHeight="1">
      <c r="A65" s="40" t="s">
        <v>705</v>
      </c>
      <c r="B65" s="40" t="s">
        <v>1168</v>
      </c>
      <c r="C65" s="40" t="s">
        <v>1169</v>
      </c>
      <c r="D65" s="40" t="s">
        <v>1170</v>
      </c>
      <c r="E65" s="40" t="s">
        <v>1171</v>
      </c>
      <c r="F65" s="40" t="s">
        <v>1172</v>
      </c>
      <c r="G65" s="40" t="s">
        <v>1173</v>
      </c>
      <c r="H65" s="40" t="s">
        <v>685</v>
      </c>
      <c r="I65" s="40" t="s">
        <v>686</v>
      </c>
      <c r="J65" s="40" t="s">
        <v>687</v>
      </c>
      <c r="K65" s="40" t="s">
        <v>688</v>
      </c>
      <c r="L65" s="40" t="s">
        <v>689</v>
      </c>
      <c r="M65" s="40" t="s">
        <v>39</v>
      </c>
      <c r="N65" s="40" t="s">
        <v>690</v>
      </c>
      <c r="O65" s="40" t="s">
        <v>691</v>
      </c>
      <c r="P65" s="40" t="s">
        <v>692</v>
      </c>
      <c r="Q65" s="40" t="s">
        <v>693</v>
      </c>
      <c r="R65" s="40" t="s">
        <v>694</v>
      </c>
      <c r="S65" s="40" t="s">
        <v>695</v>
      </c>
      <c r="T65" s="40" t="s">
        <v>696</v>
      </c>
      <c r="U65" s="40" t="s">
        <v>697</v>
      </c>
      <c r="V65" s="40" t="s">
        <v>698</v>
      </c>
      <c r="W65" s="40" t="s">
        <v>1174</v>
      </c>
      <c r="X65" s="40" t="s">
        <v>1175</v>
      </c>
      <c r="Y65" s="48" t="s">
        <v>1176</v>
      </c>
      <c r="Z65" s="40" t="s">
        <v>1177</v>
      </c>
      <c r="AA65" s="40" t="s">
        <v>1178</v>
      </c>
      <c r="AB65" s="40" t="s">
        <v>1179</v>
      </c>
      <c r="AC65" s="40" t="s">
        <v>1180</v>
      </c>
      <c r="AD65" s="40" t="s">
        <v>1181</v>
      </c>
      <c r="AE65" s="2" t="s">
        <v>1182</v>
      </c>
    </row>
    <row r="66" spans="1:31" ht="14.25" customHeight="1">
      <c r="A66" s="6">
        <v>5001</v>
      </c>
      <c r="B66" s="8" t="s">
        <v>1253</v>
      </c>
      <c r="C66" s="52" t="s">
        <v>1254</v>
      </c>
      <c r="D66" s="6" t="s">
        <v>769</v>
      </c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6"/>
      <c r="R66" s="6"/>
      <c r="S66" s="6"/>
      <c r="T66" s="6"/>
      <c r="U66" s="6"/>
      <c r="V66" s="6"/>
      <c r="W66" s="6" t="b">
        <f>FALSE()</f>
        <v>0</v>
      </c>
      <c r="X66" s="6">
        <v>1</v>
      </c>
      <c r="Y66" s="6">
        <v>1</v>
      </c>
      <c r="Z66" s="2"/>
      <c r="AA66" s="2"/>
      <c r="AB66" s="2"/>
      <c r="AC66" s="2"/>
      <c r="AD66" s="6"/>
      <c r="AE66" s="2"/>
    </row>
    <row r="67" spans="1:31" ht="14.25" customHeight="1">
      <c r="A67" s="6">
        <v>5002</v>
      </c>
      <c r="B67" s="8" t="s">
        <v>1255</v>
      </c>
      <c r="C67" s="52" t="s">
        <v>1254</v>
      </c>
      <c r="D67" s="6" t="s">
        <v>769</v>
      </c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6"/>
      <c r="R67" s="6"/>
      <c r="S67" s="6"/>
      <c r="T67" s="6"/>
      <c r="U67" s="6"/>
      <c r="V67" s="6"/>
      <c r="W67" s="6" t="b">
        <f>FALSE()</f>
        <v>0</v>
      </c>
      <c r="X67" s="6">
        <v>1</v>
      </c>
      <c r="Y67" s="6">
        <v>1</v>
      </c>
      <c r="Z67" s="2"/>
      <c r="AA67" s="2"/>
      <c r="AB67" s="2"/>
      <c r="AC67" s="2"/>
      <c r="AD67" s="6"/>
      <c r="AE67" s="2"/>
    </row>
    <row r="68" spans="1:31" ht="14.25" customHeight="1">
      <c r="A68" s="6">
        <v>5003</v>
      </c>
      <c r="B68" s="8" t="s">
        <v>1256</v>
      </c>
      <c r="C68" s="52" t="s">
        <v>1254</v>
      </c>
      <c r="D68" s="6" t="s">
        <v>769</v>
      </c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6"/>
      <c r="R68" s="6"/>
      <c r="S68" s="6"/>
      <c r="T68" s="6"/>
      <c r="U68" s="6"/>
      <c r="V68" s="6"/>
      <c r="W68" s="6" t="b">
        <f>FALSE()</f>
        <v>0</v>
      </c>
      <c r="X68" s="6">
        <v>1</v>
      </c>
      <c r="Y68" s="6">
        <v>1</v>
      </c>
      <c r="Z68" s="2"/>
      <c r="AA68" s="2"/>
      <c r="AB68" s="2"/>
      <c r="AC68" s="2"/>
      <c r="AD68" s="6"/>
      <c r="AE68" s="2"/>
    </row>
    <row r="69" spans="1:31" ht="14.25" customHeight="1">
      <c r="A69" s="6">
        <v>5004</v>
      </c>
      <c r="B69" s="8" t="s">
        <v>1257</v>
      </c>
      <c r="C69" s="52" t="s">
        <v>1254</v>
      </c>
      <c r="D69" s="6" t="s">
        <v>769</v>
      </c>
      <c r="E69" s="2"/>
      <c r="F69" s="2"/>
      <c r="G69" s="2"/>
      <c r="H69" s="2"/>
      <c r="I69" s="2"/>
      <c r="J69" s="2"/>
      <c r="K69" s="2"/>
      <c r="L69" s="2"/>
      <c r="M69" s="6"/>
      <c r="N69" s="2"/>
      <c r="O69" s="2"/>
      <c r="P69" s="2"/>
      <c r="Q69" s="6"/>
      <c r="R69" s="6"/>
      <c r="S69" s="6"/>
      <c r="T69" s="6"/>
      <c r="U69" s="6"/>
      <c r="V69" s="6"/>
      <c r="W69" s="6" t="b">
        <f>FALSE()</f>
        <v>0</v>
      </c>
      <c r="X69" s="6">
        <v>1</v>
      </c>
      <c r="Y69" s="6">
        <v>1</v>
      </c>
      <c r="Z69" s="2"/>
      <c r="AA69" s="2"/>
      <c r="AB69" s="2"/>
      <c r="AC69" s="2"/>
      <c r="AD69" s="6"/>
      <c r="AE69" s="2"/>
    </row>
    <row r="70" spans="1:31" ht="14.25" customHeight="1">
      <c r="A70" s="6">
        <v>5005</v>
      </c>
      <c r="B70" s="8" t="s">
        <v>1258</v>
      </c>
      <c r="C70" s="52" t="s">
        <v>1259</v>
      </c>
      <c r="D70" s="6" t="s">
        <v>767</v>
      </c>
      <c r="E70" s="2">
        <v>5006</v>
      </c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6"/>
      <c r="R70" s="6"/>
      <c r="S70" s="6"/>
      <c r="T70" s="6"/>
      <c r="U70" s="6"/>
      <c r="V70" s="6"/>
      <c r="W70" s="6" t="b">
        <f>FALSE()</f>
        <v>0</v>
      </c>
      <c r="X70" s="6">
        <v>1</v>
      </c>
      <c r="Y70" s="6">
        <v>1</v>
      </c>
      <c r="Z70" s="2"/>
      <c r="AA70" s="2"/>
      <c r="AB70" s="2"/>
      <c r="AC70" s="2"/>
      <c r="AD70" s="6"/>
      <c r="AE70" s="2"/>
    </row>
    <row r="71" spans="1:31" ht="14.25" customHeight="1">
      <c r="A71" s="6">
        <v>5006</v>
      </c>
      <c r="B71" s="8" t="s">
        <v>1260</v>
      </c>
      <c r="C71" s="4" t="s">
        <v>1261</v>
      </c>
      <c r="D71" s="6" t="s">
        <v>767</v>
      </c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6"/>
      <c r="W71" s="6" t="b">
        <f>FALSE()</f>
        <v>0</v>
      </c>
      <c r="X71" s="6">
        <v>1</v>
      </c>
      <c r="Y71" s="6">
        <v>1</v>
      </c>
      <c r="Z71" s="2"/>
      <c r="AA71" s="2"/>
      <c r="AB71" s="2"/>
      <c r="AC71" s="2"/>
      <c r="AD71" s="6"/>
      <c r="AE71" s="2"/>
    </row>
    <row r="72" spans="1:31" ht="14.25" customHeight="1">
      <c r="A72" s="45"/>
      <c r="B72" s="45"/>
      <c r="V72" s="45"/>
    </row>
    <row r="73" spans="1:31" ht="14.25" customHeight="1">
      <c r="A73" s="40" t="s">
        <v>705</v>
      </c>
      <c r="B73" s="40" t="s">
        <v>1168</v>
      </c>
      <c r="C73" s="40" t="s">
        <v>1169</v>
      </c>
      <c r="D73" s="40" t="s">
        <v>1170</v>
      </c>
      <c r="E73" s="40" t="s">
        <v>1171</v>
      </c>
      <c r="F73" s="40" t="s">
        <v>1172</v>
      </c>
      <c r="G73" s="40" t="s">
        <v>1173</v>
      </c>
      <c r="H73" s="40" t="s">
        <v>685</v>
      </c>
      <c r="I73" s="40" t="s">
        <v>686</v>
      </c>
      <c r="J73" s="40" t="s">
        <v>687</v>
      </c>
      <c r="K73" s="40" t="s">
        <v>688</v>
      </c>
      <c r="L73" s="40" t="s">
        <v>689</v>
      </c>
      <c r="M73" s="40" t="s">
        <v>39</v>
      </c>
      <c r="N73" s="40" t="s">
        <v>690</v>
      </c>
      <c r="O73" s="40" t="s">
        <v>691</v>
      </c>
      <c r="P73" s="40" t="s">
        <v>692</v>
      </c>
      <c r="Q73" s="40" t="s">
        <v>693</v>
      </c>
      <c r="R73" s="40" t="s">
        <v>694</v>
      </c>
      <c r="S73" s="40" t="s">
        <v>695</v>
      </c>
      <c r="T73" s="40" t="s">
        <v>696</v>
      </c>
      <c r="U73" s="40" t="s">
        <v>697</v>
      </c>
      <c r="V73" s="40" t="s">
        <v>698</v>
      </c>
      <c r="W73" s="40" t="s">
        <v>1174</v>
      </c>
      <c r="X73" s="40" t="s">
        <v>1175</v>
      </c>
      <c r="Y73" s="48" t="s">
        <v>1176</v>
      </c>
      <c r="Z73" s="40" t="s">
        <v>1177</v>
      </c>
      <c r="AA73" s="40" t="s">
        <v>1178</v>
      </c>
      <c r="AB73" s="40" t="s">
        <v>1179</v>
      </c>
      <c r="AC73" s="40" t="s">
        <v>1180</v>
      </c>
      <c r="AD73" s="40" t="s">
        <v>1181</v>
      </c>
      <c r="AE73" s="2" t="s">
        <v>1182</v>
      </c>
    </row>
    <row r="74" spans="1:31" ht="14.25" customHeight="1">
      <c r="A74" s="6">
        <v>6001</v>
      </c>
      <c r="B74" s="8" t="s">
        <v>1262</v>
      </c>
      <c r="C74" s="4" t="s">
        <v>1263</v>
      </c>
      <c r="D74" s="2"/>
      <c r="E74" s="2"/>
      <c r="F74" s="2"/>
      <c r="G74" s="2"/>
      <c r="H74" s="2">
        <v>0.1</v>
      </c>
      <c r="I74" s="2">
        <v>0.1</v>
      </c>
      <c r="J74" s="2"/>
      <c r="K74" s="2"/>
      <c r="L74" s="2">
        <v>0.15</v>
      </c>
      <c r="M74" s="6"/>
      <c r="N74" s="2"/>
      <c r="O74" s="2"/>
      <c r="P74" s="2"/>
      <c r="Q74" s="2"/>
      <c r="R74" s="2"/>
      <c r="S74" s="2"/>
      <c r="T74" s="2"/>
      <c r="U74" s="2"/>
      <c r="V74" s="6"/>
      <c r="W74" s="6" t="b">
        <f>FALSE()</f>
        <v>0</v>
      </c>
      <c r="X74" s="6">
        <v>1</v>
      </c>
      <c r="Y74" s="6">
        <v>9999</v>
      </c>
      <c r="Z74" s="6"/>
      <c r="AA74" s="6"/>
      <c r="AB74" s="6"/>
      <c r="AC74" s="6">
        <v>1</v>
      </c>
      <c r="AD74" s="8" t="s">
        <v>1264</v>
      </c>
      <c r="AE74" s="2">
        <v>2</v>
      </c>
    </row>
    <row r="75" spans="1:31" ht="14.25" customHeight="1">
      <c r="A75" s="6">
        <v>6001</v>
      </c>
      <c r="B75" s="8" t="s">
        <v>1265</v>
      </c>
      <c r="C75" s="4" t="s">
        <v>1263</v>
      </c>
      <c r="D75" s="2"/>
      <c r="E75" s="2"/>
      <c r="F75" s="2"/>
      <c r="G75" s="2"/>
      <c r="H75" s="2">
        <v>0.1</v>
      </c>
      <c r="I75" s="2">
        <v>0.1</v>
      </c>
      <c r="J75" s="2"/>
      <c r="K75" s="2"/>
      <c r="L75" s="2">
        <v>0.15</v>
      </c>
      <c r="M75" s="2"/>
      <c r="N75" s="2"/>
      <c r="O75" s="2"/>
      <c r="P75" s="2"/>
      <c r="Q75" s="2"/>
      <c r="R75" s="2"/>
      <c r="S75" s="2"/>
      <c r="T75" s="2"/>
      <c r="U75" s="2"/>
      <c r="V75" s="6"/>
      <c r="W75" s="6" t="b">
        <f>FALSE()</f>
        <v>0</v>
      </c>
      <c r="X75" s="6">
        <v>1</v>
      </c>
      <c r="Y75" s="6">
        <v>9999</v>
      </c>
      <c r="Z75" s="6"/>
      <c r="AA75" s="6"/>
      <c r="AB75" s="6"/>
      <c r="AC75" s="6">
        <v>1</v>
      </c>
      <c r="AD75" s="8" t="s">
        <v>1264</v>
      </c>
      <c r="AE75" s="2">
        <v>3</v>
      </c>
    </row>
    <row r="76" spans="1:31" ht="14.25" customHeight="1">
      <c r="A76" s="6">
        <v>6001</v>
      </c>
      <c r="B76" s="8" t="s">
        <v>1266</v>
      </c>
      <c r="C76" s="4" t="s">
        <v>1263</v>
      </c>
      <c r="D76" s="2"/>
      <c r="E76" s="2"/>
      <c r="F76" s="2"/>
      <c r="G76" s="2"/>
      <c r="H76" s="2">
        <v>0.1</v>
      </c>
      <c r="I76" s="2">
        <v>0.1</v>
      </c>
      <c r="J76" s="2"/>
      <c r="K76" s="2"/>
      <c r="L76" s="2"/>
      <c r="M76" s="2"/>
      <c r="N76" s="2"/>
      <c r="O76" s="2">
        <v>0.05</v>
      </c>
      <c r="P76" s="2"/>
      <c r="Q76" s="2"/>
      <c r="R76" s="2"/>
      <c r="S76" s="2"/>
      <c r="T76" s="2"/>
      <c r="U76" s="2"/>
      <c r="V76" s="6"/>
      <c r="W76" s="6" t="b">
        <f>FALSE()</f>
        <v>0</v>
      </c>
      <c r="X76" s="6">
        <v>1</v>
      </c>
      <c r="Y76" s="6">
        <v>9999</v>
      </c>
      <c r="Z76" s="6"/>
      <c r="AA76" s="6"/>
      <c r="AB76" s="6"/>
      <c r="AC76" s="6">
        <v>1</v>
      </c>
      <c r="AD76" s="8" t="s">
        <v>1264</v>
      </c>
      <c r="AE76" s="2">
        <v>6</v>
      </c>
    </row>
    <row r="77" spans="1:31" ht="14.25" customHeight="1">
      <c r="A77" s="6">
        <v>6002</v>
      </c>
      <c r="B77" s="8" t="s">
        <v>1267</v>
      </c>
      <c r="C77" s="4" t="s">
        <v>1268</v>
      </c>
      <c r="D77" s="52"/>
      <c r="E77" s="52"/>
      <c r="F77" s="52"/>
      <c r="G77" s="2"/>
      <c r="H77" s="2"/>
      <c r="I77" s="2"/>
      <c r="J77" s="2">
        <v>0.15</v>
      </c>
      <c r="K77" s="2"/>
      <c r="L77" s="2"/>
      <c r="M77" s="6"/>
      <c r="N77" s="2"/>
      <c r="O77" s="2"/>
      <c r="P77" s="2"/>
      <c r="Q77" s="2"/>
      <c r="R77" s="2"/>
      <c r="S77" s="2"/>
      <c r="T77" s="2"/>
      <c r="U77" s="2"/>
      <c r="V77" s="6"/>
      <c r="W77" s="6" t="b">
        <f>FALSE()</f>
        <v>0</v>
      </c>
      <c r="X77" s="6">
        <v>1</v>
      </c>
      <c r="Y77" s="6">
        <v>9999</v>
      </c>
      <c r="Z77" s="6"/>
      <c r="AA77" s="6"/>
      <c r="AB77" s="6"/>
      <c r="AC77" s="6">
        <v>1</v>
      </c>
      <c r="AD77" s="8" t="s">
        <v>1269</v>
      </c>
      <c r="AE77" s="2">
        <v>2</v>
      </c>
    </row>
    <row r="78" spans="1:31" ht="14.25" customHeight="1">
      <c r="A78" s="6">
        <v>6002</v>
      </c>
      <c r="B78" s="8" t="s">
        <v>1270</v>
      </c>
      <c r="C78" s="4" t="s">
        <v>1268</v>
      </c>
      <c r="D78" s="52"/>
      <c r="E78" s="52"/>
      <c r="F78" s="52"/>
      <c r="G78" s="2"/>
      <c r="H78" s="2">
        <v>0.2</v>
      </c>
      <c r="I78" s="2"/>
      <c r="J78" s="2">
        <v>0.15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6"/>
      <c r="W78" s="6" t="b">
        <f>FALSE()</f>
        <v>0</v>
      </c>
      <c r="X78" s="6">
        <v>1</v>
      </c>
      <c r="Y78" s="6">
        <v>9999</v>
      </c>
      <c r="Z78" s="6"/>
      <c r="AA78" s="6"/>
      <c r="AB78" s="6"/>
      <c r="AC78" s="6">
        <v>1</v>
      </c>
      <c r="AD78" s="8" t="s">
        <v>1269</v>
      </c>
      <c r="AE78" s="2">
        <v>3</v>
      </c>
    </row>
    <row r="79" spans="1:31" ht="14.25" customHeight="1">
      <c r="A79" s="6">
        <v>6002</v>
      </c>
      <c r="B79" s="8" t="s">
        <v>1271</v>
      </c>
      <c r="C79" s="4" t="s">
        <v>1268</v>
      </c>
      <c r="D79" s="52"/>
      <c r="E79" s="52"/>
      <c r="F79" s="52"/>
      <c r="G79" s="2"/>
      <c r="H79" s="2">
        <v>0.2</v>
      </c>
      <c r="I79" s="2"/>
      <c r="J79" s="2">
        <v>0.15</v>
      </c>
      <c r="K79" s="2"/>
      <c r="L79" s="2"/>
      <c r="M79" s="2"/>
      <c r="N79" s="2"/>
      <c r="O79" s="2"/>
      <c r="P79" s="2"/>
      <c r="Q79" s="2"/>
      <c r="R79" s="2"/>
      <c r="S79" s="2">
        <v>0.1</v>
      </c>
      <c r="T79" s="2"/>
      <c r="U79" s="2"/>
      <c r="V79" s="6"/>
      <c r="W79" s="6" t="b">
        <f>FALSE()</f>
        <v>0</v>
      </c>
      <c r="X79" s="6">
        <v>1</v>
      </c>
      <c r="Y79" s="6">
        <v>9999</v>
      </c>
      <c r="Z79" s="6"/>
      <c r="AA79" s="6"/>
      <c r="AB79" s="6"/>
      <c r="AC79" s="6">
        <v>1</v>
      </c>
      <c r="AD79" s="8" t="s">
        <v>1269</v>
      </c>
      <c r="AE79" s="2">
        <v>6</v>
      </c>
    </row>
    <row r="80" spans="1:31" ht="14.25" customHeight="1">
      <c r="A80" s="6">
        <v>6003</v>
      </c>
      <c r="B80" s="8" t="s">
        <v>1272</v>
      </c>
      <c r="C80" s="4" t="s">
        <v>1273</v>
      </c>
      <c r="D80" s="52"/>
      <c r="E80" s="52"/>
      <c r="F80" s="52"/>
      <c r="G80" s="2"/>
      <c r="H80" s="2"/>
      <c r="I80" s="2"/>
      <c r="J80" s="2">
        <v>0.2</v>
      </c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6"/>
      <c r="W80" s="6" t="b">
        <f>FALSE()</f>
        <v>0</v>
      </c>
      <c r="X80" s="6">
        <v>1</v>
      </c>
      <c r="Y80" s="6">
        <v>9999</v>
      </c>
      <c r="Z80" s="6"/>
      <c r="AA80" s="6"/>
      <c r="AB80" s="6"/>
      <c r="AC80" s="6">
        <v>1</v>
      </c>
      <c r="AD80" s="8" t="s">
        <v>1274</v>
      </c>
      <c r="AE80" s="2">
        <v>2</v>
      </c>
    </row>
    <row r="81" spans="1:31" ht="14.25" customHeight="1">
      <c r="A81" s="6">
        <v>6003</v>
      </c>
      <c r="B81" s="8" t="s">
        <v>1275</v>
      </c>
      <c r="C81" s="4" t="s">
        <v>1273</v>
      </c>
      <c r="D81" s="52"/>
      <c r="E81" s="52"/>
      <c r="F81" s="52"/>
      <c r="G81" s="2"/>
      <c r="H81" s="2"/>
      <c r="I81" s="2"/>
      <c r="J81" s="2">
        <v>0.2</v>
      </c>
      <c r="K81" s="2">
        <v>0.2</v>
      </c>
      <c r="L81" s="2"/>
      <c r="M81" s="2"/>
      <c r="N81" s="2"/>
      <c r="O81" s="2"/>
      <c r="P81" s="2"/>
      <c r="Q81" s="2"/>
      <c r="R81" s="2"/>
      <c r="S81" s="2"/>
      <c r="T81" s="2"/>
      <c r="U81" s="2"/>
      <c r="V81" s="6"/>
      <c r="W81" s="6" t="b">
        <f>FALSE()</f>
        <v>0</v>
      </c>
      <c r="X81" s="6">
        <v>1</v>
      </c>
      <c r="Y81" s="6">
        <v>9999</v>
      </c>
      <c r="Z81" s="6"/>
      <c r="AA81" s="6"/>
      <c r="AB81" s="6"/>
      <c r="AC81" s="6">
        <v>1</v>
      </c>
      <c r="AD81" s="8" t="s">
        <v>1274</v>
      </c>
      <c r="AE81" s="2">
        <v>3</v>
      </c>
    </row>
    <row r="82" spans="1:31" ht="14.25" customHeight="1">
      <c r="A82" s="6">
        <v>6003</v>
      </c>
      <c r="B82" s="8" t="s">
        <v>1276</v>
      </c>
      <c r="C82" s="4" t="s">
        <v>1273</v>
      </c>
      <c r="D82" s="52"/>
      <c r="E82" s="52"/>
      <c r="F82" s="52"/>
      <c r="G82" s="2"/>
      <c r="H82" s="2"/>
      <c r="I82" s="2"/>
      <c r="J82" s="2">
        <v>0.2</v>
      </c>
      <c r="K82" s="2">
        <v>0.2</v>
      </c>
      <c r="L82" s="2"/>
      <c r="M82" s="2"/>
      <c r="N82" s="2"/>
      <c r="O82" s="2"/>
      <c r="P82" s="2">
        <v>0.15</v>
      </c>
      <c r="Q82" s="2"/>
      <c r="R82" s="2"/>
      <c r="S82" s="2"/>
      <c r="T82" s="2"/>
      <c r="U82" s="2"/>
      <c r="V82" s="6"/>
      <c r="W82" s="6" t="b">
        <f>FALSE()</f>
        <v>0</v>
      </c>
      <c r="X82" s="6">
        <v>1</v>
      </c>
      <c r="Y82" s="6">
        <v>9999</v>
      </c>
      <c r="Z82" s="6"/>
      <c r="AA82" s="6"/>
      <c r="AB82" s="6"/>
      <c r="AC82" s="6">
        <v>1</v>
      </c>
      <c r="AD82" s="8" t="s">
        <v>1274</v>
      </c>
      <c r="AE82" s="2">
        <v>6</v>
      </c>
    </row>
    <row r="83" spans="1:31" ht="14.25" customHeight="1">
      <c r="A83" s="6">
        <v>6004</v>
      </c>
      <c r="B83" s="8" t="s">
        <v>1277</v>
      </c>
      <c r="C83" s="4" t="s">
        <v>1278</v>
      </c>
      <c r="D83" s="52"/>
      <c r="E83" s="52"/>
      <c r="F83" s="52"/>
      <c r="G83" s="2"/>
      <c r="H83" s="2"/>
      <c r="I83" s="2"/>
      <c r="J83" s="2"/>
      <c r="K83" s="2">
        <v>0.15</v>
      </c>
      <c r="L83" s="2"/>
      <c r="M83" s="2"/>
      <c r="N83" s="2"/>
      <c r="O83" s="2"/>
      <c r="P83" s="2"/>
      <c r="Q83" s="2"/>
      <c r="R83" s="2"/>
      <c r="S83" s="2"/>
      <c r="T83" s="2"/>
      <c r="U83" s="2"/>
      <c r="V83" s="6"/>
      <c r="W83" s="6" t="b">
        <f>FALSE()</f>
        <v>0</v>
      </c>
      <c r="X83" s="6">
        <v>1</v>
      </c>
      <c r="Y83" s="6">
        <v>9999</v>
      </c>
      <c r="Z83" s="6"/>
      <c r="AA83" s="6"/>
      <c r="AB83" s="6"/>
      <c r="AC83" s="6">
        <v>1</v>
      </c>
      <c r="AD83" s="8" t="s">
        <v>1279</v>
      </c>
      <c r="AE83" s="2">
        <v>2</v>
      </c>
    </row>
    <row r="84" spans="1:31" ht="14.25" customHeight="1">
      <c r="A84" s="6">
        <v>6004</v>
      </c>
      <c r="B84" s="8" t="s">
        <v>1280</v>
      </c>
      <c r="C84" s="4" t="s">
        <v>1278</v>
      </c>
      <c r="D84" s="52"/>
      <c r="E84" s="52"/>
      <c r="F84" s="52"/>
      <c r="G84" s="2"/>
      <c r="H84" s="2"/>
      <c r="I84" s="2">
        <v>0.2</v>
      </c>
      <c r="J84" s="2"/>
      <c r="K84" s="2">
        <v>0.15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6"/>
      <c r="W84" s="6" t="b">
        <f>FALSE()</f>
        <v>0</v>
      </c>
      <c r="X84" s="6">
        <v>1</v>
      </c>
      <c r="Y84" s="6">
        <v>9999</v>
      </c>
      <c r="Z84" s="6"/>
      <c r="AA84" s="6"/>
      <c r="AB84" s="6"/>
      <c r="AC84" s="6">
        <v>1</v>
      </c>
      <c r="AD84" s="8" t="s">
        <v>1279</v>
      </c>
      <c r="AE84" s="2">
        <v>3</v>
      </c>
    </row>
    <row r="85" spans="1:31" ht="14.25" customHeight="1">
      <c r="A85" s="6">
        <v>6004</v>
      </c>
      <c r="B85" s="8" t="s">
        <v>1281</v>
      </c>
      <c r="C85" s="4" t="s">
        <v>1278</v>
      </c>
      <c r="D85" s="52"/>
      <c r="E85" s="52"/>
      <c r="F85" s="52"/>
      <c r="G85" s="2"/>
      <c r="H85" s="2"/>
      <c r="I85" s="2">
        <v>0.2</v>
      </c>
      <c r="J85" s="2"/>
      <c r="K85" s="2">
        <v>0.15</v>
      </c>
      <c r="L85" s="2"/>
      <c r="M85" s="2"/>
      <c r="N85" s="2"/>
      <c r="O85" s="2"/>
      <c r="P85" s="2"/>
      <c r="Q85" s="2"/>
      <c r="R85" s="2"/>
      <c r="S85" s="2">
        <v>0.1</v>
      </c>
      <c r="T85" s="2"/>
      <c r="U85" s="2"/>
      <c r="V85" s="6"/>
      <c r="W85" s="6" t="b">
        <f>FALSE()</f>
        <v>0</v>
      </c>
      <c r="X85" s="6">
        <v>1</v>
      </c>
      <c r="Y85" s="6">
        <v>9999</v>
      </c>
      <c r="Z85" s="6"/>
      <c r="AA85" s="6"/>
      <c r="AB85" s="6"/>
      <c r="AC85" s="6">
        <v>1</v>
      </c>
      <c r="AD85" s="8" t="s">
        <v>1279</v>
      </c>
      <c r="AE85" s="2">
        <v>6</v>
      </c>
    </row>
    <row r="86" spans="1:31" ht="14.25" customHeight="1">
      <c r="A86" s="6">
        <v>6005</v>
      </c>
      <c r="B86" s="8" t="s">
        <v>1282</v>
      </c>
      <c r="C86" s="1" t="s">
        <v>1283</v>
      </c>
      <c r="D86" s="52"/>
      <c r="E86" s="52"/>
      <c r="F86" s="52"/>
      <c r="G86" s="2"/>
      <c r="H86" s="2"/>
      <c r="I86" s="2"/>
      <c r="J86" s="2"/>
      <c r="K86" s="2"/>
      <c r="L86" s="2">
        <v>0.1</v>
      </c>
      <c r="M86" s="2"/>
      <c r="N86" s="2"/>
      <c r="O86" s="2"/>
      <c r="P86" s="2"/>
      <c r="Q86" s="2"/>
      <c r="R86" s="2"/>
      <c r="S86" s="2"/>
      <c r="T86" s="2"/>
      <c r="U86" s="2"/>
      <c r="V86" s="6"/>
      <c r="W86" s="6" t="b">
        <f>FALSE()</f>
        <v>0</v>
      </c>
      <c r="X86" s="6">
        <v>1</v>
      </c>
      <c r="Y86" s="6">
        <v>9999</v>
      </c>
      <c r="Z86" s="6"/>
      <c r="AA86" s="6"/>
      <c r="AB86" s="6"/>
      <c r="AC86" s="6">
        <v>1</v>
      </c>
      <c r="AD86" s="8" t="s">
        <v>1284</v>
      </c>
      <c r="AE86" s="2">
        <v>2</v>
      </c>
    </row>
    <row r="87" spans="1:31" ht="14.25" customHeight="1">
      <c r="A87" s="6">
        <v>6005</v>
      </c>
      <c r="B87" s="8" t="s">
        <v>1285</v>
      </c>
      <c r="C87" s="1" t="s">
        <v>1283</v>
      </c>
      <c r="D87" s="52"/>
      <c r="E87" s="52"/>
      <c r="F87" s="52"/>
      <c r="G87" s="2"/>
      <c r="H87" s="2"/>
      <c r="I87" s="2"/>
      <c r="J87" s="2"/>
      <c r="K87" s="2"/>
      <c r="L87" s="2">
        <v>0.1</v>
      </c>
      <c r="M87" s="2"/>
      <c r="N87" s="2"/>
      <c r="O87" s="2"/>
      <c r="P87" s="2"/>
      <c r="Q87" s="2"/>
      <c r="R87" s="2"/>
      <c r="S87" s="2">
        <v>0.08</v>
      </c>
      <c r="T87" s="2"/>
      <c r="U87" s="2"/>
      <c r="V87" s="6"/>
      <c r="W87" s="6" t="b">
        <f>FALSE()</f>
        <v>0</v>
      </c>
      <c r="X87" s="6">
        <v>1</v>
      </c>
      <c r="Y87" s="6">
        <v>9999</v>
      </c>
      <c r="Z87" s="6"/>
      <c r="AA87" s="6"/>
      <c r="AB87" s="6"/>
      <c r="AC87" s="6">
        <v>1</v>
      </c>
      <c r="AD87" s="8" t="s">
        <v>1284</v>
      </c>
      <c r="AE87" s="2">
        <v>3</v>
      </c>
    </row>
    <row r="88" spans="1:31" ht="14.25" customHeight="1">
      <c r="A88" s="6">
        <v>6005</v>
      </c>
      <c r="B88" s="8" t="s">
        <v>1286</v>
      </c>
      <c r="C88" s="1" t="s">
        <v>1283</v>
      </c>
      <c r="D88" s="52"/>
      <c r="E88" s="52"/>
      <c r="F88" s="52"/>
      <c r="G88" s="2"/>
      <c r="H88" s="2"/>
      <c r="I88" s="2"/>
      <c r="J88" s="2"/>
      <c r="K88" s="2"/>
      <c r="L88" s="2">
        <v>0.1</v>
      </c>
      <c r="M88" s="2"/>
      <c r="N88" s="2"/>
      <c r="O88" s="2"/>
      <c r="P88" s="2"/>
      <c r="Q88" s="2">
        <v>0.3</v>
      </c>
      <c r="R88" s="2"/>
      <c r="S88" s="2">
        <v>0.08</v>
      </c>
      <c r="T88" s="2"/>
      <c r="U88" s="2"/>
      <c r="V88" s="6"/>
      <c r="W88" s="6" t="b">
        <f>FALSE()</f>
        <v>0</v>
      </c>
      <c r="X88" s="6">
        <v>1</v>
      </c>
      <c r="Y88" s="6">
        <v>9999</v>
      </c>
      <c r="Z88" s="6"/>
      <c r="AA88" s="6"/>
      <c r="AB88" s="6"/>
      <c r="AC88" s="6">
        <v>1</v>
      </c>
      <c r="AD88" s="8" t="s">
        <v>1284</v>
      </c>
      <c r="AE88" s="2">
        <v>6</v>
      </c>
    </row>
    <row r="89" spans="1:31" ht="14.25" customHeight="1">
      <c r="A89" s="6">
        <v>6006</v>
      </c>
      <c r="B89" s="8" t="s">
        <v>1287</v>
      </c>
      <c r="C89" s="1" t="s">
        <v>1288</v>
      </c>
      <c r="D89" s="52"/>
      <c r="E89" s="52"/>
      <c r="F89" s="5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6">
        <v>0.1</v>
      </c>
      <c r="W89" s="6" t="b">
        <f>FALSE()</f>
        <v>0</v>
      </c>
      <c r="X89" s="6">
        <v>1</v>
      </c>
      <c r="Y89" s="6">
        <v>9999</v>
      </c>
      <c r="Z89" s="6"/>
      <c r="AA89" s="6"/>
      <c r="AB89" s="6"/>
      <c r="AC89" s="6">
        <v>1</v>
      </c>
      <c r="AD89" s="8" t="s">
        <v>1289</v>
      </c>
      <c r="AE89" s="2">
        <v>2</v>
      </c>
    </row>
    <row r="90" spans="1:31" ht="14.25" customHeight="1">
      <c r="A90" s="6">
        <v>6006</v>
      </c>
      <c r="B90" s="8" t="s">
        <v>1290</v>
      </c>
      <c r="C90" s="1" t="s">
        <v>1288</v>
      </c>
      <c r="D90" s="52"/>
      <c r="E90" s="52"/>
      <c r="F90" s="52"/>
      <c r="G90" s="2"/>
      <c r="H90" s="2"/>
      <c r="I90" s="2"/>
      <c r="J90" s="2"/>
      <c r="K90" s="2"/>
      <c r="L90" s="2"/>
      <c r="M90" s="2"/>
      <c r="N90" s="2">
        <v>0.2</v>
      </c>
      <c r="O90" s="2"/>
      <c r="P90" s="2"/>
      <c r="Q90" s="2"/>
      <c r="R90" s="2"/>
      <c r="S90" s="2"/>
      <c r="T90" s="2"/>
      <c r="U90" s="2"/>
      <c r="V90" s="6">
        <v>0.1</v>
      </c>
      <c r="W90" s="6" t="b">
        <f>FALSE()</f>
        <v>0</v>
      </c>
      <c r="X90" s="6">
        <v>1</v>
      </c>
      <c r="Y90" s="6">
        <v>9999</v>
      </c>
      <c r="Z90" s="6"/>
      <c r="AA90" s="6"/>
      <c r="AB90" s="6"/>
      <c r="AC90" s="6">
        <v>1</v>
      </c>
      <c r="AD90" s="8" t="s">
        <v>1289</v>
      </c>
      <c r="AE90" s="2">
        <v>3</v>
      </c>
    </row>
    <row r="91" spans="1:31" ht="14.25" customHeight="1">
      <c r="A91" s="6">
        <v>6006</v>
      </c>
      <c r="B91" s="8" t="s">
        <v>1291</v>
      </c>
      <c r="C91" s="1" t="s">
        <v>1288</v>
      </c>
      <c r="D91" s="52"/>
      <c r="E91" s="52"/>
      <c r="F91" s="52"/>
      <c r="G91" s="2"/>
      <c r="H91" s="2"/>
      <c r="I91" s="2"/>
      <c r="J91" s="2"/>
      <c r="K91" s="2"/>
      <c r="L91" s="2"/>
      <c r="M91" s="2"/>
      <c r="N91" s="2">
        <v>0.2</v>
      </c>
      <c r="O91" s="2"/>
      <c r="P91" s="2"/>
      <c r="Q91" s="2"/>
      <c r="R91" s="2">
        <v>0.45</v>
      </c>
      <c r="S91" s="2"/>
      <c r="T91" s="2"/>
      <c r="U91" s="2"/>
      <c r="V91" s="6">
        <v>0.1</v>
      </c>
      <c r="W91" s="6" t="b">
        <f>FALSE()</f>
        <v>0</v>
      </c>
      <c r="X91" s="6">
        <v>1</v>
      </c>
      <c r="Y91" s="6">
        <v>9999</v>
      </c>
      <c r="Z91" s="6"/>
      <c r="AA91" s="6"/>
      <c r="AB91" s="6"/>
      <c r="AC91" s="6">
        <v>1</v>
      </c>
      <c r="AD91" s="8" t="s">
        <v>1289</v>
      </c>
      <c r="AE91" s="2">
        <v>6</v>
      </c>
    </row>
    <row r="92" spans="1:31" ht="14.25" customHeight="1">
      <c r="A92" s="6">
        <v>6007</v>
      </c>
      <c r="B92" s="8" t="s">
        <v>1292</v>
      </c>
      <c r="C92" s="4" t="s">
        <v>1293</v>
      </c>
      <c r="D92" s="6">
        <v>3018</v>
      </c>
      <c r="E92" s="52"/>
      <c r="F92" s="52"/>
      <c r="G92" s="2"/>
      <c r="H92" s="2">
        <v>0.8</v>
      </c>
      <c r="I92" s="2">
        <v>0.8</v>
      </c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6"/>
      <c r="W92" s="6" t="b">
        <f>FALSE()</f>
        <v>0</v>
      </c>
      <c r="X92" s="6">
        <v>1</v>
      </c>
      <c r="Y92" s="6">
        <v>5</v>
      </c>
      <c r="Z92" s="6"/>
      <c r="AA92" s="6"/>
      <c r="AB92" s="6"/>
      <c r="AC92" s="6"/>
      <c r="AD92" s="8" t="s">
        <v>1294</v>
      </c>
      <c r="AE92" s="2">
        <v>6</v>
      </c>
    </row>
    <row r="93" spans="1:31" ht="14.25" customHeight="1">
      <c r="A93" s="6">
        <v>6008</v>
      </c>
      <c r="B93" s="8" t="s">
        <v>1295</v>
      </c>
      <c r="C93" s="4" t="s">
        <v>1296</v>
      </c>
      <c r="D93" s="6">
        <v>3019</v>
      </c>
      <c r="E93" s="52"/>
      <c r="F93" s="52"/>
      <c r="G93" s="2"/>
      <c r="H93" s="2"/>
      <c r="I93" s="2"/>
      <c r="J93" s="2"/>
      <c r="K93" s="2"/>
      <c r="L93" s="2">
        <v>1</v>
      </c>
      <c r="M93" s="2"/>
      <c r="N93" s="2"/>
      <c r="O93" s="2"/>
      <c r="P93" s="2"/>
      <c r="Q93" s="2"/>
      <c r="R93" s="2"/>
      <c r="S93" s="2"/>
      <c r="T93" s="2"/>
      <c r="U93" s="2"/>
      <c r="V93" s="6"/>
      <c r="W93" s="6" t="b">
        <f>FALSE()</f>
        <v>0</v>
      </c>
      <c r="X93" s="6">
        <v>1</v>
      </c>
      <c r="Y93" s="6">
        <v>3</v>
      </c>
      <c r="Z93" s="6"/>
      <c r="AA93" s="6"/>
      <c r="AB93" s="6"/>
      <c r="AC93" s="6"/>
      <c r="AD93" s="8" t="s">
        <v>1297</v>
      </c>
      <c r="AE93" s="2">
        <v>6</v>
      </c>
    </row>
    <row r="94" spans="1:31" ht="14.25" customHeight="1">
      <c r="A94" s="6">
        <v>6009</v>
      </c>
      <c r="B94" s="8" t="s">
        <v>1298</v>
      </c>
      <c r="C94" s="1" t="s">
        <v>1299</v>
      </c>
      <c r="D94" s="52"/>
      <c r="E94" s="52"/>
      <c r="F94" s="52"/>
      <c r="G94" s="2">
        <v>2</v>
      </c>
      <c r="H94" s="2">
        <v>0.2</v>
      </c>
      <c r="I94" s="2">
        <v>0.2</v>
      </c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6"/>
      <c r="W94" s="6" t="b">
        <f>FALSE()</f>
        <v>0</v>
      </c>
      <c r="X94" s="6">
        <v>1</v>
      </c>
      <c r="Y94" s="6">
        <v>9999</v>
      </c>
      <c r="Z94" s="6"/>
      <c r="AA94" s="6"/>
      <c r="AB94" s="6"/>
      <c r="AC94" s="6">
        <v>1</v>
      </c>
      <c r="AD94" s="8" t="s">
        <v>1300</v>
      </c>
      <c r="AE94" s="2">
        <v>3</v>
      </c>
    </row>
    <row r="95" spans="1:31" ht="14.25" customHeight="1">
      <c r="A95" s="6">
        <v>6009</v>
      </c>
      <c r="B95" s="8" t="s">
        <v>1301</v>
      </c>
      <c r="C95" s="1" t="s">
        <v>1299</v>
      </c>
      <c r="D95" s="52"/>
      <c r="E95" s="52"/>
      <c r="F95" s="52"/>
      <c r="G95" s="2">
        <v>2</v>
      </c>
      <c r="H95" s="2">
        <v>0.2</v>
      </c>
      <c r="I95" s="2">
        <v>0.2</v>
      </c>
      <c r="J95" s="2"/>
      <c r="K95" s="2"/>
      <c r="L95" s="2">
        <v>0.05</v>
      </c>
      <c r="M95" s="2"/>
      <c r="N95" s="2"/>
      <c r="O95" s="2">
        <v>0.1</v>
      </c>
      <c r="P95" s="2"/>
      <c r="Q95" s="2"/>
      <c r="R95" s="2"/>
      <c r="S95" s="2"/>
      <c r="T95" s="2"/>
      <c r="U95" s="2"/>
      <c r="V95" s="6"/>
      <c r="W95" s="6" t="b">
        <f>FALSE()</f>
        <v>0</v>
      </c>
      <c r="X95" s="6">
        <v>1</v>
      </c>
      <c r="Y95" s="6">
        <v>9999</v>
      </c>
      <c r="Z95" s="6"/>
      <c r="AA95" s="6"/>
      <c r="AB95" s="6"/>
      <c r="AC95" s="6">
        <v>1</v>
      </c>
      <c r="AD95" s="8" t="s">
        <v>1300</v>
      </c>
      <c r="AE95" s="2">
        <v>6</v>
      </c>
    </row>
    <row r="96" spans="1:31" ht="14.25" customHeight="1">
      <c r="A96" s="6">
        <v>6010</v>
      </c>
      <c r="B96" s="8" t="s">
        <v>1302</v>
      </c>
      <c r="C96" s="1" t="s">
        <v>1303</v>
      </c>
      <c r="D96" s="52"/>
      <c r="E96" s="52"/>
      <c r="F96" s="52"/>
      <c r="G96" s="2">
        <v>1</v>
      </c>
      <c r="H96" s="2">
        <v>0.2</v>
      </c>
      <c r="I96" s="2">
        <v>0.2</v>
      </c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6"/>
      <c r="W96" s="6" t="b">
        <f>FALSE()</f>
        <v>0</v>
      </c>
      <c r="X96" s="6">
        <v>1</v>
      </c>
      <c r="Y96" s="6">
        <v>9999</v>
      </c>
      <c r="Z96" s="6"/>
      <c r="AA96" s="6"/>
      <c r="AB96" s="6"/>
      <c r="AC96" s="6">
        <v>1</v>
      </c>
      <c r="AD96" s="8" t="s">
        <v>1304</v>
      </c>
      <c r="AE96" s="2">
        <v>3</v>
      </c>
    </row>
    <row r="97" spans="1:31" ht="14.25" customHeight="1">
      <c r="A97" s="6">
        <v>6010</v>
      </c>
      <c r="B97" s="8" t="s">
        <v>1305</v>
      </c>
      <c r="C97" s="1" t="s">
        <v>1303</v>
      </c>
      <c r="D97" s="52"/>
      <c r="E97" s="52"/>
      <c r="F97" s="52"/>
      <c r="G97" s="2">
        <v>1</v>
      </c>
      <c r="H97" s="2">
        <v>0.2</v>
      </c>
      <c r="I97" s="2">
        <v>0.2</v>
      </c>
      <c r="J97" s="2"/>
      <c r="K97" s="2"/>
      <c r="L97" s="2">
        <v>0.05</v>
      </c>
      <c r="M97" s="2"/>
      <c r="N97" s="2"/>
      <c r="O97" s="2">
        <v>0.1</v>
      </c>
      <c r="P97" s="2"/>
      <c r="Q97" s="2"/>
      <c r="R97" s="2"/>
      <c r="S97" s="2"/>
      <c r="T97" s="2"/>
      <c r="U97" s="2"/>
      <c r="V97" s="6"/>
      <c r="W97" s="6" t="b">
        <f>FALSE()</f>
        <v>0</v>
      </c>
      <c r="X97" s="6">
        <v>1</v>
      </c>
      <c r="Y97" s="6">
        <v>9999</v>
      </c>
      <c r="Z97" s="6"/>
      <c r="AA97" s="6"/>
      <c r="AB97" s="6"/>
      <c r="AC97" s="6">
        <v>1</v>
      </c>
      <c r="AD97" s="8" t="s">
        <v>1304</v>
      </c>
      <c r="AE97" s="2">
        <v>6</v>
      </c>
    </row>
    <row r="98" spans="1:31" ht="14.25" customHeight="1">
      <c r="A98" s="6">
        <v>6011</v>
      </c>
      <c r="B98" s="8" t="s">
        <v>1306</v>
      </c>
      <c r="C98" s="1" t="s">
        <v>1307</v>
      </c>
      <c r="D98" s="52"/>
      <c r="E98" s="52"/>
      <c r="F98" s="52"/>
      <c r="G98" s="2">
        <v>3</v>
      </c>
      <c r="H98" s="2">
        <v>0.2</v>
      </c>
      <c r="I98" s="2">
        <v>0.2</v>
      </c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6"/>
      <c r="W98" s="6" t="b">
        <f>FALSE()</f>
        <v>0</v>
      </c>
      <c r="X98" s="6">
        <v>1</v>
      </c>
      <c r="Y98" s="6">
        <v>9999</v>
      </c>
      <c r="Z98" s="6"/>
      <c r="AA98" s="6"/>
      <c r="AB98" s="6"/>
      <c r="AC98" s="6">
        <v>1</v>
      </c>
      <c r="AD98" s="8" t="s">
        <v>1308</v>
      </c>
      <c r="AE98" s="2">
        <v>3</v>
      </c>
    </row>
    <row r="99" spans="1:31" ht="14.25" customHeight="1">
      <c r="A99" s="6">
        <v>6011</v>
      </c>
      <c r="B99" s="8" t="s">
        <v>1309</v>
      </c>
      <c r="C99" s="1" t="s">
        <v>1307</v>
      </c>
      <c r="D99" s="52"/>
      <c r="E99" s="52"/>
      <c r="F99" s="52"/>
      <c r="G99" s="2">
        <v>3</v>
      </c>
      <c r="H99" s="2">
        <v>0.2</v>
      </c>
      <c r="I99" s="2">
        <v>0.2</v>
      </c>
      <c r="J99" s="2"/>
      <c r="K99" s="2"/>
      <c r="L99" s="2">
        <v>0.05</v>
      </c>
      <c r="M99" s="2"/>
      <c r="N99" s="2"/>
      <c r="O99" s="2">
        <v>0.1</v>
      </c>
      <c r="P99" s="2"/>
      <c r="Q99" s="2"/>
      <c r="R99" s="2"/>
      <c r="S99" s="2"/>
      <c r="T99" s="2"/>
      <c r="U99" s="2"/>
      <c r="V99" s="6"/>
      <c r="W99" s="6" t="b">
        <f>FALSE()</f>
        <v>0</v>
      </c>
      <c r="X99" s="6">
        <v>1</v>
      </c>
      <c r="Y99" s="6">
        <v>9999</v>
      </c>
      <c r="Z99" s="6"/>
      <c r="AA99" s="6"/>
      <c r="AB99" s="6"/>
      <c r="AC99" s="6">
        <v>1</v>
      </c>
      <c r="AD99" s="8" t="s">
        <v>1308</v>
      </c>
      <c r="AE99" s="2">
        <v>6</v>
      </c>
    </row>
    <row r="100" spans="1:31" ht="14.25" customHeight="1">
      <c r="A100" s="45"/>
      <c r="D100" s="47"/>
      <c r="E100" s="47"/>
      <c r="F100" s="47"/>
      <c r="R100" s="7"/>
      <c r="U100" s="7"/>
      <c r="V100" s="45"/>
      <c r="W100" s="45"/>
      <c r="X100" s="45"/>
      <c r="Y100" s="45"/>
      <c r="Z100" s="45"/>
      <c r="AA100" s="45"/>
      <c r="AB100" s="45"/>
      <c r="AC100" s="45"/>
      <c r="AD100" s="47"/>
      <c r="AE100" s="7"/>
    </row>
    <row r="101" spans="1:31" ht="14.25" customHeight="1">
      <c r="A101" s="45"/>
      <c r="D101" s="47"/>
      <c r="E101" s="47"/>
      <c r="F101" s="47"/>
      <c r="R101" s="7"/>
      <c r="U101" s="7"/>
      <c r="V101" s="45"/>
      <c r="W101" s="45"/>
      <c r="X101" s="45"/>
      <c r="Y101" s="45"/>
      <c r="Z101" s="45"/>
      <c r="AA101" s="45"/>
      <c r="AB101" s="45"/>
      <c r="AC101" s="45"/>
      <c r="AD101" s="47"/>
      <c r="AE101" s="7"/>
    </row>
    <row r="102" spans="1:31" ht="14.25" customHeight="1">
      <c r="A102" s="45"/>
      <c r="D102" s="47"/>
      <c r="E102" s="47"/>
      <c r="F102" s="47"/>
      <c r="R102" s="7"/>
      <c r="U102" s="7"/>
      <c r="V102" s="45"/>
      <c r="W102" s="45"/>
      <c r="X102" s="45"/>
      <c r="Y102" s="45"/>
      <c r="Z102" s="45"/>
      <c r="AA102" s="45"/>
      <c r="AB102" s="45"/>
      <c r="AC102" s="45"/>
      <c r="AD102" s="47"/>
      <c r="AE102" s="7"/>
    </row>
    <row r="103" spans="1:31" ht="14.25" customHeight="1">
      <c r="A103" s="45"/>
      <c r="D103" s="47"/>
      <c r="E103" s="47"/>
      <c r="F103" s="47"/>
      <c r="R103" s="7"/>
      <c r="U103" s="7"/>
      <c r="V103" s="45"/>
      <c r="W103" s="45"/>
      <c r="X103" s="45"/>
      <c r="Y103" s="45"/>
      <c r="Z103" s="45"/>
      <c r="AA103" s="45"/>
      <c r="AB103" s="45"/>
      <c r="AC103" s="45"/>
      <c r="AD103" s="47"/>
      <c r="AE103" s="7"/>
    </row>
    <row r="104" spans="1:31" ht="14.25" customHeight="1">
      <c r="A104" s="45"/>
      <c r="D104" s="47"/>
      <c r="E104" s="47"/>
      <c r="F104" s="47"/>
      <c r="R104" s="7"/>
      <c r="U104" s="7"/>
      <c r="V104" s="45"/>
      <c r="W104" s="45"/>
      <c r="X104" s="45"/>
      <c r="Y104" s="45"/>
      <c r="Z104" s="45"/>
      <c r="AA104" s="45"/>
      <c r="AB104" s="45"/>
      <c r="AC104" s="45"/>
      <c r="AD104" s="47"/>
      <c r="AE104" s="7"/>
    </row>
    <row r="105" spans="1:31" ht="14.25" customHeight="1">
      <c r="A105" s="45"/>
      <c r="D105" s="47"/>
      <c r="E105" s="47"/>
      <c r="F105" s="47"/>
      <c r="R105" s="7"/>
      <c r="U105" s="7"/>
      <c r="V105" s="45"/>
      <c r="W105" s="45"/>
      <c r="X105" s="45"/>
      <c r="Y105" s="45"/>
      <c r="Z105" s="45"/>
      <c r="AA105" s="45"/>
      <c r="AB105" s="45"/>
      <c r="AC105" s="45"/>
      <c r="AD105" s="47"/>
      <c r="AE105" s="7"/>
    </row>
    <row r="106" spans="1:31" ht="14.25" customHeight="1">
      <c r="A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</row>
    <row r="107" spans="1:31" ht="14.25" customHeight="1">
      <c r="A107" s="40" t="s">
        <v>705</v>
      </c>
      <c r="B107" s="40" t="s">
        <v>1168</v>
      </c>
      <c r="C107" s="40" t="s">
        <v>1169</v>
      </c>
      <c r="D107" s="40" t="s">
        <v>1170</v>
      </c>
      <c r="E107" s="40" t="s">
        <v>1171</v>
      </c>
      <c r="F107" s="40" t="s">
        <v>1172</v>
      </c>
      <c r="G107" s="40" t="s">
        <v>1173</v>
      </c>
      <c r="H107" s="40" t="s">
        <v>685</v>
      </c>
      <c r="I107" s="40" t="s">
        <v>686</v>
      </c>
      <c r="J107" s="40" t="s">
        <v>687</v>
      </c>
      <c r="K107" s="40" t="s">
        <v>688</v>
      </c>
      <c r="L107" s="40" t="s">
        <v>689</v>
      </c>
      <c r="M107" s="40" t="s">
        <v>39</v>
      </c>
      <c r="N107" s="40" t="s">
        <v>690</v>
      </c>
      <c r="O107" s="40" t="s">
        <v>691</v>
      </c>
      <c r="P107" s="40" t="s">
        <v>692</v>
      </c>
      <c r="Q107" s="40" t="s">
        <v>693</v>
      </c>
      <c r="R107" s="40" t="s">
        <v>694</v>
      </c>
      <c r="S107" s="40" t="s">
        <v>695</v>
      </c>
      <c r="T107" s="40" t="s">
        <v>696</v>
      </c>
      <c r="U107" s="40" t="s">
        <v>697</v>
      </c>
      <c r="V107" s="40" t="s">
        <v>698</v>
      </c>
      <c r="W107" s="40" t="s">
        <v>1174</v>
      </c>
      <c r="X107" s="40" t="s">
        <v>1175</v>
      </c>
      <c r="Y107" s="48" t="s">
        <v>1176</v>
      </c>
      <c r="Z107" s="40"/>
      <c r="AA107" s="40"/>
      <c r="AB107" s="40"/>
      <c r="AC107" s="40" t="s">
        <v>1180</v>
      </c>
      <c r="AD107" s="40" t="s">
        <v>1181</v>
      </c>
      <c r="AE107" s="2" t="s">
        <v>1182</v>
      </c>
    </row>
    <row r="108" spans="1:31" ht="14.25" customHeight="1">
      <c r="A108" s="6">
        <v>7001</v>
      </c>
      <c r="B108" s="8" t="s">
        <v>1310</v>
      </c>
      <c r="C108" s="2" t="str">
        <f t="shared" ref="C108:C117" si="0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"/>
      <c r="J108" s="2"/>
      <c r="K108" s="2"/>
      <c r="L108" s="2"/>
      <c r="M108" s="2"/>
      <c r="N108" s="2"/>
      <c r="O108" s="2"/>
      <c r="P108" s="2"/>
      <c r="Q108" s="6"/>
      <c r="R108" s="6"/>
      <c r="S108" s="6"/>
      <c r="T108" s="6"/>
      <c r="U108" s="6"/>
      <c r="V108" s="6"/>
      <c r="W108" s="6" t="b">
        <f>FALSE()</f>
        <v>0</v>
      </c>
      <c r="X108" s="6">
        <v>1</v>
      </c>
      <c r="Y108" s="6">
        <v>9999</v>
      </c>
      <c r="Z108" s="6"/>
      <c r="AA108" s="6"/>
      <c r="AB108" s="6"/>
      <c r="AC108" s="6">
        <v>1</v>
      </c>
      <c r="AD108" s="2"/>
      <c r="AE108" s="2"/>
    </row>
    <row r="109" spans="1:31" ht="14.25" customHeight="1">
      <c r="A109" s="6">
        <v>7002</v>
      </c>
      <c r="B109" s="8" t="s">
        <v>1311</v>
      </c>
      <c r="C109" s="2" t="str">
        <f t="shared" si="0"/>
        <v>戰鬥開始時裝備者的攻擊增加3%</v>
      </c>
      <c r="D109" s="2"/>
      <c r="E109" s="2"/>
      <c r="F109" s="2"/>
      <c r="G109" s="2"/>
      <c r="H109" s="2">
        <f>H108+0.01</f>
        <v>0.03</v>
      </c>
      <c r="I109" s="2"/>
      <c r="J109" s="2"/>
      <c r="K109" s="2"/>
      <c r="L109" s="2"/>
      <c r="M109" s="2"/>
      <c r="N109" s="2"/>
      <c r="O109" s="2"/>
      <c r="P109" s="2"/>
      <c r="Q109" s="6"/>
      <c r="R109" s="6"/>
      <c r="S109" s="6"/>
      <c r="T109" s="6"/>
      <c r="U109" s="6"/>
      <c r="V109" s="6"/>
      <c r="W109" s="6" t="b">
        <f>FALSE()</f>
        <v>0</v>
      </c>
      <c r="X109" s="6">
        <v>1</v>
      </c>
      <c r="Y109" s="6">
        <v>9999</v>
      </c>
      <c r="Z109" s="6"/>
      <c r="AA109" s="6"/>
      <c r="AB109" s="6"/>
      <c r="AC109" s="6">
        <v>1</v>
      </c>
      <c r="AD109" s="2"/>
      <c r="AE109" s="2"/>
    </row>
    <row r="110" spans="1:31" ht="14.25" customHeight="1">
      <c r="A110" s="6">
        <v>7003</v>
      </c>
      <c r="B110" s="8" t="s">
        <v>1312</v>
      </c>
      <c r="C110" s="2" t="str">
        <f t="shared" si="0"/>
        <v>戰鬥開始時裝備者的攻擊增加4%</v>
      </c>
      <c r="D110" s="2"/>
      <c r="E110" s="2"/>
      <c r="F110" s="2"/>
      <c r="G110" s="2"/>
      <c r="H110" s="2">
        <f>H109+0.01</f>
        <v>0.04</v>
      </c>
      <c r="I110" s="2"/>
      <c r="J110" s="2"/>
      <c r="K110" s="2"/>
      <c r="L110" s="2"/>
      <c r="M110" s="2"/>
      <c r="N110" s="2"/>
      <c r="O110" s="2"/>
      <c r="P110" s="2"/>
      <c r="Q110" s="6"/>
      <c r="R110" s="6"/>
      <c r="S110" s="6"/>
      <c r="T110" s="6"/>
      <c r="U110" s="6"/>
      <c r="V110" s="6"/>
      <c r="W110" s="6" t="b">
        <f>FALSE()</f>
        <v>0</v>
      </c>
      <c r="X110" s="6">
        <v>1</v>
      </c>
      <c r="Y110" s="6">
        <v>9999</v>
      </c>
      <c r="Z110" s="6"/>
      <c r="AA110" s="6"/>
      <c r="AB110" s="6"/>
      <c r="AC110" s="6">
        <v>1</v>
      </c>
      <c r="AD110" s="2"/>
      <c r="AE110" s="2"/>
    </row>
    <row r="111" spans="1:31" ht="14.25" customHeight="1">
      <c r="A111" s="6">
        <v>7004</v>
      </c>
      <c r="B111" s="8" t="s">
        <v>1313</v>
      </c>
      <c r="C111" s="2" t="str">
        <f t="shared" si="0"/>
        <v>戰鬥開始時裝備者的攻擊增加5%</v>
      </c>
      <c r="D111" s="2"/>
      <c r="E111" s="2"/>
      <c r="F111" s="2"/>
      <c r="G111" s="2"/>
      <c r="H111" s="2">
        <f>H110+0.01</f>
        <v>0.05</v>
      </c>
      <c r="I111" s="2"/>
      <c r="J111" s="2"/>
      <c r="K111" s="2"/>
      <c r="L111" s="2"/>
      <c r="M111" s="2"/>
      <c r="N111" s="2"/>
      <c r="O111" s="2"/>
      <c r="P111" s="2"/>
      <c r="Q111" s="6"/>
      <c r="R111" s="6"/>
      <c r="S111" s="6"/>
      <c r="T111" s="6"/>
      <c r="U111" s="6"/>
      <c r="V111" s="6"/>
      <c r="W111" s="6" t="b">
        <f>FALSE()</f>
        <v>0</v>
      </c>
      <c r="X111" s="6">
        <v>1</v>
      </c>
      <c r="Y111" s="6">
        <v>9999</v>
      </c>
      <c r="Z111" s="6"/>
      <c r="AA111" s="6"/>
      <c r="AB111" s="6"/>
      <c r="AC111" s="6">
        <v>1</v>
      </c>
      <c r="AD111" s="2"/>
      <c r="AE111" s="2"/>
    </row>
    <row r="112" spans="1:31" ht="14.25" customHeight="1">
      <c r="A112" s="6">
        <v>7005</v>
      </c>
      <c r="B112" s="8" t="s">
        <v>1314</v>
      </c>
      <c r="C112" s="2" t="str">
        <f t="shared" si="0"/>
        <v>戰鬥開始時裝備者的攻擊增加6%</v>
      </c>
      <c r="D112" s="2"/>
      <c r="E112" s="2"/>
      <c r="F112" s="2"/>
      <c r="G112" s="2"/>
      <c r="H112" s="2">
        <f>H111+0.01</f>
        <v>6.0000000000000005E-2</v>
      </c>
      <c r="I112" s="2"/>
      <c r="J112" s="2"/>
      <c r="K112" s="2"/>
      <c r="L112" s="2"/>
      <c r="M112" s="2"/>
      <c r="N112" s="2"/>
      <c r="O112" s="2"/>
      <c r="P112" s="2"/>
      <c r="Q112" s="6"/>
      <c r="R112" s="6"/>
      <c r="S112" s="6"/>
      <c r="T112" s="6"/>
      <c r="U112" s="6"/>
      <c r="V112" s="6"/>
      <c r="W112" s="6" t="b">
        <f>FALSE()</f>
        <v>0</v>
      </c>
      <c r="X112" s="6">
        <v>1</v>
      </c>
      <c r="Y112" s="6">
        <v>9999</v>
      </c>
      <c r="Z112" s="6"/>
      <c r="AA112" s="6"/>
      <c r="AB112" s="6"/>
      <c r="AC112" s="6">
        <v>1</v>
      </c>
      <c r="AD112" s="2"/>
      <c r="AE112" s="2"/>
    </row>
    <row r="113" spans="1:31" ht="14.25" customHeight="1">
      <c r="A113" s="6">
        <v>7006</v>
      </c>
      <c r="B113" s="8" t="s">
        <v>1315</v>
      </c>
      <c r="C113" s="2" t="str">
        <f t="shared" si="0"/>
        <v>戰鬥開始時裝備者的攻擊增加7%</v>
      </c>
      <c r="D113" s="2"/>
      <c r="E113" s="2"/>
      <c r="F113" s="2"/>
      <c r="G113" s="2"/>
      <c r="H113" s="2">
        <f>H112+0.01</f>
        <v>7.0000000000000007E-2</v>
      </c>
      <c r="I113" s="2"/>
      <c r="J113" s="2"/>
      <c r="K113" s="2"/>
      <c r="L113" s="2"/>
      <c r="M113" s="2"/>
      <c r="N113" s="2"/>
      <c r="O113" s="2"/>
      <c r="P113" s="2"/>
      <c r="Q113" s="6"/>
      <c r="R113" s="6"/>
      <c r="S113" s="6"/>
      <c r="T113" s="6"/>
      <c r="U113" s="6"/>
      <c r="V113" s="6"/>
      <c r="W113" s="6" t="b">
        <f>FALSE()</f>
        <v>0</v>
      </c>
      <c r="X113" s="6">
        <v>1</v>
      </c>
      <c r="Y113" s="6">
        <v>9999</v>
      </c>
      <c r="Z113" s="6"/>
      <c r="AA113" s="6"/>
      <c r="AB113" s="6"/>
      <c r="AC113" s="6">
        <v>1</v>
      </c>
      <c r="AD113" s="2"/>
      <c r="AE113" s="2"/>
    </row>
    <row r="114" spans="1:31" ht="14.25" customHeight="1">
      <c r="A114" s="6">
        <v>7007</v>
      </c>
      <c r="B114" s="8" t="s">
        <v>1316</v>
      </c>
      <c r="C114" s="2" t="str">
        <f t="shared" si="0"/>
        <v>戰鬥開始時裝備者的攻擊增加9%</v>
      </c>
      <c r="D114" s="2"/>
      <c r="E114" s="2"/>
      <c r="F114" s="2"/>
      <c r="G114" s="2"/>
      <c r="H114" s="2">
        <f>H113+0.02</f>
        <v>9.0000000000000011E-2</v>
      </c>
      <c r="I114" s="2"/>
      <c r="J114" s="2"/>
      <c r="K114" s="2"/>
      <c r="L114" s="2"/>
      <c r="M114" s="2"/>
      <c r="N114" s="2"/>
      <c r="O114" s="2"/>
      <c r="P114" s="2"/>
      <c r="Q114" s="6"/>
      <c r="R114" s="6"/>
      <c r="S114" s="6"/>
      <c r="T114" s="6"/>
      <c r="U114" s="6"/>
      <c r="V114" s="6"/>
      <c r="W114" s="6" t="b">
        <f>FALSE()</f>
        <v>0</v>
      </c>
      <c r="X114" s="6">
        <v>1</v>
      </c>
      <c r="Y114" s="6">
        <v>9999</v>
      </c>
      <c r="Z114" s="6"/>
      <c r="AA114" s="6"/>
      <c r="AB114" s="6"/>
      <c r="AC114" s="6">
        <v>1</v>
      </c>
      <c r="AD114" s="2"/>
      <c r="AE114" s="2"/>
    </row>
    <row r="115" spans="1:31" ht="14.25" customHeight="1">
      <c r="A115" s="6">
        <v>7008</v>
      </c>
      <c r="B115" s="8" t="s">
        <v>1317</v>
      </c>
      <c r="C115" s="2" t="str">
        <f t="shared" si="0"/>
        <v>戰鬥開始時裝備者的攻擊增加11%</v>
      </c>
      <c r="D115" s="2"/>
      <c r="E115" s="2"/>
      <c r="F115" s="2"/>
      <c r="G115" s="2"/>
      <c r="H115" s="2">
        <f>H114+0.02</f>
        <v>0.11000000000000001</v>
      </c>
      <c r="I115" s="2"/>
      <c r="J115" s="2"/>
      <c r="K115" s="2"/>
      <c r="L115" s="2"/>
      <c r="M115" s="2"/>
      <c r="N115" s="2"/>
      <c r="O115" s="2"/>
      <c r="P115" s="2"/>
      <c r="Q115" s="6"/>
      <c r="R115" s="6"/>
      <c r="S115" s="6"/>
      <c r="T115" s="6"/>
      <c r="U115" s="6"/>
      <c r="V115" s="6"/>
      <c r="W115" s="6" t="b">
        <f>FALSE()</f>
        <v>0</v>
      </c>
      <c r="X115" s="6">
        <v>1</v>
      </c>
      <c r="Y115" s="6">
        <v>9999</v>
      </c>
      <c r="Z115" s="6"/>
      <c r="AA115" s="6"/>
      <c r="AB115" s="6"/>
      <c r="AC115" s="6">
        <v>1</v>
      </c>
      <c r="AD115" s="2"/>
      <c r="AE115" s="2"/>
    </row>
    <row r="116" spans="1:31" ht="14.25" customHeight="1">
      <c r="A116" s="6">
        <v>7009</v>
      </c>
      <c r="B116" s="8" t="s">
        <v>1318</v>
      </c>
      <c r="C116" s="2" t="str">
        <f t="shared" si="0"/>
        <v>戰鬥開始時裝備者的攻擊增加13%</v>
      </c>
      <c r="D116" s="2"/>
      <c r="E116" s="2"/>
      <c r="F116" s="2"/>
      <c r="G116" s="2"/>
      <c r="H116" s="2">
        <f>H115+0.02</f>
        <v>0.13</v>
      </c>
      <c r="I116" s="2"/>
      <c r="J116" s="2"/>
      <c r="K116" s="2"/>
      <c r="L116" s="2"/>
      <c r="M116" s="2"/>
      <c r="N116" s="2"/>
      <c r="O116" s="2"/>
      <c r="P116" s="2"/>
      <c r="Q116" s="6"/>
      <c r="R116" s="6"/>
      <c r="S116" s="6"/>
      <c r="T116" s="6"/>
      <c r="U116" s="6"/>
      <c r="V116" s="6"/>
      <c r="W116" s="6" t="b">
        <f>FALSE()</f>
        <v>0</v>
      </c>
      <c r="X116" s="6">
        <v>1</v>
      </c>
      <c r="Y116" s="6">
        <v>9999</v>
      </c>
      <c r="Z116" s="6"/>
      <c r="AA116" s="6"/>
      <c r="AB116" s="6"/>
      <c r="AC116" s="6">
        <v>1</v>
      </c>
      <c r="AD116" s="2"/>
      <c r="AE116" s="2"/>
    </row>
    <row r="117" spans="1:31" ht="14.25" customHeight="1">
      <c r="A117" s="6">
        <v>7010</v>
      </c>
      <c r="B117" s="8" t="s">
        <v>1319</v>
      </c>
      <c r="C117" s="2" t="str">
        <f t="shared" si="0"/>
        <v>戰鬥開始時裝備者的攻擊增加15%</v>
      </c>
      <c r="D117" s="2"/>
      <c r="E117" s="2"/>
      <c r="F117" s="2"/>
      <c r="G117" s="2"/>
      <c r="H117" s="2">
        <f>H116+0.02</f>
        <v>0.15</v>
      </c>
      <c r="I117" s="2"/>
      <c r="J117" s="2"/>
      <c r="K117" s="2"/>
      <c r="L117" s="2"/>
      <c r="M117" s="2"/>
      <c r="N117" s="2"/>
      <c r="O117" s="2"/>
      <c r="P117" s="2"/>
      <c r="Q117" s="6"/>
      <c r="R117" s="6"/>
      <c r="S117" s="6"/>
      <c r="T117" s="6"/>
      <c r="U117" s="6"/>
      <c r="V117" s="6"/>
      <c r="W117" s="6" t="b">
        <f>FALSE()</f>
        <v>0</v>
      </c>
      <c r="X117" s="6">
        <v>1</v>
      </c>
      <c r="Y117" s="6">
        <v>9999</v>
      </c>
      <c r="Z117" s="6"/>
      <c r="AA117" s="6"/>
      <c r="AB117" s="6"/>
      <c r="AC117" s="6">
        <v>1</v>
      </c>
      <c r="AD117" s="2"/>
      <c r="AE117" s="2"/>
    </row>
    <row r="118" spans="1:31" ht="14.25" customHeight="1">
      <c r="A118" s="6">
        <v>7011</v>
      </c>
      <c r="B118" s="8" t="s">
        <v>1320</v>
      </c>
      <c r="C118" s="2" t="str">
        <f t="shared" ref="C118:C127" si="1">"戰鬥開始時裝備者的魔攻增加"&amp;I118*100&amp;"%"</f>
        <v>戰鬥開始時裝備者的魔攻增加2%</v>
      </c>
      <c r="D118" s="2"/>
      <c r="E118" s="2"/>
      <c r="F118" s="2"/>
      <c r="G118" s="2"/>
      <c r="H118" s="2"/>
      <c r="I118" s="2">
        <v>0.02</v>
      </c>
      <c r="J118" s="2"/>
      <c r="K118" s="2"/>
      <c r="L118" s="2"/>
      <c r="M118" s="2"/>
      <c r="N118" s="2"/>
      <c r="O118" s="2"/>
      <c r="P118" s="2"/>
      <c r="Q118" s="6"/>
      <c r="R118" s="6"/>
      <c r="S118" s="6"/>
      <c r="T118" s="6"/>
      <c r="U118" s="6"/>
      <c r="V118" s="6"/>
      <c r="W118" s="6" t="b">
        <f>FALSE()</f>
        <v>0</v>
      </c>
      <c r="X118" s="6">
        <v>1</v>
      </c>
      <c r="Y118" s="6">
        <v>9999</v>
      </c>
      <c r="Z118" s="6"/>
      <c r="AA118" s="6"/>
      <c r="AB118" s="6"/>
      <c r="AC118" s="6">
        <v>1</v>
      </c>
      <c r="AD118" s="2"/>
      <c r="AE118" s="2"/>
    </row>
    <row r="119" spans="1:31" ht="14.25" customHeight="1">
      <c r="A119" s="6">
        <v>7012</v>
      </c>
      <c r="B119" s="8" t="s">
        <v>1321</v>
      </c>
      <c r="C119" s="2" t="str">
        <f t="shared" si="1"/>
        <v>戰鬥開始時裝備者的魔攻增加3%</v>
      </c>
      <c r="D119" s="2"/>
      <c r="E119" s="2"/>
      <c r="F119" s="2"/>
      <c r="G119" s="2"/>
      <c r="H119" s="2"/>
      <c r="I119" s="2">
        <f>I118+0.01</f>
        <v>0.03</v>
      </c>
      <c r="J119" s="2"/>
      <c r="K119" s="2"/>
      <c r="L119" s="2"/>
      <c r="M119" s="2"/>
      <c r="N119" s="2"/>
      <c r="O119" s="2"/>
      <c r="P119" s="2"/>
      <c r="Q119" s="6"/>
      <c r="R119" s="6"/>
      <c r="S119" s="6"/>
      <c r="T119" s="6"/>
      <c r="U119" s="6"/>
      <c r="V119" s="6"/>
      <c r="W119" s="6" t="b">
        <f>FALSE()</f>
        <v>0</v>
      </c>
      <c r="X119" s="6">
        <v>1</v>
      </c>
      <c r="Y119" s="6">
        <v>9999</v>
      </c>
      <c r="Z119" s="6"/>
      <c r="AA119" s="6"/>
      <c r="AB119" s="6"/>
      <c r="AC119" s="6">
        <v>1</v>
      </c>
      <c r="AD119" s="2"/>
      <c r="AE119" s="2"/>
    </row>
    <row r="120" spans="1:31" ht="14.25" customHeight="1">
      <c r="A120" s="6">
        <v>7013</v>
      </c>
      <c r="B120" s="8" t="s">
        <v>1322</v>
      </c>
      <c r="C120" s="2" t="str">
        <f t="shared" si="1"/>
        <v>戰鬥開始時裝備者的魔攻增加4%</v>
      </c>
      <c r="D120" s="2"/>
      <c r="E120" s="2"/>
      <c r="F120" s="2"/>
      <c r="G120" s="2"/>
      <c r="H120" s="2"/>
      <c r="I120" s="2">
        <f>I119+0.01</f>
        <v>0.04</v>
      </c>
      <c r="J120" s="2"/>
      <c r="K120" s="2"/>
      <c r="L120" s="2"/>
      <c r="M120" s="2"/>
      <c r="N120" s="2"/>
      <c r="O120" s="2"/>
      <c r="P120" s="2"/>
      <c r="Q120" s="6"/>
      <c r="R120" s="6"/>
      <c r="S120" s="6"/>
      <c r="T120" s="6"/>
      <c r="U120" s="6"/>
      <c r="V120" s="6"/>
      <c r="W120" s="6" t="b">
        <f>FALSE()</f>
        <v>0</v>
      </c>
      <c r="X120" s="6">
        <v>1</v>
      </c>
      <c r="Y120" s="6">
        <v>9999</v>
      </c>
      <c r="Z120" s="6"/>
      <c r="AA120" s="6"/>
      <c r="AB120" s="6"/>
      <c r="AC120" s="6">
        <v>1</v>
      </c>
      <c r="AD120" s="2"/>
      <c r="AE120" s="2"/>
    </row>
    <row r="121" spans="1:31" ht="14.25" customHeight="1">
      <c r="A121" s="6">
        <v>7014</v>
      </c>
      <c r="B121" s="8" t="s">
        <v>1323</v>
      </c>
      <c r="C121" s="2" t="str">
        <f t="shared" si="1"/>
        <v>戰鬥開始時裝備者的魔攻增加5%</v>
      </c>
      <c r="D121" s="2"/>
      <c r="E121" s="2"/>
      <c r="F121" s="2"/>
      <c r="G121" s="2"/>
      <c r="H121" s="2"/>
      <c r="I121" s="2">
        <f>I120+0.01</f>
        <v>0.05</v>
      </c>
      <c r="J121" s="2"/>
      <c r="K121" s="2"/>
      <c r="L121" s="2"/>
      <c r="M121" s="2"/>
      <c r="N121" s="2"/>
      <c r="O121" s="2"/>
      <c r="P121" s="2"/>
      <c r="Q121" s="6"/>
      <c r="R121" s="6"/>
      <c r="S121" s="6"/>
      <c r="T121" s="6"/>
      <c r="U121" s="6"/>
      <c r="V121" s="6"/>
      <c r="W121" s="6" t="b">
        <f>FALSE()</f>
        <v>0</v>
      </c>
      <c r="X121" s="6">
        <v>1</v>
      </c>
      <c r="Y121" s="6">
        <v>9999</v>
      </c>
      <c r="Z121" s="6"/>
      <c r="AA121" s="6"/>
      <c r="AB121" s="6"/>
      <c r="AC121" s="6">
        <v>1</v>
      </c>
      <c r="AD121" s="2"/>
      <c r="AE121" s="2"/>
    </row>
    <row r="122" spans="1:31" ht="14.25" customHeight="1">
      <c r="A122" s="6">
        <v>7015</v>
      </c>
      <c r="B122" s="8" t="s">
        <v>1324</v>
      </c>
      <c r="C122" s="2" t="str">
        <f t="shared" si="1"/>
        <v>戰鬥開始時裝備者的魔攻增加6%</v>
      </c>
      <c r="D122" s="2"/>
      <c r="E122" s="2"/>
      <c r="F122" s="2"/>
      <c r="G122" s="2"/>
      <c r="H122" s="2"/>
      <c r="I122" s="2">
        <f>I121+0.01</f>
        <v>6.0000000000000005E-2</v>
      </c>
      <c r="J122" s="2"/>
      <c r="K122" s="2"/>
      <c r="L122" s="2"/>
      <c r="M122" s="2"/>
      <c r="N122" s="2"/>
      <c r="O122" s="2"/>
      <c r="P122" s="2"/>
      <c r="Q122" s="6"/>
      <c r="R122" s="6"/>
      <c r="S122" s="6"/>
      <c r="T122" s="6"/>
      <c r="U122" s="6"/>
      <c r="V122" s="6"/>
      <c r="W122" s="6" t="b">
        <f>FALSE()</f>
        <v>0</v>
      </c>
      <c r="X122" s="6">
        <v>1</v>
      </c>
      <c r="Y122" s="6">
        <v>9999</v>
      </c>
      <c r="Z122" s="6"/>
      <c r="AA122" s="6"/>
      <c r="AB122" s="6"/>
      <c r="AC122" s="6">
        <v>1</v>
      </c>
      <c r="AD122" s="2"/>
      <c r="AE122" s="2"/>
    </row>
    <row r="123" spans="1:31" ht="14.25" customHeight="1">
      <c r="A123" s="6">
        <v>7016</v>
      </c>
      <c r="B123" s="8" t="s">
        <v>1325</v>
      </c>
      <c r="C123" s="2" t="str">
        <f t="shared" si="1"/>
        <v>戰鬥開始時裝備者的魔攻增加7%</v>
      </c>
      <c r="D123" s="2"/>
      <c r="E123" s="2"/>
      <c r="F123" s="2"/>
      <c r="G123" s="2"/>
      <c r="H123" s="2"/>
      <c r="I123" s="2">
        <f>I122+0.01</f>
        <v>7.0000000000000007E-2</v>
      </c>
      <c r="J123" s="2"/>
      <c r="K123" s="2"/>
      <c r="L123" s="2"/>
      <c r="M123" s="2"/>
      <c r="N123" s="2"/>
      <c r="O123" s="2"/>
      <c r="P123" s="2"/>
      <c r="Q123" s="6"/>
      <c r="R123" s="6"/>
      <c r="S123" s="6"/>
      <c r="T123" s="6"/>
      <c r="U123" s="6"/>
      <c r="V123" s="6"/>
      <c r="W123" s="6" t="b">
        <f>FALSE()</f>
        <v>0</v>
      </c>
      <c r="X123" s="6">
        <v>1</v>
      </c>
      <c r="Y123" s="6">
        <v>9999</v>
      </c>
      <c r="Z123" s="6"/>
      <c r="AA123" s="6"/>
      <c r="AB123" s="6"/>
      <c r="AC123" s="6">
        <v>1</v>
      </c>
      <c r="AD123" s="2"/>
      <c r="AE123" s="2"/>
    </row>
    <row r="124" spans="1:31" ht="14.25" customHeight="1">
      <c r="A124" s="6">
        <v>7017</v>
      </c>
      <c r="B124" s="8" t="s">
        <v>1326</v>
      </c>
      <c r="C124" s="2" t="str">
        <f t="shared" si="1"/>
        <v>戰鬥開始時裝備者的魔攻增加9%</v>
      </c>
      <c r="D124" s="2"/>
      <c r="E124" s="2"/>
      <c r="F124" s="2"/>
      <c r="G124" s="2"/>
      <c r="H124" s="2"/>
      <c r="I124" s="2">
        <f>I123+0.02</f>
        <v>9.0000000000000011E-2</v>
      </c>
      <c r="J124" s="2"/>
      <c r="K124" s="2"/>
      <c r="L124" s="2"/>
      <c r="M124" s="2"/>
      <c r="N124" s="2"/>
      <c r="O124" s="2"/>
      <c r="P124" s="2"/>
      <c r="Q124" s="6"/>
      <c r="R124" s="6"/>
      <c r="S124" s="6"/>
      <c r="T124" s="6"/>
      <c r="U124" s="6"/>
      <c r="V124" s="6"/>
      <c r="W124" s="6" t="b">
        <f>FALSE()</f>
        <v>0</v>
      </c>
      <c r="X124" s="6">
        <v>1</v>
      </c>
      <c r="Y124" s="6">
        <v>9999</v>
      </c>
      <c r="Z124" s="6"/>
      <c r="AA124" s="6"/>
      <c r="AB124" s="6"/>
      <c r="AC124" s="6">
        <v>1</v>
      </c>
      <c r="AD124" s="2"/>
      <c r="AE124" s="2"/>
    </row>
    <row r="125" spans="1:31" ht="14.25" customHeight="1">
      <c r="A125" s="6">
        <v>7018</v>
      </c>
      <c r="B125" s="8" t="s">
        <v>1327</v>
      </c>
      <c r="C125" s="2" t="str">
        <f t="shared" si="1"/>
        <v>戰鬥開始時裝備者的魔攻增加11%</v>
      </c>
      <c r="D125" s="2"/>
      <c r="E125" s="2"/>
      <c r="F125" s="2"/>
      <c r="G125" s="2"/>
      <c r="H125" s="2"/>
      <c r="I125" s="2">
        <f>I124+0.02</f>
        <v>0.11000000000000001</v>
      </c>
      <c r="J125" s="2"/>
      <c r="K125" s="2"/>
      <c r="L125" s="2"/>
      <c r="M125" s="2"/>
      <c r="N125" s="2"/>
      <c r="O125" s="2"/>
      <c r="P125" s="2"/>
      <c r="Q125" s="6"/>
      <c r="R125" s="6"/>
      <c r="S125" s="6"/>
      <c r="T125" s="6"/>
      <c r="U125" s="6"/>
      <c r="V125" s="6"/>
      <c r="W125" s="6" t="b">
        <f>FALSE()</f>
        <v>0</v>
      </c>
      <c r="X125" s="6">
        <v>1</v>
      </c>
      <c r="Y125" s="6">
        <v>9999</v>
      </c>
      <c r="Z125" s="6"/>
      <c r="AA125" s="6"/>
      <c r="AB125" s="6"/>
      <c r="AC125" s="6">
        <v>1</v>
      </c>
      <c r="AD125" s="2"/>
      <c r="AE125" s="2"/>
    </row>
    <row r="126" spans="1:31" ht="14.25" customHeight="1">
      <c r="A126" s="6">
        <v>7019</v>
      </c>
      <c r="B126" s="8" t="s">
        <v>1328</v>
      </c>
      <c r="C126" s="2" t="str">
        <f t="shared" si="1"/>
        <v>戰鬥開始時裝備者的魔攻增加13%</v>
      </c>
      <c r="D126" s="2"/>
      <c r="E126" s="2"/>
      <c r="F126" s="2"/>
      <c r="G126" s="2"/>
      <c r="H126" s="2"/>
      <c r="I126" s="2">
        <f>I125+0.02</f>
        <v>0.13</v>
      </c>
      <c r="J126" s="2"/>
      <c r="K126" s="2"/>
      <c r="L126" s="2"/>
      <c r="M126" s="2"/>
      <c r="N126" s="2"/>
      <c r="O126" s="2"/>
      <c r="P126" s="2"/>
      <c r="Q126" s="6"/>
      <c r="R126" s="6"/>
      <c r="S126" s="6"/>
      <c r="T126" s="6"/>
      <c r="U126" s="6"/>
      <c r="V126" s="6"/>
      <c r="W126" s="6" t="b">
        <f>FALSE()</f>
        <v>0</v>
      </c>
      <c r="X126" s="6">
        <v>1</v>
      </c>
      <c r="Y126" s="6">
        <v>9999</v>
      </c>
      <c r="Z126" s="6"/>
      <c r="AA126" s="6"/>
      <c r="AB126" s="6"/>
      <c r="AC126" s="6">
        <v>1</v>
      </c>
      <c r="AD126" s="2"/>
      <c r="AE126" s="2"/>
    </row>
    <row r="127" spans="1:31" ht="14.25" customHeight="1">
      <c r="A127" s="6">
        <v>7020</v>
      </c>
      <c r="B127" s="8" t="s">
        <v>1329</v>
      </c>
      <c r="C127" s="2" t="str">
        <f t="shared" si="1"/>
        <v>戰鬥開始時裝備者的魔攻增加15%</v>
      </c>
      <c r="D127" s="2"/>
      <c r="E127" s="2"/>
      <c r="F127" s="2"/>
      <c r="G127" s="2"/>
      <c r="H127" s="2"/>
      <c r="I127" s="2">
        <f>I126+0.02</f>
        <v>0.15</v>
      </c>
      <c r="J127" s="2"/>
      <c r="K127" s="2"/>
      <c r="L127" s="2"/>
      <c r="M127" s="2"/>
      <c r="N127" s="2"/>
      <c r="O127" s="2"/>
      <c r="P127" s="2"/>
      <c r="Q127" s="6"/>
      <c r="R127" s="6"/>
      <c r="S127" s="6"/>
      <c r="T127" s="6"/>
      <c r="U127" s="6"/>
      <c r="V127" s="6"/>
      <c r="W127" s="6" t="b">
        <f>FALSE()</f>
        <v>0</v>
      </c>
      <c r="X127" s="6">
        <v>1</v>
      </c>
      <c r="Y127" s="6">
        <v>9999</v>
      </c>
      <c r="Z127" s="6"/>
      <c r="AA127" s="6"/>
      <c r="AB127" s="6"/>
      <c r="AC127" s="6">
        <v>1</v>
      </c>
      <c r="AD127" s="2"/>
      <c r="AE127" s="2"/>
    </row>
    <row r="128" spans="1:31" ht="14.25" customHeight="1">
      <c r="A128" s="6">
        <v>7021</v>
      </c>
      <c r="B128" s="8" t="s">
        <v>1330</v>
      </c>
      <c r="C128" s="2" t="str">
        <f t="shared" ref="C128:C137" si="2">"戰鬥開始時裝備者的魔防增加"&amp;K128*100&amp;"%"</f>
        <v>戰鬥開始時裝備者的魔防增加2%</v>
      </c>
      <c r="D128" s="2"/>
      <c r="E128" s="2"/>
      <c r="F128" s="2"/>
      <c r="G128" s="2"/>
      <c r="H128" s="2"/>
      <c r="I128" s="2"/>
      <c r="J128" s="2"/>
      <c r="K128" s="2">
        <v>0.02</v>
      </c>
      <c r="L128" s="2"/>
      <c r="M128" s="2"/>
      <c r="N128" s="2"/>
      <c r="O128" s="2"/>
      <c r="P128" s="2"/>
      <c r="Q128" s="6"/>
      <c r="R128" s="6"/>
      <c r="S128" s="6"/>
      <c r="T128" s="6"/>
      <c r="U128" s="6"/>
      <c r="V128" s="6"/>
      <c r="W128" s="6" t="b">
        <f>FALSE()</f>
        <v>0</v>
      </c>
      <c r="X128" s="6">
        <v>1</v>
      </c>
      <c r="Y128" s="6">
        <v>9999</v>
      </c>
      <c r="Z128" s="6"/>
      <c r="AA128" s="6"/>
      <c r="AB128" s="6"/>
      <c r="AC128" s="6">
        <v>1</v>
      </c>
      <c r="AD128" s="2"/>
      <c r="AE128" s="2"/>
    </row>
    <row r="129" spans="1:31" ht="14.25" customHeight="1">
      <c r="A129" s="6">
        <v>7022</v>
      </c>
      <c r="B129" s="8" t="s">
        <v>1331</v>
      </c>
      <c r="C129" s="2" t="str">
        <f t="shared" si="2"/>
        <v>戰鬥開始時裝備者的魔防增加3%</v>
      </c>
      <c r="D129" s="2"/>
      <c r="E129" s="2"/>
      <c r="F129" s="2"/>
      <c r="G129" s="2"/>
      <c r="H129" s="2"/>
      <c r="I129" s="2"/>
      <c r="J129" s="2"/>
      <c r="K129" s="2">
        <f>K128+0.01</f>
        <v>0.03</v>
      </c>
      <c r="L129" s="2"/>
      <c r="M129" s="2"/>
      <c r="N129" s="2"/>
      <c r="O129" s="2"/>
      <c r="P129" s="2"/>
      <c r="Q129" s="6"/>
      <c r="R129" s="6"/>
      <c r="S129" s="6"/>
      <c r="T129" s="6"/>
      <c r="U129" s="6"/>
      <c r="V129" s="6"/>
      <c r="W129" s="6" t="b">
        <f>FALSE()</f>
        <v>0</v>
      </c>
      <c r="X129" s="6">
        <v>1</v>
      </c>
      <c r="Y129" s="6">
        <v>9999</v>
      </c>
      <c r="Z129" s="6"/>
      <c r="AA129" s="6"/>
      <c r="AB129" s="6"/>
      <c r="AC129" s="6">
        <v>1</v>
      </c>
      <c r="AD129" s="2"/>
      <c r="AE129" s="2"/>
    </row>
    <row r="130" spans="1:31" ht="14.25" customHeight="1">
      <c r="A130" s="6">
        <v>7023</v>
      </c>
      <c r="B130" s="8" t="s">
        <v>1332</v>
      </c>
      <c r="C130" s="2" t="str">
        <f t="shared" si="2"/>
        <v>戰鬥開始時裝備者的魔防增加4%</v>
      </c>
      <c r="D130" s="2"/>
      <c r="E130" s="2"/>
      <c r="F130" s="2"/>
      <c r="G130" s="2"/>
      <c r="H130" s="2"/>
      <c r="I130" s="2"/>
      <c r="J130" s="2"/>
      <c r="K130" s="2">
        <f>K129+0.01</f>
        <v>0.04</v>
      </c>
      <c r="L130" s="2"/>
      <c r="M130" s="2"/>
      <c r="N130" s="2"/>
      <c r="O130" s="2"/>
      <c r="P130" s="2"/>
      <c r="Q130" s="6"/>
      <c r="R130" s="6"/>
      <c r="S130" s="6"/>
      <c r="T130" s="6"/>
      <c r="U130" s="6"/>
      <c r="V130" s="6"/>
      <c r="W130" s="6" t="b">
        <f>FALSE()</f>
        <v>0</v>
      </c>
      <c r="X130" s="6">
        <v>1</v>
      </c>
      <c r="Y130" s="6">
        <v>9999</v>
      </c>
      <c r="Z130" s="6"/>
      <c r="AA130" s="6"/>
      <c r="AB130" s="6"/>
      <c r="AC130" s="6">
        <v>1</v>
      </c>
      <c r="AD130" s="2"/>
      <c r="AE130" s="2"/>
    </row>
    <row r="131" spans="1:31" ht="14.25" customHeight="1">
      <c r="A131" s="6">
        <v>7024</v>
      </c>
      <c r="B131" s="8" t="s">
        <v>1333</v>
      </c>
      <c r="C131" s="2" t="str">
        <f t="shared" si="2"/>
        <v>戰鬥開始時裝備者的魔防增加5%</v>
      </c>
      <c r="D131" s="2"/>
      <c r="E131" s="2"/>
      <c r="F131" s="2"/>
      <c r="G131" s="2"/>
      <c r="H131" s="2"/>
      <c r="I131" s="2"/>
      <c r="J131" s="2"/>
      <c r="K131" s="2">
        <f>K130+0.01</f>
        <v>0.05</v>
      </c>
      <c r="L131" s="2"/>
      <c r="M131" s="2"/>
      <c r="N131" s="2"/>
      <c r="O131" s="2"/>
      <c r="P131" s="2"/>
      <c r="Q131" s="6"/>
      <c r="R131" s="6"/>
      <c r="S131" s="6"/>
      <c r="T131" s="6"/>
      <c r="U131" s="6"/>
      <c r="V131" s="6"/>
      <c r="W131" s="6" t="b">
        <f>FALSE()</f>
        <v>0</v>
      </c>
      <c r="X131" s="6">
        <v>1</v>
      </c>
      <c r="Y131" s="6">
        <v>9999</v>
      </c>
      <c r="Z131" s="6"/>
      <c r="AA131" s="6"/>
      <c r="AB131" s="6"/>
      <c r="AC131" s="6">
        <v>1</v>
      </c>
      <c r="AD131" s="2"/>
      <c r="AE131" s="2"/>
    </row>
    <row r="132" spans="1:31" ht="14.25" customHeight="1">
      <c r="A132" s="6">
        <v>7025</v>
      </c>
      <c r="B132" s="8" t="s">
        <v>1334</v>
      </c>
      <c r="C132" s="2" t="str">
        <f t="shared" si="2"/>
        <v>戰鬥開始時裝備者的魔防增加6%</v>
      </c>
      <c r="D132" s="2"/>
      <c r="E132" s="2"/>
      <c r="F132" s="2"/>
      <c r="G132" s="2"/>
      <c r="H132" s="2"/>
      <c r="I132" s="2"/>
      <c r="J132" s="2"/>
      <c r="K132" s="2">
        <f>K131+0.01</f>
        <v>6.0000000000000005E-2</v>
      </c>
      <c r="L132" s="2"/>
      <c r="M132" s="2"/>
      <c r="N132" s="2"/>
      <c r="O132" s="2"/>
      <c r="P132" s="2"/>
      <c r="Q132" s="6"/>
      <c r="R132" s="6"/>
      <c r="S132" s="6"/>
      <c r="T132" s="6"/>
      <c r="U132" s="6"/>
      <c r="V132" s="6"/>
      <c r="W132" s="6" t="b">
        <f>FALSE()</f>
        <v>0</v>
      </c>
      <c r="X132" s="6">
        <v>1</v>
      </c>
      <c r="Y132" s="6">
        <v>9999</v>
      </c>
      <c r="Z132" s="6"/>
      <c r="AA132" s="6"/>
      <c r="AB132" s="6"/>
      <c r="AC132" s="6">
        <v>1</v>
      </c>
      <c r="AD132" s="2"/>
      <c r="AE132" s="2"/>
    </row>
    <row r="133" spans="1:31" ht="14.25" customHeight="1">
      <c r="A133" s="6">
        <v>7026</v>
      </c>
      <c r="B133" s="8" t="s">
        <v>1335</v>
      </c>
      <c r="C133" s="2" t="str">
        <f t="shared" si="2"/>
        <v>戰鬥開始時裝備者的魔防增加7%</v>
      </c>
      <c r="D133" s="2"/>
      <c r="E133" s="2"/>
      <c r="F133" s="2"/>
      <c r="G133" s="2"/>
      <c r="H133" s="2"/>
      <c r="I133" s="2"/>
      <c r="J133" s="2"/>
      <c r="K133" s="2">
        <f>K132+0.01</f>
        <v>7.0000000000000007E-2</v>
      </c>
      <c r="L133" s="2"/>
      <c r="M133" s="2"/>
      <c r="N133" s="2"/>
      <c r="O133" s="2"/>
      <c r="P133" s="2"/>
      <c r="Q133" s="6"/>
      <c r="R133" s="6"/>
      <c r="S133" s="6"/>
      <c r="T133" s="6"/>
      <c r="U133" s="6"/>
      <c r="V133" s="6"/>
      <c r="W133" s="6" t="b">
        <f>FALSE()</f>
        <v>0</v>
      </c>
      <c r="X133" s="6">
        <v>1</v>
      </c>
      <c r="Y133" s="6">
        <v>9999</v>
      </c>
      <c r="Z133" s="6"/>
      <c r="AA133" s="6"/>
      <c r="AB133" s="6"/>
      <c r="AC133" s="6">
        <v>1</v>
      </c>
      <c r="AD133" s="2"/>
      <c r="AE133" s="2"/>
    </row>
    <row r="134" spans="1:31" ht="14.25" customHeight="1">
      <c r="A134" s="6">
        <v>7027</v>
      </c>
      <c r="B134" s="8" t="s">
        <v>1336</v>
      </c>
      <c r="C134" s="2" t="str">
        <f t="shared" si="2"/>
        <v>戰鬥開始時裝備者的魔防增加9%</v>
      </c>
      <c r="D134" s="2"/>
      <c r="E134" s="2"/>
      <c r="F134" s="2"/>
      <c r="G134" s="2"/>
      <c r="H134" s="2"/>
      <c r="I134" s="2"/>
      <c r="J134" s="2"/>
      <c r="K134" s="2">
        <f>K133+0.02</f>
        <v>9.0000000000000011E-2</v>
      </c>
      <c r="L134" s="2"/>
      <c r="M134" s="2"/>
      <c r="N134" s="2"/>
      <c r="O134" s="2"/>
      <c r="P134" s="2"/>
      <c r="Q134" s="6"/>
      <c r="R134" s="6"/>
      <c r="S134" s="6"/>
      <c r="T134" s="6"/>
      <c r="U134" s="6"/>
      <c r="V134" s="6"/>
      <c r="W134" s="6" t="b">
        <f>FALSE()</f>
        <v>0</v>
      </c>
      <c r="X134" s="6">
        <v>1</v>
      </c>
      <c r="Y134" s="6">
        <v>9999</v>
      </c>
      <c r="Z134" s="6"/>
      <c r="AA134" s="6"/>
      <c r="AB134" s="6"/>
      <c r="AC134" s="6">
        <v>1</v>
      </c>
      <c r="AD134" s="2"/>
      <c r="AE134" s="2"/>
    </row>
    <row r="135" spans="1:31" ht="14.25" customHeight="1">
      <c r="A135" s="6">
        <v>7028</v>
      </c>
      <c r="B135" s="8" t="s">
        <v>1337</v>
      </c>
      <c r="C135" s="2" t="str">
        <f t="shared" si="2"/>
        <v>戰鬥開始時裝備者的魔防增加11%</v>
      </c>
      <c r="D135" s="2"/>
      <c r="E135" s="2"/>
      <c r="F135" s="2"/>
      <c r="G135" s="2"/>
      <c r="H135" s="2"/>
      <c r="I135" s="2"/>
      <c r="J135" s="2"/>
      <c r="K135" s="2">
        <f>K134+0.02</f>
        <v>0.11000000000000001</v>
      </c>
      <c r="L135" s="2"/>
      <c r="M135" s="2"/>
      <c r="N135" s="2"/>
      <c r="O135" s="2"/>
      <c r="P135" s="2"/>
      <c r="Q135" s="6"/>
      <c r="R135" s="6"/>
      <c r="S135" s="6"/>
      <c r="T135" s="6"/>
      <c r="U135" s="6"/>
      <c r="V135" s="6"/>
      <c r="W135" s="6" t="b">
        <f>FALSE()</f>
        <v>0</v>
      </c>
      <c r="X135" s="6">
        <v>1</v>
      </c>
      <c r="Y135" s="6">
        <v>9999</v>
      </c>
      <c r="Z135" s="6"/>
      <c r="AA135" s="6"/>
      <c r="AB135" s="6"/>
      <c r="AC135" s="6">
        <v>1</v>
      </c>
      <c r="AD135" s="2"/>
      <c r="AE135" s="2"/>
    </row>
    <row r="136" spans="1:31" ht="14.25" customHeight="1">
      <c r="A136" s="6">
        <v>7029</v>
      </c>
      <c r="B136" s="8" t="s">
        <v>1338</v>
      </c>
      <c r="C136" s="2" t="str">
        <f t="shared" si="2"/>
        <v>戰鬥開始時裝備者的魔防增加13%</v>
      </c>
      <c r="D136" s="2"/>
      <c r="E136" s="2"/>
      <c r="F136" s="2"/>
      <c r="G136" s="2"/>
      <c r="H136" s="2"/>
      <c r="I136" s="2"/>
      <c r="J136" s="2"/>
      <c r="K136" s="2">
        <f>K135+0.02</f>
        <v>0.13</v>
      </c>
      <c r="L136" s="2"/>
      <c r="M136" s="2"/>
      <c r="N136" s="2"/>
      <c r="O136" s="2"/>
      <c r="P136" s="2"/>
      <c r="Q136" s="6"/>
      <c r="R136" s="6"/>
      <c r="S136" s="6"/>
      <c r="T136" s="6"/>
      <c r="U136" s="6"/>
      <c r="V136" s="6"/>
      <c r="W136" s="6" t="b">
        <f>FALSE()</f>
        <v>0</v>
      </c>
      <c r="X136" s="6">
        <v>1</v>
      </c>
      <c r="Y136" s="6">
        <v>9999</v>
      </c>
      <c r="Z136" s="6"/>
      <c r="AA136" s="6"/>
      <c r="AB136" s="6"/>
      <c r="AC136" s="6">
        <v>1</v>
      </c>
      <c r="AD136" s="2"/>
      <c r="AE136" s="2"/>
    </row>
    <row r="137" spans="1:31" ht="14.25" customHeight="1">
      <c r="A137" s="6">
        <v>7030</v>
      </c>
      <c r="B137" s="8" t="s">
        <v>1339</v>
      </c>
      <c r="C137" s="2" t="str">
        <f t="shared" si="2"/>
        <v>戰鬥開始時裝備者的魔防增加15%</v>
      </c>
      <c r="D137" s="2"/>
      <c r="E137" s="2"/>
      <c r="F137" s="2"/>
      <c r="G137" s="2"/>
      <c r="H137" s="2"/>
      <c r="I137" s="2"/>
      <c r="J137" s="2"/>
      <c r="K137" s="2">
        <f>K136+0.02</f>
        <v>0.15</v>
      </c>
      <c r="L137" s="2"/>
      <c r="M137" s="2"/>
      <c r="N137" s="2"/>
      <c r="O137" s="2"/>
      <c r="P137" s="2"/>
      <c r="Q137" s="6"/>
      <c r="R137" s="6"/>
      <c r="S137" s="6"/>
      <c r="T137" s="6"/>
      <c r="U137" s="6"/>
      <c r="V137" s="6"/>
      <c r="W137" s="6" t="b">
        <f>FALSE()</f>
        <v>0</v>
      </c>
      <c r="X137" s="6">
        <v>1</v>
      </c>
      <c r="Y137" s="6">
        <v>9999</v>
      </c>
      <c r="Z137" s="6"/>
      <c r="AA137" s="6"/>
      <c r="AB137" s="6"/>
      <c r="AC137" s="6">
        <v>1</v>
      </c>
      <c r="AD137" s="2"/>
      <c r="AE137" s="2"/>
    </row>
    <row r="138" spans="1:31" ht="14.25" customHeight="1">
      <c r="A138" s="6">
        <v>7031</v>
      </c>
      <c r="B138" s="8" t="s">
        <v>1340</v>
      </c>
      <c r="C138" s="2" t="str">
        <f t="shared" ref="C138:C147" si="3">"戰鬥開始時裝備者的物防增加"&amp;J138*100&amp;"%"</f>
        <v>戰鬥開始時裝備者的物防增加2%</v>
      </c>
      <c r="D138" s="2"/>
      <c r="E138" s="2"/>
      <c r="F138" s="2"/>
      <c r="G138" s="2"/>
      <c r="H138" s="2"/>
      <c r="I138" s="2"/>
      <c r="J138" s="2">
        <v>0.02</v>
      </c>
      <c r="K138" s="2"/>
      <c r="L138" s="2"/>
      <c r="M138" s="2"/>
      <c r="N138" s="2"/>
      <c r="O138" s="2"/>
      <c r="P138" s="2"/>
      <c r="Q138" s="6"/>
      <c r="R138" s="6"/>
      <c r="S138" s="6"/>
      <c r="T138" s="6"/>
      <c r="U138" s="6"/>
      <c r="V138" s="6"/>
      <c r="W138" s="6" t="b">
        <f>FALSE()</f>
        <v>0</v>
      </c>
      <c r="X138" s="6">
        <v>1</v>
      </c>
      <c r="Y138" s="6">
        <v>9999</v>
      </c>
      <c r="Z138" s="6"/>
      <c r="AA138" s="6"/>
      <c r="AB138" s="6"/>
      <c r="AC138" s="6">
        <v>1</v>
      </c>
      <c r="AD138" s="2"/>
      <c r="AE138" s="2"/>
    </row>
    <row r="139" spans="1:31" ht="14.25" customHeight="1">
      <c r="A139" s="6">
        <v>7032</v>
      </c>
      <c r="B139" s="8" t="s">
        <v>1341</v>
      </c>
      <c r="C139" s="2" t="str">
        <f t="shared" si="3"/>
        <v>戰鬥開始時裝備者的物防增加3%</v>
      </c>
      <c r="D139" s="2"/>
      <c r="E139" s="2"/>
      <c r="F139" s="2"/>
      <c r="G139" s="2"/>
      <c r="H139" s="2"/>
      <c r="I139" s="2"/>
      <c r="J139" s="2">
        <f>J138+0.01</f>
        <v>0.03</v>
      </c>
      <c r="K139" s="2"/>
      <c r="L139" s="2"/>
      <c r="M139" s="2"/>
      <c r="N139" s="2"/>
      <c r="O139" s="2"/>
      <c r="P139" s="2"/>
      <c r="Q139" s="6"/>
      <c r="R139" s="6"/>
      <c r="S139" s="6"/>
      <c r="T139" s="6"/>
      <c r="U139" s="6"/>
      <c r="V139" s="6"/>
      <c r="W139" s="6" t="b">
        <f>FALSE()</f>
        <v>0</v>
      </c>
      <c r="X139" s="6">
        <v>1</v>
      </c>
      <c r="Y139" s="6">
        <v>9999</v>
      </c>
      <c r="Z139" s="6"/>
      <c r="AA139" s="6"/>
      <c r="AB139" s="6"/>
      <c r="AC139" s="6">
        <v>1</v>
      </c>
      <c r="AD139" s="2"/>
      <c r="AE139" s="2"/>
    </row>
    <row r="140" spans="1:31" ht="14.25" customHeight="1">
      <c r="A140" s="6">
        <v>7033</v>
      </c>
      <c r="B140" s="8" t="s">
        <v>1342</v>
      </c>
      <c r="C140" s="2" t="str">
        <f t="shared" si="3"/>
        <v>戰鬥開始時裝備者的物防增加4%</v>
      </c>
      <c r="D140" s="2"/>
      <c r="E140" s="2"/>
      <c r="F140" s="2"/>
      <c r="G140" s="2"/>
      <c r="H140" s="2"/>
      <c r="I140" s="2"/>
      <c r="J140" s="2">
        <f>J139+0.01</f>
        <v>0.04</v>
      </c>
      <c r="K140" s="2"/>
      <c r="L140" s="2"/>
      <c r="M140" s="2"/>
      <c r="N140" s="2"/>
      <c r="O140" s="2"/>
      <c r="P140" s="2"/>
      <c r="Q140" s="6"/>
      <c r="R140" s="6"/>
      <c r="S140" s="6"/>
      <c r="T140" s="6"/>
      <c r="U140" s="6"/>
      <c r="V140" s="6"/>
      <c r="W140" s="6" t="b">
        <f>FALSE()</f>
        <v>0</v>
      </c>
      <c r="X140" s="6">
        <v>1</v>
      </c>
      <c r="Y140" s="6">
        <v>9999</v>
      </c>
      <c r="Z140" s="6"/>
      <c r="AA140" s="6"/>
      <c r="AB140" s="6"/>
      <c r="AC140" s="6">
        <v>1</v>
      </c>
      <c r="AD140" s="2"/>
      <c r="AE140" s="2"/>
    </row>
    <row r="141" spans="1:31" ht="14.25" customHeight="1">
      <c r="A141" s="6">
        <v>7034</v>
      </c>
      <c r="B141" s="8" t="s">
        <v>1343</v>
      </c>
      <c r="C141" s="2" t="str">
        <f t="shared" si="3"/>
        <v>戰鬥開始時裝備者的物防增加5%</v>
      </c>
      <c r="D141" s="2"/>
      <c r="E141" s="2"/>
      <c r="F141" s="2"/>
      <c r="G141" s="2"/>
      <c r="H141" s="2"/>
      <c r="I141" s="2"/>
      <c r="J141" s="2">
        <f>J140+0.01</f>
        <v>0.05</v>
      </c>
      <c r="K141" s="2"/>
      <c r="L141" s="2"/>
      <c r="M141" s="2"/>
      <c r="N141" s="2"/>
      <c r="O141" s="2"/>
      <c r="P141" s="2"/>
      <c r="Q141" s="6"/>
      <c r="R141" s="6"/>
      <c r="S141" s="6"/>
      <c r="T141" s="6"/>
      <c r="U141" s="6"/>
      <c r="V141" s="6"/>
      <c r="W141" s="6" t="b">
        <f>FALSE()</f>
        <v>0</v>
      </c>
      <c r="X141" s="6">
        <v>1</v>
      </c>
      <c r="Y141" s="6">
        <v>9999</v>
      </c>
      <c r="Z141" s="6"/>
      <c r="AA141" s="6"/>
      <c r="AB141" s="6"/>
      <c r="AC141" s="6">
        <v>1</v>
      </c>
      <c r="AD141" s="2"/>
      <c r="AE141" s="2"/>
    </row>
    <row r="142" spans="1:31" ht="14.25" customHeight="1">
      <c r="A142" s="6">
        <v>7035</v>
      </c>
      <c r="B142" s="8" t="s">
        <v>1344</v>
      </c>
      <c r="C142" s="2" t="str">
        <f t="shared" si="3"/>
        <v>戰鬥開始時裝備者的物防增加6%</v>
      </c>
      <c r="D142" s="2"/>
      <c r="E142" s="2"/>
      <c r="F142" s="2"/>
      <c r="G142" s="2"/>
      <c r="H142" s="2"/>
      <c r="I142" s="2"/>
      <c r="J142" s="2">
        <f>J141+0.01</f>
        <v>6.0000000000000005E-2</v>
      </c>
      <c r="K142" s="2"/>
      <c r="L142" s="2"/>
      <c r="M142" s="2"/>
      <c r="N142" s="2"/>
      <c r="O142" s="2"/>
      <c r="P142" s="2"/>
      <c r="Q142" s="6"/>
      <c r="R142" s="6"/>
      <c r="S142" s="6"/>
      <c r="T142" s="6"/>
      <c r="U142" s="6"/>
      <c r="V142" s="6"/>
      <c r="W142" s="6" t="b">
        <f>FALSE()</f>
        <v>0</v>
      </c>
      <c r="X142" s="6">
        <v>1</v>
      </c>
      <c r="Y142" s="6">
        <v>9999</v>
      </c>
      <c r="Z142" s="6"/>
      <c r="AA142" s="6"/>
      <c r="AB142" s="6"/>
      <c r="AC142" s="6">
        <v>1</v>
      </c>
      <c r="AD142" s="2"/>
      <c r="AE142" s="2"/>
    </row>
    <row r="143" spans="1:31" ht="14.25" customHeight="1">
      <c r="A143" s="6">
        <v>7036</v>
      </c>
      <c r="B143" s="8" t="s">
        <v>1345</v>
      </c>
      <c r="C143" s="2" t="str">
        <f t="shared" si="3"/>
        <v>戰鬥開始時裝備者的物防增加7%</v>
      </c>
      <c r="D143" s="2"/>
      <c r="E143" s="2"/>
      <c r="F143" s="2"/>
      <c r="G143" s="2"/>
      <c r="H143" s="2"/>
      <c r="I143" s="2"/>
      <c r="J143" s="2">
        <f>J142+0.01</f>
        <v>7.0000000000000007E-2</v>
      </c>
      <c r="K143" s="2"/>
      <c r="L143" s="2"/>
      <c r="M143" s="2"/>
      <c r="N143" s="2"/>
      <c r="O143" s="2"/>
      <c r="P143" s="2"/>
      <c r="Q143" s="6"/>
      <c r="R143" s="6"/>
      <c r="S143" s="6"/>
      <c r="T143" s="6"/>
      <c r="U143" s="6"/>
      <c r="V143" s="6"/>
      <c r="W143" s="6" t="b">
        <f>FALSE()</f>
        <v>0</v>
      </c>
      <c r="X143" s="6">
        <v>1</v>
      </c>
      <c r="Y143" s="6">
        <v>9999</v>
      </c>
      <c r="Z143" s="6"/>
      <c r="AA143" s="6"/>
      <c r="AB143" s="6"/>
      <c r="AC143" s="6">
        <v>1</v>
      </c>
      <c r="AD143" s="2"/>
      <c r="AE143" s="2"/>
    </row>
    <row r="144" spans="1:31" ht="14.25" customHeight="1">
      <c r="A144" s="6">
        <v>7037</v>
      </c>
      <c r="B144" s="8" t="s">
        <v>1346</v>
      </c>
      <c r="C144" s="2" t="str">
        <f t="shared" si="3"/>
        <v>戰鬥開始時裝備者的物防增加9%</v>
      </c>
      <c r="D144" s="2"/>
      <c r="E144" s="2"/>
      <c r="F144" s="2"/>
      <c r="G144" s="2"/>
      <c r="H144" s="2"/>
      <c r="I144" s="2"/>
      <c r="J144" s="2">
        <f>J143+0.02</f>
        <v>9.0000000000000011E-2</v>
      </c>
      <c r="K144" s="2"/>
      <c r="L144" s="2"/>
      <c r="M144" s="2"/>
      <c r="N144" s="2"/>
      <c r="O144" s="2"/>
      <c r="P144" s="2"/>
      <c r="Q144" s="6"/>
      <c r="R144" s="6"/>
      <c r="S144" s="6"/>
      <c r="T144" s="6"/>
      <c r="U144" s="6"/>
      <c r="V144" s="6"/>
      <c r="W144" s="6" t="b">
        <f>FALSE()</f>
        <v>0</v>
      </c>
      <c r="X144" s="6">
        <v>1</v>
      </c>
      <c r="Y144" s="6">
        <v>9999</v>
      </c>
      <c r="Z144" s="6"/>
      <c r="AA144" s="6"/>
      <c r="AB144" s="6"/>
      <c r="AC144" s="6">
        <v>1</v>
      </c>
      <c r="AD144" s="2"/>
      <c r="AE144" s="2"/>
    </row>
    <row r="145" spans="1:31" ht="14.25" customHeight="1">
      <c r="A145" s="6">
        <v>7038</v>
      </c>
      <c r="B145" s="8" t="s">
        <v>1347</v>
      </c>
      <c r="C145" s="2" t="str">
        <f t="shared" si="3"/>
        <v>戰鬥開始時裝備者的物防增加11%</v>
      </c>
      <c r="D145" s="2"/>
      <c r="E145" s="2"/>
      <c r="F145" s="2"/>
      <c r="G145" s="2"/>
      <c r="H145" s="2"/>
      <c r="I145" s="2"/>
      <c r="J145" s="2">
        <f>J144+0.02</f>
        <v>0.11000000000000001</v>
      </c>
      <c r="K145" s="2"/>
      <c r="L145" s="2"/>
      <c r="M145" s="2"/>
      <c r="N145" s="2"/>
      <c r="O145" s="2"/>
      <c r="P145" s="2"/>
      <c r="Q145" s="6"/>
      <c r="R145" s="6"/>
      <c r="S145" s="6"/>
      <c r="T145" s="6"/>
      <c r="U145" s="6"/>
      <c r="V145" s="6"/>
      <c r="W145" s="6" t="b">
        <f>FALSE()</f>
        <v>0</v>
      </c>
      <c r="X145" s="6">
        <v>1</v>
      </c>
      <c r="Y145" s="6">
        <v>9999</v>
      </c>
      <c r="Z145" s="6"/>
      <c r="AA145" s="6"/>
      <c r="AB145" s="6"/>
      <c r="AC145" s="6">
        <v>1</v>
      </c>
      <c r="AD145" s="2"/>
      <c r="AE145" s="2"/>
    </row>
    <row r="146" spans="1:31" ht="14.25" customHeight="1">
      <c r="A146" s="6">
        <v>7039</v>
      </c>
      <c r="B146" s="8" t="s">
        <v>1348</v>
      </c>
      <c r="C146" s="2" t="str">
        <f t="shared" si="3"/>
        <v>戰鬥開始時裝備者的物防增加13%</v>
      </c>
      <c r="D146" s="2"/>
      <c r="E146" s="2"/>
      <c r="F146" s="2"/>
      <c r="G146" s="2"/>
      <c r="H146" s="2"/>
      <c r="I146" s="2"/>
      <c r="J146" s="2">
        <f>J145+0.02</f>
        <v>0.13</v>
      </c>
      <c r="K146" s="2"/>
      <c r="L146" s="2"/>
      <c r="M146" s="2"/>
      <c r="N146" s="2"/>
      <c r="O146" s="2"/>
      <c r="P146" s="2"/>
      <c r="Q146" s="6"/>
      <c r="R146" s="6"/>
      <c r="S146" s="6"/>
      <c r="T146" s="6"/>
      <c r="U146" s="6"/>
      <c r="V146" s="6"/>
      <c r="W146" s="6" t="b">
        <f>FALSE()</f>
        <v>0</v>
      </c>
      <c r="X146" s="6">
        <v>1</v>
      </c>
      <c r="Y146" s="6">
        <v>9999</v>
      </c>
      <c r="Z146" s="6"/>
      <c r="AA146" s="6"/>
      <c r="AB146" s="6"/>
      <c r="AC146" s="6">
        <v>1</v>
      </c>
      <c r="AD146" s="2"/>
      <c r="AE146" s="2"/>
    </row>
    <row r="147" spans="1:31" ht="14.25" customHeight="1">
      <c r="A147" s="6">
        <v>7040</v>
      </c>
      <c r="B147" s="8" t="s">
        <v>1349</v>
      </c>
      <c r="C147" s="2" t="str">
        <f t="shared" si="3"/>
        <v>戰鬥開始時裝備者的物防增加15%</v>
      </c>
      <c r="D147" s="2"/>
      <c r="E147" s="2"/>
      <c r="F147" s="2"/>
      <c r="G147" s="2"/>
      <c r="H147" s="2"/>
      <c r="I147" s="2"/>
      <c r="J147" s="2">
        <f>J146+0.02</f>
        <v>0.15</v>
      </c>
      <c r="K147" s="2"/>
      <c r="L147" s="2"/>
      <c r="M147" s="2"/>
      <c r="N147" s="2"/>
      <c r="O147" s="2"/>
      <c r="P147" s="2"/>
      <c r="Q147" s="6"/>
      <c r="R147" s="6"/>
      <c r="S147" s="6"/>
      <c r="T147" s="6"/>
      <c r="U147" s="6"/>
      <c r="V147" s="6"/>
      <c r="W147" s="6" t="b">
        <f>FALSE()</f>
        <v>0</v>
      </c>
      <c r="X147" s="6">
        <v>1</v>
      </c>
      <c r="Y147" s="6">
        <v>9999</v>
      </c>
      <c r="Z147" s="6"/>
      <c r="AA147" s="6"/>
      <c r="AB147" s="6"/>
      <c r="AC147" s="6">
        <v>1</v>
      </c>
      <c r="AD147" s="2"/>
      <c r="AE147" s="2"/>
    </row>
    <row r="148" spans="1:31" ht="14.25" customHeight="1">
      <c r="A148" s="6">
        <v>7041</v>
      </c>
      <c r="B148" s="8" t="s">
        <v>1350</v>
      </c>
      <c r="C148" s="2" t="str">
        <f t="shared" ref="C148:C157" si="4">"戰鬥開始時裝備者的技能傷害增加"&amp;S148*100&amp;"%"</f>
        <v>戰鬥開始時裝備者的技能傷害增加5%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6"/>
      <c r="R148" s="6"/>
      <c r="S148" s="2">
        <v>0.05</v>
      </c>
      <c r="T148" s="6"/>
      <c r="U148" s="6"/>
      <c r="V148" s="6"/>
      <c r="W148" s="6" t="b">
        <f>FALSE()</f>
        <v>0</v>
      </c>
      <c r="X148" s="6">
        <v>1</v>
      </c>
      <c r="Y148" s="6">
        <v>9999</v>
      </c>
      <c r="Z148" s="6"/>
      <c r="AA148" s="6"/>
      <c r="AB148" s="6"/>
      <c r="AC148" s="6">
        <v>1</v>
      </c>
      <c r="AD148" s="2"/>
      <c r="AE148" s="2"/>
    </row>
    <row r="149" spans="1:31" ht="14.25" customHeight="1">
      <c r="A149" s="6">
        <v>7042</v>
      </c>
      <c r="B149" s="8" t="s">
        <v>1351</v>
      </c>
      <c r="C149" s="2" t="str">
        <f t="shared" si="4"/>
        <v>戰鬥開始時裝備者的技能傷害增加7.5%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6"/>
      <c r="R149" s="6"/>
      <c r="S149" s="2">
        <f>S148+0.025</f>
        <v>7.5000000000000011E-2</v>
      </c>
      <c r="T149" s="6"/>
      <c r="U149" s="6"/>
      <c r="V149" s="6"/>
      <c r="W149" s="6" t="b">
        <f>FALSE()</f>
        <v>0</v>
      </c>
      <c r="X149" s="6">
        <v>1</v>
      </c>
      <c r="Y149" s="6">
        <v>9999</v>
      </c>
      <c r="Z149" s="6"/>
      <c r="AA149" s="6"/>
      <c r="AB149" s="6"/>
      <c r="AC149" s="6">
        <v>1</v>
      </c>
      <c r="AD149" s="2"/>
      <c r="AE149" s="2"/>
    </row>
    <row r="150" spans="1:31" ht="14.25" customHeight="1">
      <c r="A150" s="6">
        <v>7043</v>
      </c>
      <c r="B150" s="8" t="s">
        <v>1352</v>
      </c>
      <c r="C150" s="2" t="str">
        <f t="shared" si="4"/>
        <v>戰鬥開始時裝備者的技能傷害增加10%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6"/>
      <c r="R150" s="6"/>
      <c r="S150" s="2">
        <f>S149+0.025</f>
        <v>0.1</v>
      </c>
      <c r="T150" s="6"/>
      <c r="U150" s="6"/>
      <c r="V150" s="6"/>
      <c r="W150" s="6" t="b">
        <f>FALSE()</f>
        <v>0</v>
      </c>
      <c r="X150" s="6">
        <v>1</v>
      </c>
      <c r="Y150" s="6">
        <v>9999</v>
      </c>
      <c r="Z150" s="6"/>
      <c r="AA150" s="6"/>
      <c r="AB150" s="6"/>
      <c r="AC150" s="6">
        <v>1</v>
      </c>
      <c r="AD150" s="2"/>
      <c r="AE150" s="2"/>
    </row>
    <row r="151" spans="1:31" ht="14.25" customHeight="1">
      <c r="A151" s="6">
        <v>7044</v>
      </c>
      <c r="B151" s="8" t="s">
        <v>1353</v>
      </c>
      <c r="C151" s="2" t="str">
        <f t="shared" si="4"/>
        <v>戰鬥開始時裝備者的技能傷害增加12.5%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6"/>
      <c r="R151" s="6"/>
      <c r="S151" s="2">
        <f>S150+0.025</f>
        <v>0.125</v>
      </c>
      <c r="T151" s="6"/>
      <c r="U151" s="6"/>
      <c r="V151" s="6"/>
      <c r="W151" s="6" t="b">
        <f>FALSE()</f>
        <v>0</v>
      </c>
      <c r="X151" s="6">
        <v>1</v>
      </c>
      <c r="Y151" s="6">
        <v>9999</v>
      </c>
      <c r="Z151" s="6"/>
      <c r="AA151" s="6"/>
      <c r="AB151" s="6"/>
      <c r="AC151" s="6">
        <v>1</v>
      </c>
      <c r="AD151" s="2"/>
      <c r="AE151" s="2"/>
    </row>
    <row r="152" spans="1:31" ht="14.25" customHeight="1">
      <c r="A152" s="6">
        <v>7045</v>
      </c>
      <c r="B152" s="8" t="s">
        <v>1354</v>
      </c>
      <c r="C152" s="2" t="str">
        <f t="shared" si="4"/>
        <v>戰鬥開始時裝備者的技能傷害增加17.5%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6"/>
      <c r="R152" s="6"/>
      <c r="S152" s="2">
        <f>S151+0.05</f>
        <v>0.17499999999999999</v>
      </c>
      <c r="T152" s="6"/>
      <c r="U152" s="6"/>
      <c r="V152" s="6"/>
      <c r="W152" s="6" t="b">
        <f>FALSE()</f>
        <v>0</v>
      </c>
      <c r="X152" s="6">
        <v>1</v>
      </c>
      <c r="Y152" s="6">
        <v>9999</v>
      </c>
      <c r="Z152" s="6"/>
      <c r="AA152" s="6"/>
      <c r="AB152" s="6"/>
      <c r="AC152" s="6">
        <v>1</v>
      </c>
      <c r="AD152" s="2"/>
      <c r="AE152" s="2"/>
    </row>
    <row r="153" spans="1:31" ht="14.25" customHeight="1">
      <c r="A153" s="6">
        <v>7046</v>
      </c>
      <c r="B153" s="8" t="s">
        <v>1355</v>
      </c>
      <c r="C153" s="2" t="str">
        <f t="shared" si="4"/>
        <v>戰鬥開始時裝備者的技能傷害增加22.5%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6"/>
      <c r="R153" s="6"/>
      <c r="S153" s="2">
        <f>S152+0.05</f>
        <v>0.22499999999999998</v>
      </c>
      <c r="T153" s="6"/>
      <c r="U153" s="6"/>
      <c r="V153" s="6"/>
      <c r="W153" s="6" t="b">
        <f>FALSE()</f>
        <v>0</v>
      </c>
      <c r="X153" s="6">
        <v>1</v>
      </c>
      <c r="Y153" s="6">
        <v>9999</v>
      </c>
      <c r="Z153" s="6"/>
      <c r="AA153" s="6"/>
      <c r="AB153" s="6"/>
      <c r="AC153" s="6">
        <v>1</v>
      </c>
      <c r="AD153" s="2"/>
      <c r="AE153" s="2"/>
    </row>
    <row r="154" spans="1:31" ht="14.25" customHeight="1">
      <c r="A154" s="6">
        <v>7047</v>
      </c>
      <c r="B154" s="8" t="s">
        <v>1356</v>
      </c>
      <c r="C154" s="2" t="str">
        <f t="shared" si="4"/>
        <v>戰鬥開始時裝備者的技能傷害增加27.5%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6"/>
      <c r="R154" s="6"/>
      <c r="S154" s="2">
        <f>S153+0.05</f>
        <v>0.27499999999999997</v>
      </c>
      <c r="T154" s="6"/>
      <c r="U154" s="6"/>
      <c r="V154" s="6"/>
      <c r="W154" s="6" t="b">
        <f>FALSE()</f>
        <v>0</v>
      </c>
      <c r="X154" s="6">
        <v>1</v>
      </c>
      <c r="Y154" s="6">
        <v>9999</v>
      </c>
      <c r="Z154" s="6"/>
      <c r="AA154" s="6"/>
      <c r="AB154" s="6"/>
      <c r="AC154" s="6">
        <v>1</v>
      </c>
      <c r="AD154" s="2"/>
      <c r="AE154" s="2"/>
    </row>
    <row r="155" spans="1:31" ht="14.25" customHeight="1">
      <c r="A155" s="6">
        <v>7048</v>
      </c>
      <c r="B155" s="8" t="s">
        <v>1357</v>
      </c>
      <c r="C155" s="2" t="str">
        <f t="shared" si="4"/>
        <v>戰鬥開始時裝備者的技能傷害增加34.5%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6"/>
      <c r="R155" s="6"/>
      <c r="S155" s="2">
        <f>S154+0.07</f>
        <v>0.34499999999999997</v>
      </c>
      <c r="T155" s="6"/>
      <c r="U155" s="6"/>
      <c r="V155" s="6"/>
      <c r="W155" s="6" t="b">
        <f>FALSE()</f>
        <v>0</v>
      </c>
      <c r="X155" s="6">
        <v>1</v>
      </c>
      <c r="Y155" s="6">
        <v>9999</v>
      </c>
      <c r="Z155" s="6"/>
      <c r="AA155" s="6"/>
      <c r="AB155" s="6"/>
      <c r="AC155" s="6">
        <v>1</v>
      </c>
      <c r="AD155" s="2"/>
      <c r="AE155" s="2"/>
    </row>
    <row r="156" spans="1:31" ht="14.25" customHeight="1">
      <c r="A156" s="6">
        <v>7049</v>
      </c>
      <c r="B156" s="8" t="s">
        <v>1358</v>
      </c>
      <c r="C156" s="2" t="str">
        <f t="shared" si="4"/>
        <v>戰鬥開始時裝備者的技能傷害增加41.5%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6"/>
      <c r="R156" s="6"/>
      <c r="S156" s="2">
        <f>S155+0.07</f>
        <v>0.41499999999999998</v>
      </c>
      <c r="T156" s="6"/>
      <c r="U156" s="6"/>
      <c r="V156" s="6"/>
      <c r="W156" s="6" t="b">
        <f>FALSE()</f>
        <v>0</v>
      </c>
      <c r="X156" s="6">
        <v>1</v>
      </c>
      <c r="Y156" s="6">
        <v>9999</v>
      </c>
      <c r="Z156" s="6"/>
      <c r="AA156" s="6"/>
      <c r="AB156" s="6"/>
      <c r="AC156" s="6">
        <v>1</v>
      </c>
      <c r="AD156" s="2"/>
      <c r="AE156" s="2"/>
    </row>
    <row r="157" spans="1:31" ht="14.25" customHeight="1">
      <c r="A157" s="6">
        <v>7050</v>
      </c>
      <c r="B157" s="8" t="s">
        <v>1359</v>
      </c>
      <c r="C157" s="2" t="str">
        <f t="shared" si="4"/>
        <v>戰鬥開始時裝備者的技能傷害增加48.5%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6"/>
      <c r="R157" s="6"/>
      <c r="S157" s="2">
        <f>S156+0.07</f>
        <v>0.48499999999999999</v>
      </c>
      <c r="T157" s="6"/>
      <c r="U157" s="6"/>
      <c r="V157" s="6"/>
      <c r="W157" s="6" t="b">
        <f>FALSE()</f>
        <v>0</v>
      </c>
      <c r="X157" s="6">
        <v>1</v>
      </c>
      <c r="Y157" s="6">
        <v>9999</v>
      </c>
      <c r="Z157" s="6"/>
      <c r="AA157" s="6"/>
      <c r="AB157" s="6"/>
      <c r="AC157" s="6">
        <v>1</v>
      </c>
      <c r="AD157" s="2"/>
      <c r="AE157" s="2"/>
    </row>
    <row r="158" spans="1:31" ht="14.25" customHeight="1">
      <c r="A158" s="6">
        <v>7051</v>
      </c>
      <c r="B158" s="8" t="s">
        <v>1360</v>
      </c>
      <c r="C158" s="2" t="str">
        <f t="shared" ref="C158:C167" si="5">"戰鬥開始時裝備者的技能傷害抗性增加"&amp;T158*100&amp;"%"</f>
        <v>戰鬥開始時裝備者的技能傷害抗性增加8%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6"/>
      <c r="R158" s="6"/>
      <c r="S158" s="6"/>
      <c r="T158" s="2">
        <v>0.08</v>
      </c>
      <c r="U158" s="6"/>
      <c r="V158" s="6"/>
      <c r="W158" s="6" t="b">
        <f>FALSE()</f>
        <v>0</v>
      </c>
      <c r="X158" s="6">
        <v>1</v>
      </c>
      <c r="Y158" s="6">
        <v>9999</v>
      </c>
      <c r="Z158" s="6"/>
      <c r="AA158" s="6"/>
      <c r="AB158" s="6"/>
      <c r="AC158" s="6">
        <v>1</v>
      </c>
      <c r="AD158" s="2"/>
      <c r="AE158" s="2"/>
    </row>
    <row r="159" spans="1:31" ht="14.25" customHeight="1">
      <c r="A159" s="6">
        <v>7052</v>
      </c>
      <c r="B159" s="8" t="s">
        <v>1361</v>
      </c>
      <c r="C159" s="2" t="str">
        <f t="shared" si="5"/>
        <v>戰鬥開始時裝備者的技能傷害抗性增加11%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6"/>
      <c r="R159" s="6"/>
      <c r="S159" s="6"/>
      <c r="T159" s="2">
        <f>T158+0.03</f>
        <v>0.11</v>
      </c>
      <c r="U159" s="6"/>
      <c r="V159" s="6"/>
      <c r="W159" s="6" t="b">
        <f>FALSE()</f>
        <v>0</v>
      </c>
      <c r="X159" s="6">
        <v>1</v>
      </c>
      <c r="Y159" s="6">
        <v>9999</v>
      </c>
      <c r="Z159" s="6"/>
      <c r="AA159" s="6"/>
      <c r="AB159" s="6"/>
      <c r="AC159" s="6">
        <v>1</v>
      </c>
      <c r="AD159" s="2"/>
      <c r="AE159" s="2"/>
    </row>
    <row r="160" spans="1:31" ht="14.25" customHeight="1">
      <c r="A160" s="6">
        <v>7053</v>
      </c>
      <c r="B160" s="8" t="s">
        <v>1362</v>
      </c>
      <c r="C160" s="2" t="str">
        <f t="shared" si="5"/>
        <v>戰鬥開始時裝備者的技能傷害抗性增加14%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6"/>
      <c r="R160" s="6"/>
      <c r="S160" s="6"/>
      <c r="T160" s="2">
        <f>T159+0.03</f>
        <v>0.14000000000000001</v>
      </c>
      <c r="U160" s="6"/>
      <c r="V160" s="6"/>
      <c r="W160" s="6" t="b">
        <f>FALSE()</f>
        <v>0</v>
      </c>
      <c r="X160" s="6">
        <v>1</v>
      </c>
      <c r="Y160" s="6">
        <v>9999</v>
      </c>
      <c r="Z160" s="6"/>
      <c r="AA160" s="6"/>
      <c r="AB160" s="6"/>
      <c r="AC160" s="6">
        <v>1</v>
      </c>
      <c r="AD160" s="2"/>
      <c r="AE160" s="2"/>
    </row>
    <row r="161" spans="1:31" ht="14.25" customHeight="1">
      <c r="A161" s="6">
        <v>7054</v>
      </c>
      <c r="B161" s="8" t="s">
        <v>1363</v>
      </c>
      <c r="C161" s="2" t="str">
        <f t="shared" si="5"/>
        <v>戰鬥開始時裝備者的技能傷害抗性增加17%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6"/>
      <c r="R161" s="6"/>
      <c r="S161" s="6"/>
      <c r="T161" s="2">
        <f>T160+0.03</f>
        <v>0.17</v>
      </c>
      <c r="U161" s="6"/>
      <c r="V161" s="6"/>
      <c r="W161" s="6" t="b">
        <f>FALSE()</f>
        <v>0</v>
      </c>
      <c r="X161" s="6">
        <v>1</v>
      </c>
      <c r="Y161" s="6">
        <v>9999</v>
      </c>
      <c r="Z161" s="6"/>
      <c r="AA161" s="6"/>
      <c r="AB161" s="6"/>
      <c r="AC161" s="6">
        <v>1</v>
      </c>
      <c r="AD161" s="2"/>
      <c r="AE161" s="2"/>
    </row>
    <row r="162" spans="1:31" ht="14.25" customHeight="1">
      <c r="A162" s="6">
        <v>7055</v>
      </c>
      <c r="B162" s="8" t="s">
        <v>1364</v>
      </c>
      <c r="C162" s="2" t="str">
        <f t="shared" si="5"/>
        <v>戰鬥開始時裝備者的技能傷害抗性增加20%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6"/>
      <c r="R162" s="6"/>
      <c r="S162" s="6"/>
      <c r="T162" s="2">
        <f>T161+0.03</f>
        <v>0.2</v>
      </c>
      <c r="U162" s="6"/>
      <c r="V162" s="6"/>
      <c r="W162" s="6" t="b">
        <f>FALSE()</f>
        <v>0</v>
      </c>
      <c r="X162" s="6">
        <v>1</v>
      </c>
      <c r="Y162" s="6">
        <v>9999</v>
      </c>
      <c r="Z162" s="6"/>
      <c r="AA162" s="6"/>
      <c r="AB162" s="6"/>
      <c r="AC162" s="6">
        <v>1</v>
      </c>
      <c r="AD162" s="2"/>
      <c r="AE162" s="2"/>
    </row>
    <row r="163" spans="1:31" ht="14.25" customHeight="1">
      <c r="A163" s="6">
        <v>7056</v>
      </c>
      <c r="B163" s="8" t="s">
        <v>1365</v>
      </c>
      <c r="C163" s="2" t="str">
        <f t="shared" si="5"/>
        <v>戰鬥開始時裝備者的技能傷害抗性增加25%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6"/>
      <c r="R163" s="6"/>
      <c r="S163" s="6"/>
      <c r="T163" s="2">
        <f>T162+0.05</f>
        <v>0.25</v>
      </c>
      <c r="U163" s="6"/>
      <c r="V163" s="6"/>
      <c r="W163" s="6" t="b">
        <f>FALSE()</f>
        <v>0</v>
      </c>
      <c r="X163" s="6">
        <v>1</v>
      </c>
      <c r="Y163" s="6">
        <v>9999</v>
      </c>
      <c r="Z163" s="6"/>
      <c r="AA163" s="6"/>
      <c r="AB163" s="6"/>
      <c r="AC163" s="6">
        <v>1</v>
      </c>
      <c r="AD163" s="2"/>
      <c r="AE163" s="2"/>
    </row>
    <row r="164" spans="1:31" ht="14.25" customHeight="1">
      <c r="A164" s="6">
        <v>7057</v>
      </c>
      <c r="B164" s="8" t="s">
        <v>1366</v>
      </c>
      <c r="C164" s="2" t="str">
        <f t="shared" si="5"/>
        <v>戰鬥開始時裝備者的技能傷害抗性增加30%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6"/>
      <c r="R164" s="6"/>
      <c r="S164" s="6"/>
      <c r="T164" s="2">
        <f>T163+0.05</f>
        <v>0.3</v>
      </c>
      <c r="U164" s="6"/>
      <c r="V164" s="6"/>
      <c r="W164" s="6" t="b">
        <f>FALSE()</f>
        <v>0</v>
      </c>
      <c r="X164" s="6">
        <v>1</v>
      </c>
      <c r="Y164" s="6">
        <v>9999</v>
      </c>
      <c r="Z164" s="6"/>
      <c r="AA164" s="6"/>
      <c r="AB164" s="6"/>
      <c r="AC164" s="6">
        <v>1</v>
      </c>
      <c r="AD164" s="2"/>
      <c r="AE164" s="2"/>
    </row>
    <row r="165" spans="1:31" ht="14.25" customHeight="1">
      <c r="A165" s="6">
        <v>7058</v>
      </c>
      <c r="B165" s="8" t="s">
        <v>1367</v>
      </c>
      <c r="C165" s="2" t="str">
        <f t="shared" si="5"/>
        <v>戰鬥開始時裝備者的技能傷害抗性增加37%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6"/>
      <c r="R165" s="6"/>
      <c r="S165" s="6"/>
      <c r="T165" s="2">
        <f>T164+0.07</f>
        <v>0.37</v>
      </c>
      <c r="U165" s="6"/>
      <c r="V165" s="6"/>
      <c r="W165" s="6" t="b">
        <f>FALSE()</f>
        <v>0</v>
      </c>
      <c r="X165" s="6">
        <v>1</v>
      </c>
      <c r="Y165" s="6">
        <v>9999</v>
      </c>
      <c r="Z165" s="6"/>
      <c r="AA165" s="6"/>
      <c r="AB165" s="6"/>
      <c r="AC165" s="6">
        <v>1</v>
      </c>
      <c r="AD165" s="2"/>
      <c r="AE165" s="2"/>
    </row>
    <row r="166" spans="1:31" ht="14.25" customHeight="1">
      <c r="A166" s="6">
        <v>7059</v>
      </c>
      <c r="B166" s="8" t="s">
        <v>1368</v>
      </c>
      <c r="C166" s="2" t="str">
        <f t="shared" si="5"/>
        <v>戰鬥開始時裝備者的技能傷害抗性增加44%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6"/>
      <c r="R166" s="6"/>
      <c r="S166" s="6"/>
      <c r="T166" s="2">
        <f>T165+0.07</f>
        <v>0.44</v>
      </c>
      <c r="U166" s="6"/>
      <c r="V166" s="6"/>
      <c r="W166" s="6" t="b">
        <f>FALSE()</f>
        <v>0</v>
      </c>
      <c r="X166" s="6">
        <v>1</v>
      </c>
      <c r="Y166" s="6">
        <v>9999</v>
      </c>
      <c r="Z166" s="6"/>
      <c r="AA166" s="6"/>
      <c r="AB166" s="6"/>
      <c r="AC166" s="6">
        <v>1</v>
      </c>
      <c r="AD166" s="2"/>
      <c r="AE166" s="2"/>
    </row>
    <row r="167" spans="1:31" ht="14.25" customHeight="1">
      <c r="A167" s="6">
        <v>7060</v>
      </c>
      <c r="B167" s="8" t="s">
        <v>1369</v>
      </c>
      <c r="C167" s="2" t="str">
        <f t="shared" si="5"/>
        <v>戰鬥開始時裝備者的技能傷害抗性增加51%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6"/>
      <c r="R167" s="6"/>
      <c r="S167" s="6"/>
      <c r="T167" s="2">
        <f>T166+0.07</f>
        <v>0.51</v>
      </c>
      <c r="U167" s="6"/>
      <c r="V167" s="6"/>
      <c r="W167" s="6" t="b">
        <f>FALSE()</f>
        <v>0</v>
      </c>
      <c r="X167" s="6">
        <v>1</v>
      </c>
      <c r="Y167" s="6">
        <v>9999</v>
      </c>
      <c r="Z167" s="6"/>
      <c r="AA167" s="6"/>
      <c r="AB167" s="6"/>
      <c r="AC167" s="6">
        <v>1</v>
      </c>
      <c r="AD167" s="2"/>
      <c r="AE167" s="2"/>
    </row>
    <row r="168" spans="1:31" ht="14.25" customHeight="1">
      <c r="A168" s="6">
        <v>7061</v>
      </c>
      <c r="B168" s="8" t="s">
        <v>1370</v>
      </c>
      <c r="C168" s="2" t="str">
        <f t="shared" ref="C168:C177" si="6">"戰鬥開始時裝備者的爆擊傷害增加"&amp;U168*100&amp;"%"</f>
        <v>戰鬥開始時裝備者的爆擊傷害增加5%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6"/>
      <c r="R168" s="6"/>
      <c r="S168" s="6"/>
      <c r="T168" s="2"/>
      <c r="U168" s="2">
        <v>0.05</v>
      </c>
      <c r="V168" s="6"/>
      <c r="W168" s="6" t="b">
        <f>FALSE()</f>
        <v>0</v>
      </c>
      <c r="X168" s="6">
        <v>1</v>
      </c>
      <c r="Y168" s="6">
        <v>9999</v>
      </c>
      <c r="Z168" s="6"/>
      <c r="AA168" s="6"/>
      <c r="AB168" s="6"/>
      <c r="AC168" s="6">
        <v>1</v>
      </c>
      <c r="AD168" s="2"/>
      <c r="AE168" s="2"/>
    </row>
    <row r="169" spans="1:31" ht="14.25" customHeight="1">
      <c r="A169" s="6">
        <v>7062</v>
      </c>
      <c r="B169" s="8" t="s">
        <v>1371</v>
      </c>
      <c r="C169" s="2" t="str">
        <f t="shared" si="6"/>
        <v>戰鬥開始時裝備者的爆擊傷害增加7.5%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6"/>
      <c r="R169" s="6"/>
      <c r="S169" s="6"/>
      <c r="T169" s="2"/>
      <c r="U169" s="2">
        <f>U168+0.025</f>
        <v>7.5000000000000011E-2</v>
      </c>
      <c r="V169" s="6"/>
      <c r="W169" s="6" t="b">
        <f>FALSE()</f>
        <v>0</v>
      </c>
      <c r="X169" s="6">
        <v>1</v>
      </c>
      <c r="Y169" s="6">
        <v>9999</v>
      </c>
      <c r="Z169" s="6"/>
      <c r="AA169" s="6"/>
      <c r="AB169" s="6"/>
      <c r="AC169" s="6">
        <v>1</v>
      </c>
      <c r="AD169" s="2"/>
      <c r="AE169" s="2"/>
    </row>
    <row r="170" spans="1:31" ht="14.25" customHeight="1">
      <c r="A170" s="6">
        <v>7063</v>
      </c>
      <c r="B170" s="8" t="s">
        <v>1372</v>
      </c>
      <c r="C170" s="2" t="str">
        <f t="shared" si="6"/>
        <v>戰鬥開始時裝備者的爆擊傷害增加10%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6"/>
      <c r="R170" s="6"/>
      <c r="S170" s="6"/>
      <c r="T170" s="2"/>
      <c r="U170" s="2">
        <f>U169+0.025</f>
        <v>0.1</v>
      </c>
      <c r="V170" s="6"/>
      <c r="W170" s="6" t="b">
        <f>FALSE()</f>
        <v>0</v>
      </c>
      <c r="X170" s="6">
        <v>1</v>
      </c>
      <c r="Y170" s="6">
        <v>9999</v>
      </c>
      <c r="Z170" s="6"/>
      <c r="AA170" s="6"/>
      <c r="AB170" s="6"/>
      <c r="AC170" s="6">
        <v>1</v>
      </c>
      <c r="AD170" s="2"/>
      <c r="AE170" s="2"/>
    </row>
    <row r="171" spans="1:31" ht="14.25" customHeight="1">
      <c r="A171" s="6">
        <v>7064</v>
      </c>
      <c r="B171" s="8" t="s">
        <v>1373</v>
      </c>
      <c r="C171" s="2" t="str">
        <f t="shared" si="6"/>
        <v>戰鬥開始時裝備者的爆擊傷害增加12.5%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6"/>
      <c r="R171" s="6"/>
      <c r="S171" s="6"/>
      <c r="T171" s="2"/>
      <c r="U171" s="2">
        <f>U170+0.025</f>
        <v>0.125</v>
      </c>
      <c r="V171" s="6"/>
      <c r="W171" s="6" t="b">
        <f>FALSE()</f>
        <v>0</v>
      </c>
      <c r="X171" s="6">
        <v>1</v>
      </c>
      <c r="Y171" s="6">
        <v>9999</v>
      </c>
      <c r="Z171" s="6"/>
      <c r="AA171" s="6"/>
      <c r="AB171" s="6"/>
      <c r="AC171" s="6">
        <v>1</v>
      </c>
      <c r="AD171" s="2"/>
      <c r="AE171" s="2"/>
    </row>
    <row r="172" spans="1:31" ht="14.25" customHeight="1">
      <c r="A172" s="6">
        <v>7065</v>
      </c>
      <c r="B172" s="8" t="s">
        <v>1374</v>
      </c>
      <c r="C172" s="2" t="str">
        <f t="shared" si="6"/>
        <v>戰鬥開始時裝備者的爆擊傷害增加17.5%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6"/>
      <c r="R172" s="6"/>
      <c r="S172" s="6"/>
      <c r="T172" s="2"/>
      <c r="U172" s="2">
        <f>U171+0.05</f>
        <v>0.17499999999999999</v>
      </c>
      <c r="V172" s="6"/>
      <c r="W172" s="6" t="b">
        <f>FALSE()</f>
        <v>0</v>
      </c>
      <c r="X172" s="6">
        <v>1</v>
      </c>
      <c r="Y172" s="6">
        <v>9999</v>
      </c>
      <c r="Z172" s="6"/>
      <c r="AA172" s="6"/>
      <c r="AB172" s="6"/>
      <c r="AC172" s="6">
        <v>1</v>
      </c>
      <c r="AD172" s="2"/>
      <c r="AE172" s="2"/>
    </row>
    <row r="173" spans="1:31" ht="14.25" customHeight="1">
      <c r="A173" s="6">
        <v>7066</v>
      </c>
      <c r="B173" s="8" t="s">
        <v>1375</v>
      </c>
      <c r="C173" s="2" t="str">
        <f t="shared" si="6"/>
        <v>戰鬥開始時裝備者的爆擊傷害增加22.5%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6"/>
      <c r="R173" s="6"/>
      <c r="S173" s="6"/>
      <c r="T173" s="2"/>
      <c r="U173" s="2">
        <f>U172+0.05</f>
        <v>0.22499999999999998</v>
      </c>
      <c r="V173" s="6"/>
      <c r="W173" s="6" t="b">
        <f>FALSE()</f>
        <v>0</v>
      </c>
      <c r="X173" s="6">
        <v>1</v>
      </c>
      <c r="Y173" s="6">
        <v>9999</v>
      </c>
      <c r="Z173" s="6"/>
      <c r="AA173" s="6"/>
      <c r="AB173" s="6"/>
      <c r="AC173" s="6">
        <v>1</v>
      </c>
      <c r="AD173" s="2"/>
      <c r="AE173" s="2"/>
    </row>
    <row r="174" spans="1:31" ht="14.25" customHeight="1">
      <c r="A174" s="6">
        <v>7067</v>
      </c>
      <c r="B174" s="8" t="s">
        <v>1376</v>
      </c>
      <c r="C174" s="2" t="str">
        <f t="shared" si="6"/>
        <v>戰鬥開始時裝備者的爆擊傷害增加27.5%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6"/>
      <c r="R174" s="6"/>
      <c r="S174" s="6"/>
      <c r="T174" s="2"/>
      <c r="U174" s="2">
        <f>U173+0.05</f>
        <v>0.27499999999999997</v>
      </c>
      <c r="V174" s="6"/>
      <c r="W174" s="6" t="b">
        <f>FALSE()</f>
        <v>0</v>
      </c>
      <c r="X174" s="6">
        <v>1</v>
      </c>
      <c r="Y174" s="6">
        <v>9999</v>
      </c>
      <c r="Z174" s="6"/>
      <c r="AA174" s="6"/>
      <c r="AB174" s="6"/>
      <c r="AC174" s="6">
        <v>1</v>
      </c>
      <c r="AD174" s="2"/>
      <c r="AE174" s="2"/>
    </row>
    <row r="175" spans="1:31" ht="14.25" customHeight="1">
      <c r="A175" s="6">
        <v>7068</v>
      </c>
      <c r="B175" s="8" t="s">
        <v>1377</v>
      </c>
      <c r="C175" s="2" t="str">
        <f t="shared" si="6"/>
        <v>戰鬥開始時裝備者的爆擊傷害增加34.5%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6"/>
      <c r="R175" s="6"/>
      <c r="S175" s="6"/>
      <c r="T175" s="2"/>
      <c r="U175" s="2">
        <f>U174+0.07</f>
        <v>0.34499999999999997</v>
      </c>
      <c r="V175" s="6"/>
      <c r="W175" s="6" t="b">
        <f>FALSE()</f>
        <v>0</v>
      </c>
      <c r="X175" s="6">
        <v>1</v>
      </c>
      <c r="Y175" s="6">
        <v>9999</v>
      </c>
      <c r="Z175" s="6"/>
      <c r="AA175" s="6"/>
      <c r="AB175" s="6"/>
      <c r="AC175" s="6">
        <v>1</v>
      </c>
      <c r="AD175" s="2"/>
      <c r="AE175" s="2"/>
    </row>
    <row r="176" spans="1:31" ht="14.25" customHeight="1">
      <c r="A176" s="6">
        <v>7069</v>
      </c>
      <c r="B176" s="8" t="s">
        <v>1378</v>
      </c>
      <c r="C176" s="2" t="str">
        <f t="shared" si="6"/>
        <v>戰鬥開始時裝備者的爆擊傷害增加41.5%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6"/>
      <c r="R176" s="6"/>
      <c r="S176" s="6"/>
      <c r="T176" s="2"/>
      <c r="U176" s="2">
        <f>U175+0.07</f>
        <v>0.41499999999999998</v>
      </c>
      <c r="V176" s="6"/>
      <c r="W176" s="6" t="b">
        <f>FALSE()</f>
        <v>0</v>
      </c>
      <c r="X176" s="6">
        <v>1</v>
      </c>
      <c r="Y176" s="6">
        <v>9999</v>
      </c>
      <c r="Z176" s="6"/>
      <c r="AA176" s="6"/>
      <c r="AB176" s="6"/>
      <c r="AC176" s="6">
        <v>1</v>
      </c>
      <c r="AD176" s="2"/>
      <c r="AE176" s="2"/>
    </row>
    <row r="177" spans="1:31" ht="14.25" customHeight="1">
      <c r="A177" s="6">
        <v>7070</v>
      </c>
      <c r="B177" s="8" t="s">
        <v>1379</v>
      </c>
      <c r="C177" s="2" t="str">
        <f t="shared" si="6"/>
        <v>戰鬥開始時裝備者的爆擊傷害增加48.5%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6"/>
      <c r="R177" s="6"/>
      <c r="S177" s="6"/>
      <c r="T177" s="2"/>
      <c r="U177" s="2">
        <f>U176+0.07</f>
        <v>0.48499999999999999</v>
      </c>
      <c r="V177" s="6"/>
      <c r="W177" s="6" t="b">
        <f>FALSE()</f>
        <v>0</v>
      </c>
      <c r="X177" s="6">
        <v>1</v>
      </c>
      <c r="Y177" s="6">
        <v>9999</v>
      </c>
      <c r="Z177" s="6"/>
      <c r="AA177" s="6"/>
      <c r="AB177" s="6"/>
      <c r="AC177" s="6">
        <v>1</v>
      </c>
      <c r="AD177" s="2"/>
      <c r="AE177" s="2"/>
    </row>
    <row r="178" spans="1:31" ht="14.25" customHeight="1">
      <c r="A178" s="6">
        <v>7071</v>
      </c>
      <c r="B178" s="8" t="s">
        <v>1380</v>
      </c>
      <c r="C178" s="2" t="str">
        <f t="shared" ref="C178:C187" si="7">"戰鬥開始時裝備者的爆擊傷害抗性增加"&amp;V178*100&amp;"%"</f>
        <v>戰鬥開始時裝備者的爆擊傷害抗性增加8%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6"/>
      <c r="R178" s="6"/>
      <c r="S178" s="6"/>
      <c r="T178" s="2"/>
      <c r="U178" s="6"/>
      <c r="V178" s="2">
        <v>0.08</v>
      </c>
      <c r="W178" s="6" t="b">
        <f>FALSE()</f>
        <v>0</v>
      </c>
      <c r="X178" s="6">
        <v>1</v>
      </c>
      <c r="Y178" s="6">
        <v>9999</v>
      </c>
      <c r="Z178" s="6"/>
      <c r="AA178" s="6"/>
      <c r="AB178" s="6"/>
      <c r="AC178" s="6">
        <v>1</v>
      </c>
      <c r="AD178" s="2"/>
      <c r="AE178" s="2"/>
    </row>
    <row r="179" spans="1:31" ht="14.25" customHeight="1">
      <c r="A179" s="6">
        <v>7072</v>
      </c>
      <c r="B179" s="8" t="s">
        <v>1381</v>
      </c>
      <c r="C179" s="2" t="str">
        <f t="shared" si="7"/>
        <v>戰鬥開始時裝備者的爆擊傷害抗性增加11%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6"/>
      <c r="R179" s="6"/>
      <c r="S179" s="6"/>
      <c r="T179" s="2"/>
      <c r="U179" s="6"/>
      <c r="V179" s="2">
        <f>V178+0.03</f>
        <v>0.11</v>
      </c>
      <c r="W179" s="6" t="b">
        <f>FALSE()</f>
        <v>0</v>
      </c>
      <c r="X179" s="6">
        <v>1</v>
      </c>
      <c r="Y179" s="6">
        <v>9999</v>
      </c>
      <c r="Z179" s="6"/>
      <c r="AA179" s="6"/>
      <c r="AB179" s="6"/>
      <c r="AC179" s="6">
        <v>1</v>
      </c>
      <c r="AD179" s="2"/>
      <c r="AE179" s="2"/>
    </row>
    <row r="180" spans="1:31" ht="14.25" customHeight="1">
      <c r="A180" s="6">
        <v>7073</v>
      </c>
      <c r="B180" s="8" t="s">
        <v>1382</v>
      </c>
      <c r="C180" s="2" t="str">
        <f t="shared" si="7"/>
        <v>戰鬥開始時裝備者的爆擊傷害抗性增加14%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6"/>
      <c r="R180" s="6"/>
      <c r="S180" s="6"/>
      <c r="T180" s="2"/>
      <c r="U180" s="6"/>
      <c r="V180" s="2">
        <f>V179+0.03</f>
        <v>0.14000000000000001</v>
      </c>
      <c r="W180" s="6" t="b">
        <f>FALSE()</f>
        <v>0</v>
      </c>
      <c r="X180" s="6">
        <v>1</v>
      </c>
      <c r="Y180" s="6">
        <v>9999</v>
      </c>
      <c r="Z180" s="6"/>
      <c r="AA180" s="6"/>
      <c r="AB180" s="6"/>
      <c r="AC180" s="6">
        <v>1</v>
      </c>
      <c r="AD180" s="2"/>
      <c r="AE180" s="2"/>
    </row>
    <row r="181" spans="1:31" ht="14.25" customHeight="1">
      <c r="A181" s="6">
        <v>7074</v>
      </c>
      <c r="B181" s="8" t="s">
        <v>1383</v>
      </c>
      <c r="C181" s="2" t="str">
        <f t="shared" si="7"/>
        <v>戰鬥開始時裝備者的爆擊傷害抗性增加17%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6"/>
      <c r="R181" s="6"/>
      <c r="S181" s="6"/>
      <c r="T181" s="2"/>
      <c r="U181" s="6"/>
      <c r="V181" s="2">
        <f>V180+0.03</f>
        <v>0.17</v>
      </c>
      <c r="W181" s="6" t="b">
        <f>FALSE()</f>
        <v>0</v>
      </c>
      <c r="X181" s="6">
        <v>1</v>
      </c>
      <c r="Y181" s="6">
        <v>9999</v>
      </c>
      <c r="Z181" s="6"/>
      <c r="AA181" s="6"/>
      <c r="AB181" s="6"/>
      <c r="AC181" s="6">
        <v>1</v>
      </c>
      <c r="AD181" s="2"/>
      <c r="AE181" s="2"/>
    </row>
    <row r="182" spans="1:31" ht="14.25" customHeight="1">
      <c r="A182" s="6">
        <v>7075</v>
      </c>
      <c r="B182" s="8" t="s">
        <v>1384</v>
      </c>
      <c r="C182" s="2" t="str">
        <f t="shared" si="7"/>
        <v>戰鬥開始時裝備者的爆擊傷害抗性增加20%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6"/>
      <c r="R182" s="6"/>
      <c r="S182" s="6"/>
      <c r="T182" s="2"/>
      <c r="U182" s="6"/>
      <c r="V182" s="2">
        <f>V181+0.03</f>
        <v>0.2</v>
      </c>
      <c r="W182" s="6" t="b">
        <f>FALSE()</f>
        <v>0</v>
      </c>
      <c r="X182" s="6">
        <v>1</v>
      </c>
      <c r="Y182" s="6">
        <v>9999</v>
      </c>
      <c r="Z182" s="6"/>
      <c r="AA182" s="6"/>
      <c r="AB182" s="6"/>
      <c r="AC182" s="6">
        <v>1</v>
      </c>
      <c r="AD182" s="2"/>
      <c r="AE182" s="2"/>
    </row>
    <row r="183" spans="1:31" ht="14.25" customHeight="1">
      <c r="A183" s="6">
        <v>7076</v>
      </c>
      <c r="B183" s="8" t="s">
        <v>1385</v>
      </c>
      <c r="C183" s="2" t="str">
        <f t="shared" si="7"/>
        <v>戰鬥開始時裝備者的爆擊傷害抗性增加25%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6"/>
      <c r="R183" s="6"/>
      <c r="S183" s="6"/>
      <c r="T183" s="2"/>
      <c r="U183" s="6"/>
      <c r="V183" s="2">
        <f>V182+0.05</f>
        <v>0.25</v>
      </c>
      <c r="W183" s="6" t="b">
        <f>FALSE()</f>
        <v>0</v>
      </c>
      <c r="X183" s="6">
        <v>1</v>
      </c>
      <c r="Y183" s="6">
        <v>9999</v>
      </c>
      <c r="Z183" s="6"/>
      <c r="AA183" s="6"/>
      <c r="AB183" s="6"/>
      <c r="AC183" s="6">
        <v>1</v>
      </c>
      <c r="AD183" s="2"/>
      <c r="AE183" s="2"/>
    </row>
    <row r="184" spans="1:31" ht="14.25" customHeight="1">
      <c r="A184" s="6">
        <v>7077</v>
      </c>
      <c r="B184" s="8" t="s">
        <v>1386</v>
      </c>
      <c r="C184" s="2" t="str">
        <f t="shared" si="7"/>
        <v>戰鬥開始時裝備者的爆擊傷害抗性增加30%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6"/>
      <c r="R184" s="6"/>
      <c r="S184" s="6"/>
      <c r="T184" s="2"/>
      <c r="U184" s="6"/>
      <c r="V184" s="2">
        <f>V183+0.05</f>
        <v>0.3</v>
      </c>
      <c r="W184" s="6" t="b">
        <f>FALSE()</f>
        <v>0</v>
      </c>
      <c r="X184" s="6">
        <v>1</v>
      </c>
      <c r="Y184" s="6">
        <v>9999</v>
      </c>
      <c r="Z184" s="6"/>
      <c r="AA184" s="6"/>
      <c r="AB184" s="6"/>
      <c r="AC184" s="6">
        <v>1</v>
      </c>
      <c r="AD184" s="2"/>
      <c r="AE184" s="2"/>
    </row>
    <row r="185" spans="1:31" ht="14.25" customHeight="1">
      <c r="A185" s="6">
        <v>7078</v>
      </c>
      <c r="B185" s="8" t="s">
        <v>1387</v>
      </c>
      <c r="C185" s="2" t="str">
        <f t="shared" si="7"/>
        <v>戰鬥開始時裝備者的爆擊傷害抗性增加37%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6"/>
      <c r="R185" s="6"/>
      <c r="S185" s="6"/>
      <c r="T185" s="2"/>
      <c r="U185" s="6"/>
      <c r="V185" s="2">
        <f>V184+0.07</f>
        <v>0.37</v>
      </c>
      <c r="W185" s="6" t="b">
        <f>FALSE()</f>
        <v>0</v>
      </c>
      <c r="X185" s="6">
        <v>1</v>
      </c>
      <c r="Y185" s="6">
        <v>9999</v>
      </c>
      <c r="Z185" s="6"/>
      <c r="AA185" s="6"/>
      <c r="AB185" s="6"/>
      <c r="AC185" s="6">
        <v>1</v>
      </c>
      <c r="AD185" s="2"/>
      <c r="AE185" s="2"/>
    </row>
    <row r="186" spans="1:31" ht="14.25" customHeight="1">
      <c r="A186" s="6">
        <v>7079</v>
      </c>
      <c r="B186" s="8" t="s">
        <v>1388</v>
      </c>
      <c r="C186" s="2" t="str">
        <f t="shared" si="7"/>
        <v>戰鬥開始時裝備者的爆擊傷害抗性增加44%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6"/>
      <c r="R186" s="6"/>
      <c r="S186" s="6"/>
      <c r="T186" s="2"/>
      <c r="U186" s="6"/>
      <c r="V186" s="2">
        <f>V185+0.07</f>
        <v>0.44</v>
      </c>
      <c r="W186" s="6" t="b">
        <f>FALSE()</f>
        <v>0</v>
      </c>
      <c r="X186" s="6">
        <v>1</v>
      </c>
      <c r="Y186" s="6">
        <v>9999</v>
      </c>
      <c r="Z186" s="6"/>
      <c r="AA186" s="6"/>
      <c r="AB186" s="6"/>
      <c r="AC186" s="6">
        <v>1</v>
      </c>
      <c r="AD186" s="2"/>
      <c r="AE186" s="2"/>
    </row>
    <row r="187" spans="1:31" ht="14.25" customHeight="1">
      <c r="A187" s="6">
        <v>7080</v>
      </c>
      <c r="B187" s="8" t="s">
        <v>1389</v>
      </c>
      <c r="C187" s="2" t="str">
        <f t="shared" si="7"/>
        <v>戰鬥開始時裝備者的爆擊傷害抗性增加51%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6"/>
      <c r="R187" s="6"/>
      <c r="S187" s="6"/>
      <c r="T187" s="2"/>
      <c r="U187" s="6"/>
      <c r="V187" s="2">
        <f>V186+0.07</f>
        <v>0.51</v>
      </c>
      <c r="W187" s="6" t="b">
        <f>FALSE()</f>
        <v>0</v>
      </c>
      <c r="X187" s="6">
        <v>1</v>
      </c>
      <c r="Y187" s="6">
        <v>9999</v>
      </c>
      <c r="Z187" s="6"/>
      <c r="AA187" s="6"/>
      <c r="AB187" s="6"/>
      <c r="AC187" s="6">
        <v>1</v>
      </c>
      <c r="AD187" s="2"/>
      <c r="AE187" s="2"/>
    </row>
    <row r="188" spans="1:31" ht="14.25" customHeight="1">
      <c r="A188" s="45"/>
      <c r="B188" s="45"/>
      <c r="C188" s="7"/>
      <c r="J188" s="7"/>
      <c r="K188" s="7"/>
      <c r="Q188" s="45"/>
      <c r="R188" s="45"/>
      <c r="S188" s="45"/>
      <c r="T188" s="7"/>
      <c r="U188" s="45"/>
      <c r="V188" s="45"/>
      <c r="W188" s="45"/>
      <c r="X188" s="45"/>
      <c r="Y188" s="45"/>
      <c r="Z188" s="45"/>
      <c r="AA188" s="45"/>
      <c r="AB188" s="45"/>
      <c r="AC188" s="45"/>
    </row>
    <row r="189" spans="1:31" ht="14.25" customHeight="1">
      <c r="A189" s="45"/>
      <c r="B189" s="45"/>
      <c r="V189" s="45"/>
    </row>
    <row r="190" spans="1:31" ht="14.25" customHeight="1">
      <c r="V190" s="45"/>
    </row>
    <row r="191" spans="1:31" ht="14.25" customHeight="1">
      <c r="A191" s="40" t="s">
        <v>705</v>
      </c>
      <c r="B191" s="40" t="s">
        <v>1168</v>
      </c>
      <c r="C191" s="40" t="s">
        <v>1169</v>
      </c>
      <c r="D191" s="40" t="s">
        <v>1170</v>
      </c>
      <c r="E191" s="40" t="s">
        <v>1171</v>
      </c>
      <c r="F191" s="40" t="s">
        <v>1172</v>
      </c>
      <c r="G191" s="40" t="s">
        <v>1173</v>
      </c>
      <c r="H191" s="40" t="s">
        <v>685</v>
      </c>
      <c r="I191" s="40" t="s">
        <v>686</v>
      </c>
      <c r="J191" s="40" t="s">
        <v>687</v>
      </c>
      <c r="K191" s="40" t="s">
        <v>688</v>
      </c>
      <c r="L191" s="40" t="s">
        <v>689</v>
      </c>
      <c r="M191" s="40" t="s">
        <v>39</v>
      </c>
      <c r="N191" s="40" t="s">
        <v>690</v>
      </c>
      <c r="O191" s="40" t="s">
        <v>691</v>
      </c>
      <c r="P191" s="40" t="s">
        <v>692</v>
      </c>
      <c r="Q191" s="40" t="s">
        <v>693</v>
      </c>
      <c r="R191" s="40" t="s">
        <v>694</v>
      </c>
      <c r="S191" s="40" t="s">
        <v>695</v>
      </c>
      <c r="T191" s="40" t="s">
        <v>696</v>
      </c>
      <c r="U191" s="40" t="s">
        <v>697</v>
      </c>
      <c r="V191" s="40" t="s">
        <v>698</v>
      </c>
      <c r="W191" s="40" t="s">
        <v>1174</v>
      </c>
      <c r="X191" s="40" t="s">
        <v>1175</v>
      </c>
      <c r="Y191" s="48" t="s">
        <v>1176</v>
      </c>
      <c r="Z191" s="40" t="s">
        <v>1177</v>
      </c>
      <c r="AA191" s="40" t="s">
        <v>1178</v>
      </c>
      <c r="AB191" s="40" t="s">
        <v>1179</v>
      </c>
      <c r="AC191" s="40" t="s">
        <v>1180</v>
      </c>
      <c r="AD191" s="40" t="s">
        <v>1181</v>
      </c>
      <c r="AE191" s="2" t="s">
        <v>1390</v>
      </c>
    </row>
    <row r="192" spans="1:31" ht="14.25" customHeight="1">
      <c r="A192" s="6">
        <v>8000</v>
      </c>
      <c r="B192" s="52"/>
      <c r="C192" s="1" t="s">
        <v>1391</v>
      </c>
      <c r="D192" s="2"/>
      <c r="E192" s="2"/>
      <c r="F192" s="2"/>
      <c r="G192" s="2"/>
      <c r="H192" s="20">
        <v>0.01</v>
      </c>
      <c r="I192" s="2"/>
      <c r="J192" s="2"/>
      <c r="K192" s="2"/>
      <c r="L192" s="2"/>
      <c r="M192" s="6"/>
      <c r="N192" s="2"/>
      <c r="O192" s="2"/>
      <c r="P192" s="2"/>
      <c r="Q192" s="2"/>
      <c r="R192" s="2"/>
      <c r="S192" s="2"/>
      <c r="T192" s="2"/>
      <c r="U192" s="2"/>
      <c r="V192" s="6"/>
      <c r="W192" s="6"/>
      <c r="X192" s="6"/>
      <c r="Y192" s="6"/>
      <c r="Z192" s="6"/>
      <c r="AA192" s="6"/>
      <c r="AB192" s="6"/>
      <c r="AC192" s="6">
        <v>1</v>
      </c>
      <c r="AD192" s="2"/>
      <c r="AE192" s="2"/>
    </row>
    <row r="193" spans="1:31" ht="14.25" customHeight="1">
      <c r="A193" s="6">
        <v>8001</v>
      </c>
      <c r="B193" s="52"/>
      <c r="C193" s="1" t="s">
        <v>1391</v>
      </c>
      <c r="D193" s="2"/>
      <c r="E193" s="2"/>
      <c r="F193" s="2"/>
      <c r="G193" s="2"/>
      <c r="H193" s="20">
        <v>0.01</v>
      </c>
      <c r="I193" s="2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6"/>
      <c r="W193" s="6"/>
      <c r="X193" s="6"/>
      <c r="Y193" s="6"/>
      <c r="Z193" s="6"/>
      <c r="AA193" s="6"/>
      <c r="AB193" s="6"/>
      <c r="AC193" s="6">
        <v>1</v>
      </c>
      <c r="AD193" s="2"/>
      <c r="AE193" s="2"/>
    </row>
    <row r="194" spans="1:31" ht="14.25" customHeight="1">
      <c r="A194" s="6">
        <v>8002</v>
      </c>
      <c r="B194" s="52"/>
      <c r="C194" s="1" t="s">
        <v>1391</v>
      </c>
      <c r="D194" s="2"/>
      <c r="E194" s="2"/>
      <c r="F194" s="2"/>
      <c r="G194" s="2"/>
      <c r="H194" s="20">
        <v>0.01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6"/>
      <c r="W194" s="6"/>
      <c r="X194" s="6"/>
      <c r="Y194" s="6"/>
      <c r="Z194" s="6"/>
      <c r="AA194" s="6"/>
      <c r="AB194" s="6"/>
      <c r="AC194" s="6">
        <v>1</v>
      </c>
      <c r="AD194" s="2"/>
      <c r="AE194" s="2"/>
    </row>
    <row r="195" spans="1:31" ht="14.25" customHeight="1">
      <c r="A195" s="6">
        <v>8003</v>
      </c>
      <c r="B195" s="52"/>
      <c r="C195" s="1" t="s">
        <v>1391</v>
      </c>
      <c r="D195" s="2"/>
      <c r="E195" s="2"/>
      <c r="F195" s="2"/>
      <c r="G195" s="2"/>
      <c r="H195" s="20">
        <v>0.01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6"/>
      <c r="W195" s="6"/>
      <c r="X195" s="6"/>
      <c r="Y195" s="6"/>
      <c r="Z195" s="6"/>
      <c r="AA195" s="6"/>
      <c r="AB195" s="6"/>
      <c r="AC195" s="6">
        <v>1</v>
      </c>
      <c r="AD195" s="2"/>
      <c r="AE195" s="2"/>
    </row>
    <row r="196" spans="1:31" ht="14.25" customHeight="1">
      <c r="A196" s="6">
        <v>8004</v>
      </c>
      <c r="B196" s="52"/>
      <c r="C196" s="1" t="s">
        <v>1391</v>
      </c>
      <c r="D196" s="2"/>
      <c r="E196" s="2"/>
      <c r="F196" s="2"/>
      <c r="G196" s="2"/>
      <c r="H196" s="20">
        <v>0.01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6"/>
      <c r="W196" s="6"/>
      <c r="X196" s="6"/>
      <c r="Y196" s="6"/>
      <c r="Z196" s="6"/>
      <c r="AA196" s="6"/>
      <c r="AB196" s="6"/>
      <c r="AC196" s="6">
        <v>1</v>
      </c>
      <c r="AD196" s="2"/>
      <c r="AE196" s="2"/>
    </row>
    <row r="197" spans="1:31" ht="14.25" customHeight="1">
      <c r="A197" s="6">
        <v>8005</v>
      </c>
      <c r="B197" s="52"/>
      <c r="C197" s="1" t="s">
        <v>1391</v>
      </c>
      <c r="D197" s="2"/>
      <c r="E197" s="2"/>
      <c r="F197" s="2"/>
      <c r="G197" s="2"/>
      <c r="H197" s="20">
        <v>0.01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6"/>
      <c r="W197" s="6"/>
      <c r="X197" s="6"/>
      <c r="Y197" s="6"/>
      <c r="Z197" s="6"/>
      <c r="AA197" s="6"/>
      <c r="AB197" s="6"/>
      <c r="AC197" s="6">
        <v>1</v>
      </c>
      <c r="AD197" s="2"/>
      <c r="AE197" s="2"/>
    </row>
    <row r="198" spans="1:31" ht="14.25" customHeight="1">
      <c r="A198" s="6">
        <v>8006</v>
      </c>
      <c r="B198" s="52"/>
      <c r="C198" s="1" t="s">
        <v>1391</v>
      </c>
      <c r="D198" s="2"/>
      <c r="E198" s="2"/>
      <c r="F198" s="2"/>
      <c r="G198" s="2"/>
      <c r="H198" s="20">
        <v>0.01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6"/>
      <c r="W198" s="6"/>
      <c r="X198" s="6"/>
      <c r="Y198" s="6"/>
      <c r="Z198" s="6"/>
      <c r="AA198" s="6"/>
      <c r="AB198" s="6"/>
      <c r="AC198" s="6">
        <v>1</v>
      </c>
      <c r="AD198" s="2"/>
      <c r="AE198" s="2"/>
    </row>
    <row r="199" spans="1:31" ht="14.25" customHeight="1">
      <c r="A199" s="6">
        <v>8007</v>
      </c>
      <c r="B199" s="52"/>
      <c r="C199" s="1" t="s">
        <v>1391</v>
      </c>
      <c r="D199" s="2"/>
      <c r="E199" s="2"/>
      <c r="F199" s="2"/>
      <c r="G199" s="2"/>
      <c r="H199" s="20">
        <v>0.01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6"/>
      <c r="W199" s="6"/>
      <c r="X199" s="6"/>
      <c r="Y199" s="6"/>
      <c r="Z199" s="6"/>
      <c r="AA199" s="6"/>
      <c r="AB199" s="6"/>
      <c r="AC199" s="6">
        <v>1</v>
      </c>
      <c r="AD199" s="2"/>
      <c r="AE199" s="2"/>
    </row>
    <row r="200" spans="1:31" ht="14.25" customHeight="1">
      <c r="A200" s="6">
        <v>8008</v>
      </c>
      <c r="B200" s="52"/>
      <c r="C200" s="1" t="s">
        <v>1391</v>
      </c>
      <c r="D200" s="2"/>
      <c r="E200" s="2"/>
      <c r="F200" s="2"/>
      <c r="G200" s="2"/>
      <c r="H200" s="20">
        <v>0.01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6"/>
      <c r="W200" s="6"/>
      <c r="X200" s="6"/>
      <c r="Y200" s="6"/>
      <c r="Z200" s="6"/>
      <c r="AA200" s="6"/>
      <c r="AB200" s="6"/>
      <c r="AC200" s="6">
        <v>1</v>
      </c>
      <c r="AD200" s="2"/>
      <c r="AE200" s="2"/>
    </row>
    <row r="201" spans="1:31" ht="14.25" customHeight="1">
      <c r="A201" s="6">
        <v>8009</v>
      </c>
      <c r="B201" s="52"/>
      <c r="C201" s="1" t="s">
        <v>1391</v>
      </c>
      <c r="D201" s="2"/>
      <c r="E201" s="2"/>
      <c r="F201" s="2"/>
      <c r="G201" s="2"/>
      <c r="H201" s="20">
        <v>0.01</v>
      </c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6"/>
      <c r="W201" s="6"/>
      <c r="X201" s="6"/>
      <c r="Y201" s="6"/>
      <c r="Z201" s="6"/>
      <c r="AA201" s="6"/>
      <c r="AB201" s="6"/>
      <c r="AC201" s="6">
        <v>1</v>
      </c>
      <c r="AD201" s="2"/>
      <c r="AE201" s="2"/>
    </row>
    <row r="202" spans="1:31" ht="14.25" customHeight="1">
      <c r="A202" s="6">
        <v>8010</v>
      </c>
      <c r="B202" s="52"/>
      <c r="C202" s="1" t="s">
        <v>1391</v>
      </c>
      <c r="D202" s="2"/>
      <c r="E202" s="2"/>
      <c r="F202" s="2"/>
      <c r="G202" s="2"/>
      <c r="H202" s="20">
        <v>0.01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6"/>
      <c r="W202" s="6"/>
      <c r="X202" s="6"/>
      <c r="Y202" s="6"/>
      <c r="Z202" s="6"/>
      <c r="AA202" s="6"/>
      <c r="AB202" s="6"/>
      <c r="AC202" s="6">
        <v>1</v>
      </c>
      <c r="AD202" s="2"/>
      <c r="AE202" s="2"/>
    </row>
    <row r="203" spans="1:31" ht="16.5" customHeight="1">
      <c r="A203" s="6">
        <v>8011</v>
      </c>
      <c r="B203" s="52"/>
      <c r="C203" s="1" t="s">
        <v>1391</v>
      </c>
      <c r="D203" s="2"/>
      <c r="E203" s="2"/>
      <c r="F203" s="2"/>
      <c r="G203" s="2"/>
      <c r="H203" s="20">
        <v>0.01</v>
      </c>
      <c r="I203" s="2"/>
      <c r="J203" s="2"/>
      <c r="K203" s="2"/>
      <c r="L203" s="2"/>
      <c r="M203" s="6"/>
      <c r="N203" s="2"/>
      <c r="O203" s="2"/>
      <c r="P203" s="2"/>
      <c r="Q203" s="2"/>
      <c r="R203" s="2"/>
      <c r="S203" s="2"/>
      <c r="T203" s="2"/>
      <c r="U203" s="2"/>
      <c r="V203" s="6"/>
      <c r="W203" s="6"/>
      <c r="X203" s="6"/>
      <c r="Y203" s="6"/>
      <c r="Z203" s="6"/>
      <c r="AA203" s="6"/>
      <c r="AB203" s="6"/>
      <c r="AC203" s="6">
        <v>1</v>
      </c>
      <c r="AD203" s="2"/>
      <c r="AE203" s="2"/>
    </row>
    <row r="204" spans="1:31" ht="14.25" customHeight="1">
      <c r="A204" s="6">
        <v>8012</v>
      </c>
      <c r="B204" s="52"/>
      <c r="C204" s="1" t="s">
        <v>1391</v>
      </c>
      <c r="D204" s="2"/>
      <c r="E204" s="2"/>
      <c r="F204" s="2"/>
      <c r="G204" s="2"/>
      <c r="H204" s="20">
        <v>0.01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6"/>
      <c r="W204" s="6"/>
      <c r="X204" s="6"/>
      <c r="Y204" s="6"/>
      <c r="Z204" s="6"/>
      <c r="AA204" s="6"/>
      <c r="AB204" s="6"/>
      <c r="AC204" s="6">
        <v>1</v>
      </c>
      <c r="AD204" s="2"/>
      <c r="AE204" s="2"/>
    </row>
    <row r="205" spans="1:31" ht="14.25" customHeight="1">
      <c r="A205" s="6">
        <v>8013</v>
      </c>
      <c r="B205" s="52"/>
      <c r="C205" s="1" t="s">
        <v>1391</v>
      </c>
      <c r="D205" s="2"/>
      <c r="E205" s="2"/>
      <c r="F205" s="2"/>
      <c r="G205" s="2"/>
      <c r="H205" s="20">
        <v>0.01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6"/>
      <c r="W205" s="6"/>
      <c r="X205" s="6"/>
      <c r="Y205" s="6"/>
      <c r="Z205" s="6"/>
      <c r="AA205" s="6"/>
      <c r="AB205" s="6"/>
      <c r="AC205" s="6">
        <v>1</v>
      </c>
      <c r="AD205" s="2"/>
      <c r="AE205" s="2"/>
    </row>
    <row r="206" spans="1:31" ht="14.25" customHeight="1">
      <c r="A206" s="6">
        <v>8014</v>
      </c>
      <c r="B206" s="52"/>
      <c r="C206" s="1" t="s">
        <v>1392</v>
      </c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6"/>
      <c r="W206" s="6"/>
      <c r="X206" s="6"/>
      <c r="Y206" s="6"/>
      <c r="Z206" s="6"/>
      <c r="AA206" s="6"/>
      <c r="AB206" s="6"/>
      <c r="AC206" s="6">
        <v>1</v>
      </c>
      <c r="AD206" s="2"/>
      <c r="AE206" s="2"/>
    </row>
    <row r="207" spans="1:31" ht="14.25" customHeight="1">
      <c r="A207" s="6">
        <v>8015</v>
      </c>
      <c r="B207" s="52"/>
      <c r="C207" s="1" t="s">
        <v>1391</v>
      </c>
      <c r="D207" s="2"/>
      <c r="E207" s="2"/>
      <c r="F207" s="2"/>
      <c r="G207" s="2"/>
      <c r="H207" s="20">
        <v>0.01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6"/>
      <c r="W207" s="6"/>
      <c r="X207" s="6"/>
      <c r="Y207" s="6"/>
      <c r="Z207" s="6"/>
      <c r="AA207" s="6"/>
      <c r="AB207" s="6"/>
      <c r="AC207" s="6">
        <v>1</v>
      </c>
      <c r="AD207" s="2"/>
      <c r="AE207" s="2"/>
    </row>
    <row r="208" spans="1:31" ht="14.25" customHeight="1">
      <c r="A208" s="6">
        <v>8016</v>
      </c>
      <c r="B208" s="52"/>
      <c r="C208" s="1" t="s">
        <v>1391</v>
      </c>
      <c r="D208" s="2"/>
      <c r="E208" s="2"/>
      <c r="F208" s="2"/>
      <c r="G208" s="2"/>
      <c r="H208" s="20">
        <v>0.01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6"/>
      <c r="W208" s="6"/>
      <c r="X208" s="6"/>
      <c r="Y208" s="6"/>
      <c r="Z208" s="6"/>
      <c r="AA208" s="6"/>
      <c r="AB208" s="6"/>
      <c r="AC208" s="6">
        <v>1</v>
      </c>
      <c r="AD208" s="2"/>
      <c r="AE208" s="2"/>
    </row>
    <row r="209" spans="1:31" ht="14.25" customHeight="1">
      <c r="A209" s="6">
        <v>8017</v>
      </c>
      <c r="B209" s="52"/>
      <c r="C209" s="1" t="s">
        <v>1391</v>
      </c>
      <c r="D209" s="2"/>
      <c r="E209" s="2"/>
      <c r="F209" s="2"/>
      <c r="G209" s="2"/>
      <c r="H209" s="20">
        <v>0.01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6"/>
      <c r="W209" s="6"/>
      <c r="X209" s="6"/>
      <c r="Y209" s="6"/>
      <c r="Z209" s="6"/>
      <c r="AA209" s="6"/>
      <c r="AB209" s="6"/>
      <c r="AC209" s="6">
        <v>1</v>
      </c>
      <c r="AD209" s="2"/>
      <c r="AE209" s="2"/>
    </row>
    <row r="210" spans="1:31" ht="14.25" customHeight="1">
      <c r="A210" s="6">
        <v>8018</v>
      </c>
      <c r="B210" s="52"/>
      <c r="C210" s="1" t="s">
        <v>1391</v>
      </c>
      <c r="D210" s="2"/>
      <c r="E210" s="2"/>
      <c r="F210" s="2"/>
      <c r="G210" s="2"/>
      <c r="H210" s="20">
        <v>0.01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6"/>
      <c r="W210" s="6"/>
      <c r="X210" s="6"/>
      <c r="Y210" s="6"/>
      <c r="Z210" s="6"/>
      <c r="AA210" s="6"/>
      <c r="AB210" s="6"/>
      <c r="AC210" s="6">
        <v>1</v>
      </c>
      <c r="AD210" s="2"/>
      <c r="AE210" s="2"/>
    </row>
    <row r="211" spans="1:31" ht="14.25" customHeight="1">
      <c r="A211" s="6">
        <v>8019</v>
      </c>
      <c r="B211" s="52"/>
      <c r="C211" s="1" t="s">
        <v>1391</v>
      </c>
      <c r="D211" s="2"/>
      <c r="E211" s="2"/>
      <c r="F211" s="2"/>
      <c r="G211" s="2"/>
      <c r="H211" s="20">
        <v>0.01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6"/>
      <c r="W211" s="6"/>
      <c r="X211" s="6"/>
      <c r="Y211" s="6"/>
      <c r="Z211" s="6"/>
      <c r="AA211" s="6"/>
      <c r="AB211" s="6"/>
      <c r="AC211" s="6">
        <v>1</v>
      </c>
      <c r="AD211" s="2"/>
      <c r="AE211" s="2"/>
    </row>
    <row r="212" spans="1:31" ht="14.25" customHeight="1">
      <c r="A212" s="6">
        <v>8020</v>
      </c>
      <c r="B212" s="52"/>
      <c r="C212" s="1" t="s">
        <v>1391</v>
      </c>
      <c r="D212" s="2"/>
      <c r="E212" s="2"/>
      <c r="F212" s="2"/>
      <c r="G212" s="2"/>
      <c r="H212" s="20">
        <v>0.01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6"/>
      <c r="W212" s="6"/>
      <c r="X212" s="6"/>
      <c r="Y212" s="6"/>
      <c r="Z212" s="6"/>
      <c r="AA212" s="6"/>
      <c r="AB212" s="6"/>
      <c r="AC212" s="6">
        <v>1</v>
      </c>
      <c r="AD212" s="2"/>
      <c r="AE212" s="2"/>
    </row>
    <row r="213" spans="1:31" ht="14.25" customHeight="1">
      <c r="A213" s="6">
        <v>8021</v>
      </c>
      <c r="B213" s="52"/>
      <c r="C213" s="1" t="s">
        <v>1391</v>
      </c>
      <c r="D213" s="2"/>
      <c r="E213" s="2"/>
      <c r="F213" s="2"/>
      <c r="G213" s="2"/>
      <c r="H213" s="20">
        <v>0.01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6"/>
      <c r="W213" s="6"/>
      <c r="X213" s="6"/>
      <c r="Y213" s="6"/>
      <c r="Z213" s="6"/>
      <c r="AA213" s="6"/>
      <c r="AB213" s="6"/>
      <c r="AC213" s="6">
        <v>1</v>
      </c>
      <c r="AD213" s="2"/>
      <c r="AE213" s="2"/>
    </row>
    <row r="214" spans="1:31" ht="14.25" customHeight="1">
      <c r="A214" s="6">
        <v>8022</v>
      </c>
      <c r="B214" s="52"/>
      <c r="C214" s="1" t="s">
        <v>1391</v>
      </c>
      <c r="D214" s="2"/>
      <c r="E214" s="2"/>
      <c r="F214" s="2"/>
      <c r="G214" s="2"/>
      <c r="H214" s="20">
        <v>0.01</v>
      </c>
      <c r="I214" s="2"/>
      <c r="J214" s="2"/>
      <c r="K214" s="2"/>
      <c r="L214" s="2"/>
      <c r="M214" s="6"/>
      <c r="N214" s="2"/>
      <c r="O214" s="2"/>
      <c r="P214" s="2"/>
      <c r="Q214" s="2"/>
      <c r="R214" s="2"/>
      <c r="S214" s="2"/>
      <c r="T214" s="2"/>
      <c r="U214" s="2"/>
      <c r="V214" s="6"/>
      <c r="W214" s="6"/>
      <c r="X214" s="6"/>
      <c r="Y214" s="6"/>
      <c r="Z214" s="6"/>
      <c r="AA214" s="6"/>
      <c r="AB214" s="6"/>
      <c r="AC214" s="6">
        <v>1</v>
      </c>
      <c r="AD214" s="2"/>
      <c r="AE214" s="2"/>
    </row>
    <row r="215" spans="1:31" ht="14.25" customHeight="1">
      <c r="A215" s="6">
        <v>8023</v>
      </c>
      <c r="B215" s="52"/>
      <c r="C215" s="1" t="s">
        <v>1391</v>
      </c>
      <c r="D215" s="2"/>
      <c r="E215" s="2"/>
      <c r="F215" s="2"/>
      <c r="G215" s="2"/>
      <c r="H215" s="20">
        <v>0.01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6"/>
      <c r="W215" s="6"/>
      <c r="X215" s="6"/>
      <c r="Y215" s="6"/>
      <c r="Z215" s="6"/>
      <c r="AA215" s="6"/>
      <c r="AB215" s="6"/>
      <c r="AC215" s="6">
        <v>1</v>
      </c>
      <c r="AD215" s="2"/>
      <c r="AE215" s="2"/>
    </row>
    <row r="216" spans="1:31" ht="14.25" customHeight="1">
      <c r="A216" s="6">
        <v>8024</v>
      </c>
      <c r="B216" s="52"/>
      <c r="C216" s="1" t="s">
        <v>1391</v>
      </c>
      <c r="D216" s="2"/>
      <c r="E216" s="2"/>
      <c r="F216" s="2"/>
      <c r="G216" s="2"/>
      <c r="H216" s="20">
        <v>0.01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6"/>
      <c r="W216" s="6"/>
      <c r="X216" s="6"/>
      <c r="Y216" s="6"/>
      <c r="Z216" s="6"/>
      <c r="AA216" s="6"/>
      <c r="AB216" s="6"/>
      <c r="AC216" s="6">
        <v>1</v>
      </c>
      <c r="AD216" s="2"/>
      <c r="AE216" s="2"/>
    </row>
    <row r="217" spans="1:31" ht="14.25" customHeight="1">
      <c r="A217" s="6">
        <v>8025</v>
      </c>
      <c r="B217" s="52"/>
      <c r="C217" s="1" t="s">
        <v>1391</v>
      </c>
      <c r="D217" s="2"/>
      <c r="E217" s="2"/>
      <c r="F217" s="2"/>
      <c r="G217" s="2"/>
      <c r="H217" s="20">
        <v>0.01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6"/>
      <c r="W217" s="6"/>
      <c r="X217" s="6"/>
      <c r="Y217" s="6"/>
      <c r="Z217" s="6"/>
      <c r="AA217" s="6"/>
      <c r="AB217" s="6"/>
      <c r="AC217" s="6">
        <v>1</v>
      </c>
      <c r="AD217" s="2"/>
      <c r="AE217" s="2"/>
    </row>
    <row r="218" spans="1:31" ht="14.25" customHeight="1">
      <c r="A218" s="6">
        <v>8026</v>
      </c>
      <c r="B218" s="52"/>
      <c r="C218" s="1" t="s">
        <v>1391</v>
      </c>
      <c r="D218" s="2"/>
      <c r="E218" s="2"/>
      <c r="F218" s="2"/>
      <c r="G218" s="2"/>
      <c r="H218" s="20">
        <v>0.01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6"/>
      <c r="W218" s="6"/>
      <c r="X218" s="6"/>
      <c r="Y218" s="6"/>
      <c r="Z218" s="6"/>
      <c r="AA218" s="6"/>
      <c r="AB218" s="6"/>
      <c r="AC218" s="6">
        <v>1</v>
      </c>
      <c r="AD218" s="2"/>
      <c r="AE218" s="2"/>
    </row>
    <row r="219" spans="1:31" ht="14.25" customHeight="1">
      <c r="A219" s="6">
        <v>8027</v>
      </c>
      <c r="B219" s="52"/>
      <c r="C219" s="1" t="s">
        <v>1391</v>
      </c>
      <c r="D219" s="2"/>
      <c r="E219" s="2"/>
      <c r="F219" s="2"/>
      <c r="G219" s="2"/>
      <c r="H219" s="20">
        <v>0.01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6"/>
      <c r="W219" s="6"/>
      <c r="X219" s="6"/>
      <c r="Y219" s="6"/>
      <c r="Z219" s="6"/>
      <c r="AA219" s="6"/>
      <c r="AB219" s="6"/>
      <c r="AC219" s="6">
        <v>1</v>
      </c>
      <c r="AD219" s="2"/>
      <c r="AE219" s="2"/>
    </row>
    <row r="220" spans="1:31" ht="14.25" customHeight="1">
      <c r="A220" s="6">
        <v>8028</v>
      </c>
      <c r="B220" s="52"/>
      <c r="C220" s="1" t="s">
        <v>1391</v>
      </c>
      <c r="D220" s="2"/>
      <c r="E220" s="2"/>
      <c r="F220" s="2"/>
      <c r="G220" s="2"/>
      <c r="H220" s="20">
        <v>0.01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6"/>
      <c r="W220" s="6"/>
      <c r="X220" s="6"/>
      <c r="Y220" s="6"/>
      <c r="Z220" s="6"/>
      <c r="AA220" s="6"/>
      <c r="AB220" s="6"/>
      <c r="AC220" s="6">
        <v>1</v>
      </c>
      <c r="AD220" s="2"/>
      <c r="AE220" s="2"/>
    </row>
    <row r="221" spans="1:31" ht="14.25" customHeight="1">
      <c r="A221" s="6">
        <v>8029</v>
      </c>
      <c r="B221" s="52"/>
      <c r="C221" s="1" t="s">
        <v>1393</v>
      </c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6"/>
      <c r="W221" s="6"/>
      <c r="X221" s="6"/>
      <c r="Y221" s="6"/>
      <c r="Z221" s="6"/>
      <c r="AA221" s="6"/>
      <c r="AB221" s="6"/>
      <c r="AC221" s="6">
        <v>1</v>
      </c>
      <c r="AD221" s="2"/>
      <c r="AE221" s="2"/>
    </row>
    <row r="222" spans="1:31" ht="14.25" customHeight="1">
      <c r="A222" s="6">
        <v>8030</v>
      </c>
      <c r="B222" s="52"/>
      <c r="C222" s="1" t="s">
        <v>1391</v>
      </c>
      <c r="D222" s="2"/>
      <c r="E222" s="2"/>
      <c r="F222" s="2"/>
      <c r="G222" s="2"/>
      <c r="H222" s="20">
        <v>0.01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6"/>
      <c r="W222" s="6"/>
      <c r="X222" s="6"/>
      <c r="Y222" s="6"/>
      <c r="Z222" s="6"/>
      <c r="AA222" s="6"/>
      <c r="AB222" s="6"/>
      <c r="AC222" s="6">
        <v>1</v>
      </c>
      <c r="AD222" s="2"/>
      <c r="AE222" s="2"/>
    </row>
    <row r="223" spans="1:31" ht="14.25" customHeight="1">
      <c r="A223" s="6">
        <v>8031</v>
      </c>
      <c r="B223" s="52"/>
      <c r="C223" s="1" t="s">
        <v>1391</v>
      </c>
      <c r="D223" s="2"/>
      <c r="E223" s="2"/>
      <c r="F223" s="2"/>
      <c r="G223" s="2"/>
      <c r="H223" s="20">
        <v>0.01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6"/>
      <c r="W223" s="6"/>
      <c r="X223" s="6"/>
      <c r="Y223" s="6"/>
      <c r="Z223" s="6"/>
      <c r="AA223" s="6"/>
      <c r="AB223" s="6"/>
      <c r="AC223" s="6">
        <v>1</v>
      </c>
      <c r="AD223" s="2"/>
      <c r="AE223" s="2"/>
    </row>
    <row r="224" spans="1:31" ht="14.25" customHeight="1">
      <c r="A224" s="6">
        <v>8032</v>
      </c>
      <c r="B224" s="52"/>
      <c r="C224" s="1" t="s">
        <v>1391</v>
      </c>
      <c r="D224" s="2"/>
      <c r="E224" s="2"/>
      <c r="F224" s="2"/>
      <c r="G224" s="2"/>
      <c r="H224" s="20">
        <v>0.01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6"/>
      <c r="W224" s="6"/>
      <c r="X224" s="6"/>
      <c r="Y224" s="6"/>
      <c r="Z224" s="6"/>
      <c r="AA224" s="6"/>
      <c r="AB224" s="6"/>
      <c r="AC224" s="6">
        <v>1</v>
      </c>
      <c r="AD224" s="2"/>
      <c r="AE224" s="2"/>
    </row>
    <row r="225" spans="1:31" ht="14.25" customHeight="1">
      <c r="A225" s="6">
        <v>8033</v>
      </c>
      <c r="B225" s="52"/>
      <c r="C225" s="1" t="s">
        <v>1391</v>
      </c>
      <c r="D225" s="2"/>
      <c r="E225" s="2"/>
      <c r="F225" s="2"/>
      <c r="G225" s="2"/>
      <c r="H225" s="20">
        <v>0.01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6"/>
      <c r="W225" s="6"/>
      <c r="X225" s="6"/>
      <c r="Y225" s="6"/>
      <c r="Z225" s="6"/>
      <c r="AA225" s="6"/>
      <c r="AB225" s="6"/>
      <c r="AC225" s="6">
        <v>1</v>
      </c>
      <c r="AD225" s="2"/>
      <c r="AE225" s="2"/>
    </row>
    <row r="226" spans="1:31" ht="14.25" customHeight="1">
      <c r="A226" s="6">
        <v>8034</v>
      </c>
      <c r="B226" s="52"/>
      <c r="C226" s="1" t="s">
        <v>1391</v>
      </c>
      <c r="D226" s="2"/>
      <c r="E226" s="2"/>
      <c r="F226" s="2"/>
      <c r="G226" s="2"/>
      <c r="H226" s="20">
        <v>0.01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6"/>
      <c r="W226" s="6"/>
      <c r="X226" s="6"/>
      <c r="Y226" s="6"/>
      <c r="Z226" s="6"/>
      <c r="AA226" s="6"/>
      <c r="AB226" s="6"/>
      <c r="AC226" s="6">
        <v>1</v>
      </c>
      <c r="AD226" s="2"/>
      <c r="AE226" s="2"/>
    </row>
    <row r="227" spans="1:31" ht="14.25" customHeight="1">
      <c r="A227" s="6">
        <v>8035</v>
      </c>
      <c r="B227" s="52"/>
      <c r="C227" s="1" t="s">
        <v>1391</v>
      </c>
      <c r="D227" s="2"/>
      <c r="E227" s="2"/>
      <c r="F227" s="2"/>
      <c r="G227" s="2"/>
      <c r="H227" s="20">
        <v>0.01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6"/>
      <c r="W227" s="6"/>
      <c r="X227" s="6"/>
      <c r="Y227" s="6"/>
      <c r="Z227" s="6"/>
      <c r="AA227" s="6"/>
      <c r="AB227" s="6"/>
      <c r="AC227" s="6">
        <v>1</v>
      </c>
      <c r="AD227" s="2"/>
      <c r="AE227" s="2"/>
    </row>
    <row r="228" spans="1:31" ht="14.25" customHeight="1">
      <c r="A228" s="6">
        <v>8036</v>
      </c>
      <c r="B228" s="52"/>
      <c r="C228" s="1" t="s">
        <v>1391</v>
      </c>
      <c r="D228" s="2"/>
      <c r="E228" s="2"/>
      <c r="F228" s="2"/>
      <c r="G228" s="2"/>
      <c r="H228" s="20">
        <v>0.01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6"/>
      <c r="W228" s="6"/>
      <c r="X228" s="6"/>
      <c r="Y228" s="6"/>
      <c r="Z228" s="6"/>
      <c r="AA228" s="6"/>
      <c r="AB228" s="6"/>
      <c r="AC228" s="6">
        <v>1</v>
      </c>
      <c r="AD228" s="2"/>
      <c r="AE228" s="2"/>
    </row>
    <row r="229" spans="1:31" ht="14.25" customHeight="1">
      <c r="A229" s="6">
        <v>8037</v>
      </c>
      <c r="B229" s="52"/>
      <c r="C229" s="1" t="s">
        <v>1391</v>
      </c>
      <c r="D229" s="2"/>
      <c r="E229" s="2"/>
      <c r="F229" s="2"/>
      <c r="G229" s="2"/>
      <c r="H229" s="20">
        <v>0.01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6"/>
      <c r="W229" s="6"/>
      <c r="X229" s="6"/>
      <c r="Y229" s="6"/>
      <c r="Z229" s="6"/>
      <c r="AA229" s="6"/>
      <c r="AB229" s="6"/>
      <c r="AC229" s="6">
        <v>1</v>
      </c>
      <c r="AD229" s="2"/>
      <c r="AE229" s="2"/>
    </row>
    <row r="230" spans="1:31" ht="14.25" customHeight="1">
      <c r="A230" s="6">
        <v>8038</v>
      </c>
      <c r="B230" s="52"/>
      <c r="C230" s="1" t="s">
        <v>1391</v>
      </c>
      <c r="D230" s="2"/>
      <c r="E230" s="2"/>
      <c r="F230" s="2"/>
      <c r="G230" s="2"/>
      <c r="H230" s="20">
        <v>0.01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6"/>
      <c r="W230" s="6"/>
      <c r="X230" s="6"/>
      <c r="Y230" s="6"/>
      <c r="Z230" s="6"/>
      <c r="AA230" s="6"/>
      <c r="AB230" s="6"/>
      <c r="AC230" s="6">
        <v>1</v>
      </c>
      <c r="AD230" s="2"/>
      <c r="AE230" s="2"/>
    </row>
    <row r="231" spans="1:31" ht="14.25" customHeight="1">
      <c r="A231" s="6">
        <v>8039</v>
      </c>
      <c r="B231" s="52"/>
      <c r="C231" s="1" t="s">
        <v>1391</v>
      </c>
      <c r="D231" s="2"/>
      <c r="E231" s="2"/>
      <c r="F231" s="2"/>
      <c r="G231" s="2"/>
      <c r="H231" s="20">
        <v>0.01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6"/>
      <c r="W231" s="6"/>
      <c r="X231" s="6"/>
      <c r="Y231" s="6"/>
      <c r="Z231" s="6"/>
      <c r="AA231" s="6"/>
      <c r="AB231" s="6"/>
      <c r="AC231" s="6">
        <v>1</v>
      </c>
      <c r="AD231" s="2"/>
      <c r="AE231" s="2"/>
    </row>
    <row r="232" spans="1:31" ht="14.25" customHeight="1">
      <c r="A232" s="6">
        <v>8040</v>
      </c>
      <c r="B232" s="52"/>
      <c r="C232" s="1" t="s">
        <v>1391</v>
      </c>
      <c r="D232" s="2"/>
      <c r="E232" s="2"/>
      <c r="F232" s="2"/>
      <c r="G232" s="2"/>
      <c r="H232" s="20">
        <v>0.01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6"/>
      <c r="W232" s="6"/>
      <c r="X232" s="6"/>
      <c r="Y232" s="6"/>
      <c r="Z232" s="6"/>
      <c r="AA232" s="6"/>
      <c r="AB232" s="6"/>
      <c r="AC232" s="6">
        <v>1</v>
      </c>
      <c r="AD232" s="2"/>
      <c r="AE232" s="2"/>
    </row>
    <row r="233" spans="1:31" ht="14.25" customHeight="1">
      <c r="A233" s="6">
        <v>8041</v>
      </c>
      <c r="B233" s="52"/>
      <c r="C233" s="1" t="s">
        <v>1391</v>
      </c>
      <c r="D233" s="2"/>
      <c r="E233" s="2"/>
      <c r="F233" s="2"/>
      <c r="G233" s="2"/>
      <c r="H233" s="20">
        <v>0.01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6"/>
      <c r="W233" s="6"/>
      <c r="X233" s="6"/>
      <c r="Y233" s="6"/>
      <c r="Z233" s="6"/>
      <c r="AA233" s="6"/>
      <c r="AB233" s="6"/>
      <c r="AC233" s="6">
        <v>1</v>
      </c>
      <c r="AD233" s="2"/>
      <c r="AE233" s="2"/>
    </row>
    <row r="234" spans="1:31" ht="14.25" customHeight="1">
      <c r="A234" s="6">
        <v>8042</v>
      </c>
      <c r="B234" s="52"/>
      <c r="C234" s="1" t="s">
        <v>1391</v>
      </c>
      <c r="D234" s="2"/>
      <c r="E234" s="2"/>
      <c r="F234" s="2"/>
      <c r="G234" s="2"/>
      <c r="H234" s="20">
        <v>0.01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6"/>
      <c r="W234" s="6"/>
      <c r="X234" s="6"/>
      <c r="Y234" s="6"/>
      <c r="Z234" s="6"/>
      <c r="AA234" s="6"/>
      <c r="AB234" s="6"/>
      <c r="AC234" s="6">
        <v>1</v>
      </c>
      <c r="AD234" s="2"/>
      <c r="AE234" s="2"/>
    </row>
    <row r="235" spans="1:31" ht="14.25" customHeight="1">
      <c r="A235" s="6">
        <v>8043</v>
      </c>
      <c r="B235" s="52"/>
      <c r="C235" s="1" t="s">
        <v>1391</v>
      </c>
      <c r="D235" s="2"/>
      <c r="E235" s="2"/>
      <c r="F235" s="2"/>
      <c r="G235" s="2"/>
      <c r="H235" s="20">
        <v>0.01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6"/>
      <c r="W235" s="6"/>
      <c r="X235" s="6"/>
      <c r="Y235" s="6"/>
      <c r="Z235" s="6"/>
      <c r="AA235" s="6"/>
      <c r="AB235" s="6"/>
      <c r="AC235" s="6">
        <v>1</v>
      </c>
      <c r="AD235" s="2"/>
      <c r="AE235" s="2"/>
    </row>
    <row r="236" spans="1:31" ht="14.25" customHeight="1">
      <c r="A236" s="6">
        <v>8044</v>
      </c>
      <c r="B236" s="52"/>
      <c r="C236" s="1" t="s">
        <v>1394</v>
      </c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6"/>
      <c r="W236" s="6"/>
      <c r="X236" s="6"/>
      <c r="Y236" s="6"/>
      <c r="Z236" s="6"/>
      <c r="AA236" s="6"/>
      <c r="AB236" s="6"/>
      <c r="AC236" s="6">
        <v>1</v>
      </c>
      <c r="AD236" s="2"/>
      <c r="AE236" s="2"/>
    </row>
    <row r="237" spans="1:31" ht="14.25" customHeight="1">
      <c r="A237" s="6">
        <v>8045</v>
      </c>
      <c r="B237" s="52"/>
      <c r="C237" s="1" t="s">
        <v>1391</v>
      </c>
      <c r="D237" s="2"/>
      <c r="E237" s="2"/>
      <c r="F237" s="2"/>
      <c r="G237" s="2"/>
      <c r="H237" s="20">
        <v>0.01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6"/>
      <c r="W237" s="6"/>
      <c r="X237" s="6"/>
      <c r="Y237" s="6"/>
      <c r="Z237" s="6"/>
      <c r="AA237" s="6"/>
      <c r="AB237" s="6"/>
      <c r="AC237" s="6">
        <v>1</v>
      </c>
      <c r="AD237" s="2"/>
      <c r="AE237" s="2"/>
    </row>
    <row r="238" spans="1:31" ht="14.25" customHeight="1">
      <c r="A238" s="6">
        <v>8046</v>
      </c>
      <c r="B238" s="52"/>
      <c r="C238" s="1" t="s">
        <v>1391</v>
      </c>
      <c r="D238" s="2"/>
      <c r="E238" s="2"/>
      <c r="F238" s="2"/>
      <c r="G238" s="2"/>
      <c r="H238" s="20">
        <v>0.01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6"/>
      <c r="W238" s="6"/>
      <c r="X238" s="6"/>
      <c r="Y238" s="6"/>
      <c r="Z238" s="6"/>
      <c r="AA238" s="6"/>
      <c r="AB238" s="6"/>
      <c r="AC238" s="6">
        <v>1</v>
      </c>
      <c r="AD238" s="2"/>
      <c r="AE238" s="2"/>
    </row>
    <row r="239" spans="1:31" ht="14.25" customHeight="1">
      <c r="A239" s="6">
        <v>8047</v>
      </c>
      <c r="B239" s="52"/>
      <c r="C239" s="1" t="s">
        <v>1391</v>
      </c>
      <c r="D239" s="2"/>
      <c r="E239" s="2"/>
      <c r="F239" s="2"/>
      <c r="G239" s="2"/>
      <c r="H239" s="20">
        <v>0.01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6"/>
      <c r="W239" s="6"/>
      <c r="X239" s="6"/>
      <c r="Y239" s="6"/>
      <c r="Z239" s="6"/>
      <c r="AA239" s="6"/>
      <c r="AB239" s="6"/>
      <c r="AC239" s="6">
        <v>1</v>
      </c>
      <c r="AD239" s="2"/>
      <c r="AE239" s="2"/>
    </row>
    <row r="240" spans="1:31" ht="14.25" customHeight="1">
      <c r="A240" s="6">
        <v>8048</v>
      </c>
      <c r="B240" s="52"/>
      <c r="C240" s="1" t="s">
        <v>1391</v>
      </c>
      <c r="D240" s="2"/>
      <c r="E240" s="2"/>
      <c r="F240" s="2"/>
      <c r="G240" s="2"/>
      <c r="H240" s="20">
        <v>0.01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6"/>
      <c r="W240" s="6"/>
      <c r="X240" s="6"/>
      <c r="Y240" s="6"/>
      <c r="Z240" s="6"/>
      <c r="AA240" s="6"/>
      <c r="AB240" s="6"/>
      <c r="AC240" s="6">
        <v>1</v>
      </c>
      <c r="AD240" s="2"/>
      <c r="AE240" s="2"/>
    </row>
    <row r="241" spans="1:31" ht="14.25" customHeight="1">
      <c r="A241" s="6">
        <v>8049</v>
      </c>
      <c r="B241" s="52"/>
      <c r="C241" s="1" t="s">
        <v>1391</v>
      </c>
      <c r="D241" s="2"/>
      <c r="E241" s="2"/>
      <c r="F241" s="2"/>
      <c r="G241" s="2"/>
      <c r="H241" s="20">
        <v>0.01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6"/>
      <c r="W241" s="6"/>
      <c r="X241" s="6"/>
      <c r="Y241" s="6"/>
      <c r="Z241" s="6"/>
      <c r="AA241" s="6"/>
      <c r="AB241" s="6"/>
      <c r="AC241" s="6">
        <v>1</v>
      </c>
      <c r="AD241" s="2"/>
      <c r="AE241" s="2"/>
    </row>
    <row r="242" spans="1:31" ht="14.25" customHeight="1">
      <c r="A242" s="6">
        <v>8050</v>
      </c>
      <c r="B242" s="52"/>
      <c r="C242" s="1" t="s">
        <v>1391</v>
      </c>
      <c r="D242" s="2"/>
      <c r="E242" s="2"/>
      <c r="F242" s="2"/>
      <c r="G242" s="2"/>
      <c r="H242" s="20">
        <v>0.01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6"/>
      <c r="W242" s="6"/>
      <c r="X242" s="6"/>
      <c r="Y242" s="6"/>
      <c r="Z242" s="6"/>
      <c r="AA242" s="6"/>
      <c r="AB242" s="6"/>
      <c r="AC242" s="6">
        <v>1</v>
      </c>
      <c r="AD242" s="2"/>
      <c r="AE242" s="2"/>
    </row>
    <row r="243" spans="1:31" ht="14.25" customHeight="1">
      <c r="A243" s="6">
        <v>8051</v>
      </c>
      <c r="B243" s="52"/>
      <c r="C243" s="1" t="s">
        <v>1391</v>
      </c>
      <c r="D243" s="2"/>
      <c r="E243" s="2"/>
      <c r="F243" s="2"/>
      <c r="G243" s="2"/>
      <c r="H243" s="20">
        <v>0.01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6"/>
      <c r="W243" s="6"/>
      <c r="X243" s="6"/>
      <c r="Y243" s="6"/>
      <c r="Z243" s="6"/>
      <c r="AA243" s="6"/>
      <c r="AB243" s="6"/>
      <c r="AC243" s="6">
        <v>1</v>
      </c>
      <c r="AD243" s="2"/>
      <c r="AE243" s="2"/>
    </row>
    <row r="244" spans="1:31" ht="14.25" customHeight="1">
      <c r="A244" s="6">
        <v>8052</v>
      </c>
      <c r="B244" s="52"/>
      <c r="C244" s="1" t="s">
        <v>1391</v>
      </c>
      <c r="D244" s="2"/>
      <c r="E244" s="2"/>
      <c r="F244" s="2"/>
      <c r="G244" s="2"/>
      <c r="H244" s="20">
        <v>0.01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6"/>
      <c r="W244" s="6"/>
      <c r="X244" s="6"/>
      <c r="Y244" s="6"/>
      <c r="Z244" s="6"/>
      <c r="AA244" s="6"/>
      <c r="AB244" s="6"/>
      <c r="AC244" s="6">
        <v>1</v>
      </c>
      <c r="AD244" s="2"/>
      <c r="AE244" s="2"/>
    </row>
    <row r="245" spans="1:31" ht="14.25" customHeight="1">
      <c r="A245" s="6">
        <v>8053</v>
      </c>
      <c r="B245" s="52"/>
      <c r="C245" s="1" t="s">
        <v>1391</v>
      </c>
      <c r="D245" s="2"/>
      <c r="E245" s="2"/>
      <c r="F245" s="2"/>
      <c r="G245" s="2"/>
      <c r="H245" s="20">
        <v>0.01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6"/>
      <c r="W245" s="6"/>
      <c r="X245" s="6"/>
      <c r="Y245" s="6"/>
      <c r="Z245" s="6"/>
      <c r="AA245" s="6"/>
      <c r="AB245" s="6"/>
      <c r="AC245" s="6">
        <v>1</v>
      </c>
      <c r="AD245" s="2"/>
      <c r="AE245" s="2"/>
    </row>
    <row r="246" spans="1:31" ht="14.25" customHeight="1">
      <c r="A246" s="6">
        <v>8054</v>
      </c>
      <c r="B246" s="52"/>
      <c r="C246" s="1" t="s">
        <v>1391</v>
      </c>
      <c r="D246" s="2"/>
      <c r="E246" s="2"/>
      <c r="F246" s="2"/>
      <c r="G246" s="2"/>
      <c r="H246" s="20">
        <v>0.01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6"/>
      <c r="W246" s="6"/>
      <c r="X246" s="6"/>
      <c r="Y246" s="6"/>
      <c r="Z246" s="6"/>
      <c r="AA246" s="6"/>
      <c r="AB246" s="6"/>
      <c r="AC246" s="6">
        <v>1</v>
      </c>
      <c r="AD246" s="2"/>
      <c r="AE246" s="2"/>
    </row>
    <row r="247" spans="1:31" ht="14.25" customHeight="1">
      <c r="A247" s="6">
        <v>8055</v>
      </c>
      <c r="B247" s="52"/>
      <c r="C247" s="1" t="s">
        <v>1391</v>
      </c>
      <c r="D247" s="2"/>
      <c r="E247" s="2"/>
      <c r="F247" s="2"/>
      <c r="G247" s="2"/>
      <c r="H247" s="20">
        <v>0.01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6"/>
      <c r="W247" s="6"/>
      <c r="X247" s="6"/>
      <c r="Y247" s="6"/>
      <c r="Z247" s="6"/>
      <c r="AA247" s="6"/>
      <c r="AB247" s="6"/>
      <c r="AC247" s="6">
        <v>1</v>
      </c>
      <c r="AD247" s="2"/>
      <c r="AE247" s="2"/>
    </row>
    <row r="248" spans="1:31" ht="14.25" customHeight="1">
      <c r="A248" s="6">
        <v>8056</v>
      </c>
      <c r="B248" s="52"/>
      <c r="C248" s="1" t="s">
        <v>1391</v>
      </c>
      <c r="D248" s="2"/>
      <c r="E248" s="2"/>
      <c r="F248" s="2"/>
      <c r="G248" s="2"/>
      <c r="H248" s="20">
        <v>0.01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6"/>
      <c r="W248" s="6"/>
      <c r="X248" s="6"/>
      <c r="Y248" s="6"/>
      <c r="Z248" s="6"/>
      <c r="AA248" s="6"/>
      <c r="AB248" s="6"/>
      <c r="AC248" s="6">
        <v>1</v>
      </c>
      <c r="AD248" s="2"/>
      <c r="AE248" s="2"/>
    </row>
    <row r="249" spans="1:31" ht="14.25" customHeight="1">
      <c r="A249" s="6">
        <v>8057</v>
      </c>
      <c r="B249" s="52"/>
      <c r="C249" s="1" t="s">
        <v>1391</v>
      </c>
      <c r="D249" s="2"/>
      <c r="E249" s="2"/>
      <c r="F249" s="2"/>
      <c r="G249" s="2"/>
      <c r="H249" s="20">
        <v>0.01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6"/>
      <c r="W249" s="6"/>
      <c r="X249" s="6"/>
      <c r="Y249" s="6"/>
      <c r="Z249" s="6"/>
      <c r="AA249" s="6"/>
      <c r="AB249" s="6"/>
      <c r="AC249" s="6">
        <v>1</v>
      </c>
      <c r="AD249" s="2"/>
      <c r="AE249" s="2"/>
    </row>
    <row r="250" spans="1:31" ht="14.25" customHeight="1">
      <c r="A250" s="6">
        <v>8058</v>
      </c>
      <c r="B250" s="52"/>
      <c r="C250" s="1" t="s">
        <v>1391</v>
      </c>
      <c r="D250" s="2"/>
      <c r="E250" s="2"/>
      <c r="F250" s="2"/>
      <c r="G250" s="2"/>
      <c r="H250" s="20">
        <v>0.01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6"/>
      <c r="W250" s="6"/>
      <c r="X250" s="6"/>
      <c r="Y250" s="6"/>
      <c r="Z250" s="6"/>
      <c r="AA250" s="6"/>
      <c r="AB250" s="6"/>
      <c r="AC250" s="6">
        <v>1</v>
      </c>
      <c r="AD250" s="2"/>
      <c r="AE250" s="2"/>
    </row>
    <row r="251" spans="1:31" ht="14.25" customHeight="1">
      <c r="A251" s="6">
        <v>8059</v>
      </c>
      <c r="B251" s="52"/>
      <c r="C251" s="1" t="s">
        <v>1395</v>
      </c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6"/>
      <c r="W251" s="6"/>
      <c r="X251" s="6"/>
      <c r="Y251" s="6"/>
      <c r="Z251" s="6"/>
      <c r="AA251" s="6"/>
      <c r="AB251" s="6"/>
      <c r="AC251" s="6">
        <v>1</v>
      </c>
      <c r="AD251" s="2"/>
      <c r="AE251" s="2"/>
    </row>
    <row r="252" spans="1:31" ht="14.25" customHeight="1">
      <c r="A252" s="6">
        <v>8060</v>
      </c>
      <c r="B252" s="52"/>
      <c r="C252" s="1" t="s">
        <v>1396</v>
      </c>
      <c r="D252" s="2"/>
      <c r="E252" s="2"/>
      <c r="F252" s="2"/>
      <c r="G252" s="2"/>
      <c r="H252" s="2"/>
      <c r="I252" s="20">
        <v>0.01</v>
      </c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6"/>
      <c r="W252" s="6"/>
      <c r="X252" s="6"/>
      <c r="Y252" s="6"/>
      <c r="Z252" s="6"/>
      <c r="AA252" s="6"/>
      <c r="AB252" s="6"/>
      <c r="AC252" s="6">
        <v>1</v>
      </c>
      <c r="AD252" s="2"/>
      <c r="AE252" s="2"/>
    </row>
    <row r="253" spans="1:31" ht="14.25" customHeight="1">
      <c r="A253" s="6">
        <v>8061</v>
      </c>
      <c r="B253" s="52"/>
      <c r="C253" s="1" t="s">
        <v>1396</v>
      </c>
      <c r="D253" s="2"/>
      <c r="E253" s="2"/>
      <c r="F253" s="2"/>
      <c r="G253" s="2"/>
      <c r="H253" s="2"/>
      <c r="I253" s="20">
        <v>0.01</v>
      </c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6"/>
      <c r="W253" s="6"/>
      <c r="X253" s="6"/>
      <c r="Y253" s="6"/>
      <c r="Z253" s="6"/>
      <c r="AA253" s="6"/>
      <c r="AB253" s="6"/>
      <c r="AC253" s="6">
        <v>1</v>
      </c>
      <c r="AD253" s="2"/>
      <c r="AE253" s="2"/>
    </row>
    <row r="254" spans="1:31" ht="14.25" customHeight="1">
      <c r="A254" s="6">
        <v>8062</v>
      </c>
      <c r="B254" s="52"/>
      <c r="C254" s="1" t="s">
        <v>1396</v>
      </c>
      <c r="D254" s="2"/>
      <c r="E254" s="2"/>
      <c r="F254" s="2"/>
      <c r="G254" s="2"/>
      <c r="H254" s="2"/>
      <c r="I254" s="20">
        <v>0.01</v>
      </c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6"/>
      <c r="W254" s="6"/>
      <c r="X254" s="6"/>
      <c r="Y254" s="6"/>
      <c r="Z254" s="6"/>
      <c r="AA254" s="6"/>
      <c r="AB254" s="6"/>
      <c r="AC254" s="6">
        <v>1</v>
      </c>
      <c r="AD254" s="2"/>
      <c r="AE254" s="2"/>
    </row>
    <row r="255" spans="1:31" ht="14.25" customHeight="1">
      <c r="A255" s="6">
        <v>8063</v>
      </c>
      <c r="B255" s="52"/>
      <c r="C255" s="1" t="s">
        <v>1396</v>
      </c>
      <c r="D255" s="2"/>
      <c r="E255" s="2"/>
      <c r="F255" s="2"/>
      <c r="G255" s="2"/>
      <c r="H255" s="2"/>
      <c r="I255" s="20">
        <v>0.01</v>
      </c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6"/>
      <c r="W255" s="6"/>
      <c r="X255" s="6"/>
      <c r="Y255" s="6"/>
      <c r="Z255" s="6"/>
      <c r="AA255" s="6"/>
      <c r="AB255" s="6"/>
      <c r="AC255" s="6">
        <v>1</v>
      </c>
      <c r="AD255" s="2"/>
      <c r="AE255" s="2"/>
    </row>
    <row r="256" spans="1:31" ht="14.25" customHeight="1">
      <c r="A256" s="6">
        <v>8064</v>
      </c>
      <c r="B256" s="52"/>
      <c r="C256" s="1" t="s">
        <v>1396</v>
      </c>
      <c r="D256" s="2"/>
      <c r="E256" s="2"/>
      <c r="F256" s="2"/>
      <c r="G256" s="2"/>
      <c r="H256" s="2"/>
      <c r="I256" s="20">
        <v>0.01</v>
      </c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6"/>
      <c r="W256" s="6"/>
      <c r="X256" s="6"/>
      <c r="Y256" s="6"/>
      <c r="Z256" s="6"/>
      <c r="AA256" s="6"/>
      <c r="AB256" s="6"/>
      <c r="AC256" s="6">
        <v>1</v>
      </c>
      <c r="AD256" s="2"/>
      <c r="AE256" s="2"/>
    </row>
    <row r="257" spans="1:31" ht="14.25" customHeight="1">
      <c r="A257" s="6">
        <v>8065</v>
      </c>
      <c r="B257" s="52"/>
      <c r="C257" s="1" t="s">
        <v>1396</v>
      </c>
      <c r="D257" s="2"/>
      <c r="E257" s="2"/>
      <c r="F257" s="2"/>
      <c r="G257" s="2"/>
      <c r="H257" s="2"/>
      <c r="I257" s="20">
        <v>0.01</v>
      </c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6"/>
      <c r="W257" s="6"/>
      <c r="X257" s="6"/>
      <c r="Y257" s="6"/>
      <c r="Z257" s="6"/>
      <c r="AA257" s="6"/>
      <c r="AB257" s="6"/>
      <c r="AC257" s="6">
        <v>1</v>
      </c>
      <c r="AD257" s="2"/>
      <c r="AE257" s="2"/>
    </row>
    <row r="258" spans="1:31" ht="14.25" customHeight="1">
      <c r="A258" s="6">
        <v>8066</v>
      </c>
      <c r="B258" s="52"/>
      <c r="C258" s="1" t="s">
        <v>1396</v>
      </c>
      <c r="D258" s="2"/>
      <c r="E258" s="2"/>
      <c r="F258" s="2"/>
      <c r="G258" s="2"/>
      <c r="H258" s="2"/>
      <c r="I258" s="20">
        <v>0.01</v>
      </c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6"/>
      <c r="W258" s="2"/>
      <c r="X258" s="2"/>
      <c r="Y258" s="2"/>
      <c r="Z258" s="2"/>
      <c r="AA258" s="2"/>
      <c r="AB258" s="2"/>
      <c r="AC258" s="6">
        <v>1</v>
      </c>
      <c r="AD258" s="2"/>
      <c r="AE258" s="2"/>
    </row>
    <row r="259" spans="1:31" ht="14.25" customHeight="1">
      <c r="A259" s="6">
        <v>8067</v>
      </c>
      <c r="B259" s="52"/>
      <c r="C259" s="1" t="s">
        <v>1396</v>
      </c>
      <c r="D259" s="2"/>
      <c r="E259" s="2"/>
      <c r="F259" s="2"/>
      <c r="G259" s="2"/>
      <c r="H259" s="2"/>
      <c r="I259" s="20">
        <v>0.01</v>
      </c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6"/>
      <c r="W259" s="2"/>
      <c r="X259" s="2"/>
      <c r="Y259" s="2"/>
      <c r="Z259" s="2"/>
      <c r="AA259" s="2"/>
      <c r="AB259" s="2"/>
      <c r="AC259" s="6">
        <v>1</v>
      </c>
      <c r="AD259" s="2"/>
      <c r="AE259" s="2"/>
    </row>
    <row r="260" spans="1:31" ht="14.25" customHeight="1">
      <c r="A260" s="6">
        <v>8068</v>
      </c>
      <c r="B260" s="52"/>
      <c r="C260" s="1" t="s">
        <v>1396</v>
      </c>
      <c r="D260" s="2"/>
      <c r="E260" s="2"/>
      <c r="F260" s="2"/>
      <c r="G260" s="2"/>
      <c r="H260" s="2"/>
      <c r="I260" s="20">
        <v>0.01</v>
      </c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6"/>
      <c r="W260" s="2"/>
      <c r="X260" s="2"/>
      <c r="Y260" s="2"/>
      <c r="Z260" s="2"/>
      <c r="AA260" s="2"/>
      <c r="AB260" s="2"/>
      <c r="AC260" s="6">
        <v>1</v>
      </c>
      <c r="AD260" s="2"/>
      <c r="AE260" s="2"/>
    </row>
    <row r="261" spans="1:31" ht="14.25" customHeight="1">
      <c r="A261" s="6">
        <v>8069</v>
      </c>
      <c r="B261" s="52"/>
      <c r="C261" s="1" t="s">
        <v>1396</v>
      </c>
      <c r="D261" s="2"/>
      <c r="E261" s="2"/>
      <c r="F261" s="2"/>
      <c r="G261" s="2"/>
      <c r="H261" s="2"/>
      <c r="I261" s="20">
        <v>0.01</v>
      </c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6"/>
      <c r="W261" s="2"/>
      <c r="X261" s="2"/>
      <c r="Y261" s="2"/>
      <c r="Z261" s="2"/>
      <c r="AA261" s="2"/>
      <c r="AB261" s="2"/>
      <c r="AC261" s="6">
        <v>1</v>
      </c>
      <c r="AD261" s="2"/>
      <c r="AE261" s="2"/>
    </row>
    <row r="262" spans="1:31" ht="14.25" customHeight="1">
      <c r="A262" s="6">
        <v>8070</v>
      </c>
      <c r="B262" s="52"/>
      <c r="C262" s="1" t="s">
        <v>1396</v>
      </c>
      <c r="D262" s="2"/>
      <c r="E262" s="2"/>
      <c r="F262" s="2"/>
      <c r="G262" s="2"/>
      <c r="H262" s="2"/>
      <c r="I262" s="20">
        <v>0.01</v>
      </c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6"/>
      <c r="W262" s="2"/>
      <c r="X262" s="2"/>
      <c r="Y262" s="2"/>
      <c r="Z262" s="2"/>
      <c r="AA262" s="2"/>
      <c r="AB262" s="2"/>
      <c r="AC262" s="6">
        <v>1</v>
      </c>
      <c r="AD262" s="2"/>
      <c r="AE262" s="2"/>
    </row>
    <row r="263" spans="1:31" ht="14.25" customHeight="1">
      <c r="A263" s="6">
        <v>8071</v>
      </c>
      <c r="B263" s="52"/>
      <c r="C263" s="1" t="s">
        <v>1396</v>
      </c>
      <c r="D263" s="2"/>
      <c r="E263" s="2"/>
      <c r="F263" s="2"/>
      <c r="G263" s="2"/>
      <c r="H263" s="2"/>
      <c r="I263" s="20">
        <v>0.01</v>
      </c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6"/>
      <c r="W263" s="2"/>
      <c r="X263" s="2"/>
      <c r="Y263" s="2"/>
      <c r="Z263" s="2"/>
      <c r="AA263" s="2"/>
      <c r="AB263" s="2"/>
      <c r="AC263" s="6">
        <v>1</v>
      </c>
      <c r="AD263" s="2"/>
      <c r="AE263" s="2"/>
    </row>
    <row r="264" spans="1:31" ht="14.25" customHeight="1">
      <c r="A264" s="6">
        <v>8072</v>
      </c>
      <c r="B264" s="52"/>
      <c r="C264" s="1" t="s">
        <v>1396</v>
      </c>
      <c r="D264" s="2"/>
      <c r="E264" s="2"/>
      <c r="F264" s="2"/>
      <c r="G264" s="2"/>
      <c r="H264" s="2"/>
      <c r="I264" s="20">
        <v>0.01</v>
      </c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6"/>
      <c r="W264" s="2"/>
      <c r="X264" s="2"/>
      <c r="Y264" s="2"/>
      <c r="Z264" s="2"/>
      <c r="AA264" s="2"/>
      <c r="AB264" s="2"/>
      <c r="AC264" s="6">
        <v>1</v>
      </c>
      <c r="AD264" s="2"/>
      <c r="AE264" s="2"/>
    </row>
    <row r="265" spans="1:31" ht="14.25" customHeight="1">
      <c r="A265" s="6">
        <v>8073</v>
      </c>
      <c r="B265" s="52"/>
      <c r="C265" s="1" t="s">
        <v>1396</v>
      </c>
      <c r="D265" s="2"/>
      <c r="E265" s="2"/>
      <c r="F265" s="2"/>
      <c r="G265" s="2"/>
      <c r="H265" s="2"/>
      <c r="I265" s="20">
        <v>0.01</v>
      </c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6"/>
      <c r="W265" s="2"/>
      <c r="X265" s="2"/>
      <c r="Y265" s="2"/>
      <c r="Z265" s="2"/>
      <c r="AA265" s="2"/>
      <c r="AB265" s="2"/>
      <c r="AC265" s="6">
        <v>1</v>
      </c>
      <c r="AD265" s="2"/>
      <c r="AE265" s="2"/>
    </row>
    <row r="266" spans="1:31" ht="14.25" customHeight="1">
      <c r="A266" s="6">
        <v>8074</v>
      </c>
      <c r="B266" s="52"/>
      <c r="C266" s="1" t="s">
        <v>1397</v>
      </c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6"/>
      <c r="W266" s="2"/>
      <c r="X266" s="2"/>
      <c r="Y266" s="2"/>
      <c r="Z266" s="2"/>
      <c r="AA266" s="2"/>
      <c r="AB266" s="2"/>
      <c r="AC266" s="6">
        <v>1</v>
      </c>
      <c r="AD266" s="2"/>
      <c r="AE266" s="2"/>
    </row>
    <row r="267" spans="1:31" ht="14.25" customHeight="1">
      <c r="A267" s="6">
        <v>8075</v>
      </c>
      <c r="B267" s="52"/>
      <c r="C267" s="1" t="s">
        <v>1396</v>
      </c>
      <c r="D267" s="2"/>
      <c r="E267" s="2"/>
      <c r="F267" s="2"/>
      <c r="G267" s="2"/>
      <c r="H267" s="2"/>
      <c r="I267" s="20">
        <v>0.01</v>
      </c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6"/>
      <c r="W267" s="2"/>
      <c r="X267" s="2"/>
      <c r="Y267" s="2"/>
      <c r="Z267" s="2"/>
      <c r="AA267" s="2"/>
      <c r="AB267" s="2"/>
      <c r="AC267" s="6">
        <v>1</v>
      </c>
      <c r="AD267" s="2"/>
      <c r="AE267" s="2"/>
    </row>
    <row r="268" spans="1:31" ht="14.25" customHeight="1">
      <c r="A268" s="6">
        <v>8076</v>
      </c>
      <c r="B268" s="52"/>
      <c r="C268" s="1" t="s">
        <v>1396</v>
      </c>
      <c r="D268" s="2"/>
      <c r="E268" s="2"/>
      <c r="F268" s="2"/>
      <c r="G268" s="2"/>
      <c r="H268" s="2"/>
      <c r="I268" s="20">
        <v>0.01</v>
      </c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6"/>
      <c r="W268" s="2"/>
      <c r="X268" s="2"/>
      <c r="Y268" s="2"/>
      <c r="Z268" s="2"/>
      <c r="AA268" s="2"/>
      <c r="AB268" s="2"/>
      <c r="AC268" s="6">
        <v>1</v>
      </c>
      <c r="AD268" s="2"/>
      <c r="AE268" s="2"/>
    </row>
    <row r="269" spans="1:31" ht="14.25" customHeight="1">
      <c r="A269" s="6">
        <v>8077</v>
      </c>
      <c r="B269" s="52"/>
      <c r="C269" s="1" t="s">
        <v>1396</v>
      </c>
      <c r="D269" s="2"/>
      <c r="E269" s="2"/>
      <c r="F269" s="2"/>
      <c r="G269" s="2"/>
      <c r="H269" s="2"/>
      <c r="I269" s="20">
        <v>0.01</v>
      </c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6"/>
      <c r="W269" s="2"/>
      <c r="X269" s="2"/>
      <c r="Y269" s="2"/>
      <c r="Z269" s="2"/>
      <c r="AA269" s="2"/>
      <c r="AB269" s="2"/>
      <c r="AC269" s="6">
        <v>1</v>
      </c>
      <c r="AD269" s="2"/>
      <c r="AE269" s="2"/>
    </row>
    <row r="270" spans="1:31" ht="14.25" customHeight="1">
      <c r="A270" s="6">
        <v>8078</v>
      </c>
      <c r="B270" s="52"/>
      <c r="C270" s="1" t="s">
        <v>1396</v>
      </c>
      <c r="D270" s="2"/>
      <c r="E270" s="2"/>
      <c r="F270" s="2"/>
      <c r="G270" s="2"/>
      <c r="H270" s="2"/>
      <c r="I270" s="20">
        <v>0.01</v>
      </c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6"/>
      <c r="W270" s="2"/>
      <c r="X270" s="2"/>
      <c r="Y270" s="2"/>
      <c r="Z270" s="2"/>
      <c r="AA270" s="2"/>
      <c r="AB270" s="2"/>
      <c r="AC270" s="6">
        <v>1</v>
      </c>
      <c r="AD270" s="2"/>
      <c r="AE270" s="2"/>
    </row>
    <row r="271" spans="1:31" ht="14.25" customHeight="1">
      <c r="A271" s="6">
        <v>8079</v>
      </c>
      <c r="B271" s="52"/>
      <c r="C271" s="1" t="s">
        <v>1396</v>
      </c>
      <c r="D271" s="2"/>
      <c r="E271" s="2"/>
      <c r="F271" s="2"/>
      <c r="G271" s="2"/>
      <c r="H271" s="2"/>
      <c r="I271" s="20">
        <v>0.01</v>
      </c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6"/>
      <c r="W271" s="2"/>
      <c r="X271" s="2"/>
      <c r="Y271" s="2"/>
      <c r="Z271" s="2"/>
      <c r="AA271" s="2"/>
      <c r="AB271" s="2"/>
      <c r="AC271" s="6">
        <v>1</v>
      </c>
      <c r="AD271" s="2"/>
      <c r="AE271" s="2"/>
    </row>
    <row r="272" spans="1:31" ht="14.25" customHeight="1">
      <c r="A272" s="6">
        <v>8080</v>
      </c>
      <c r="B272" s="52"/>
      <c r="C272" s="1" t="s">
        <v>1396</v>
      </c>
      <c r="D272" s="2"/>
      <c r="E272" s="2"/>
      <c r="F272" s="2"/>
      <c r="G272" s="2"/>
      <c r="H272" s="2"/>
      <c r="I272" s="20">
        <v>0.01</v>
      </c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6"/>
      <c r="W272" s="2"/>
      <c r="X272" s="2"/>
      <c r="Y272" s="2"/>
      <c r="Z272" s="2"/>
      <c r="AA272" s="2"/>
      <c r="AB272" s="2"/>
      <c r="AC272" s="6">
        <v>1</v>
      </c>
      <c r="AD272" s="2"/>
      <c r="AE272" s="2"/>
    </row>
    <row r="273" spans="1:31" ht="14.25" customHeight="1">
      <c r="A273" s="6">
        <v>8081</v>
      </c>
      <c r="B273" s="52"/>
      <c r="C273" s="1" t="s">
        <v>1396</v>
      </c>
      <c r="D273" s="2"/>
      <c r="E273" s="2"/>
      <c r="F273" s="2"/>
      <c r="G273" s="2"/>
      <c r="H273" s="2"/>
      <c r="I273" s="20">
        <v>0.01</v>
      </c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6"/>
      <c r="W273" s="2"/>
      <c r="X273" s="2"/>
      <c r="Y273" s="2"/>
      <c r="Z273" s="2"/>
      <c r="AA273" s="2"/>
      <c r="AB273" s="2"/>
      <c r="AC273" s="6">
        <v>1</v>
      </c>
      <c r="AD273" s="2"/>
      <c r="AE273" s="2"/>
    </row>
    <row r="274" spans="1:31" ht="14.25" customHeight="1">
      <c r="A274" s="6">
        <v>8082</v>
      </c>
      <c r="B274" s="52"/>
      <c r="C274" s="1" t="s">
        <v>1396</v>
      </c>
      <c r="D274" s="2"/>
      <c r="E274" s="2"/>
      <c r="F274" s="2"/>
      <c r="G274" s="2"/>
      <c r="H274" s="2"/>
      <c r="I274" s="20">
        <v>0.01</v>
      </c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6"/>
      <c r="W274" s="2"/>
      <c r="X274" s="2"/>
      <c r="Y274" s="2"/>
      <c r="Z274" s="2"/>
      <c r="AA274" s="2"/>
      <c r="AB274" s="2"/>
      <c r="AC274" s="6">
        <v>1</v>
      </c>
      <c r="AD274" s="2"/>
      <c r="AE274" s="2"/>
    </row>
    <row r="275" spans="1:31" ht="14.25" customHeight="1">
      <c r="A275" s="6">
        <v>8083</v>
      </c>
      <c r="B275" s="52"/>
      <c r="C275" s="1" t="s">
        <v>1396</v>
      </c>
      <c r="D275" s="2"/>
      <c r="E275" s="2"/>
      <c r="F275" s="2"/>
      <c r="G275" s="2"/>
      <c r="H275" s="2"/>
      <c r="I275" s="20">
        <v>0.01</v>
      </c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6"/>
      <c r="W275" s="2"/>
      <c r="X275" s="2"/>
      <c r="Y275" s="2"/>
      <c r="Z275" s="2"/>
      <c r="AA275" s="2"/>
      <c r="AB275" s="2"/>
      <c r="AC275" s="6">
        <v>1</v>
      </c>
      <c r="AD275" s="2"/>
      <c r="AE275" s="2"/>
    </row>
    <row r="276" spans="1:31" ht="14.25" customHeight="1">
      <c r="A276" s="6">
        <v>8084</v>
      </c>
      <c r="B276" s="52"/>
      <c r="C276" s="1" t="s">
        <v>1396</v>
      </c>
      <c r="D276" s="2"/>
      <c r="E276" s="2"/>
      <c r="F276" s="2"/>
      <c r="G276" s="2"/>
      <c r="H276" s="2"/>
      <c r="I276" s="20">
        <v>0.01</v>
      </c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6"/>
      <c r="W276" s="2"/>
      <c r="X276" s="2"/>
      <c r="Y276" s="2"/>
      <c r="Z276" s="2"/>
      <c r="AA276" s="2"/>
      <c r="AB276" s="2"/>
      <c r="AC276" s="6">
        <v>1</v>
      </c>
      <c r="AD276" s="2"/>
      <c r="AE276" s="2"/>
    </row>
    <row r="277" spans="1:31" ht="14.25" customHeight="1">
      <c r="A277" s="6">
        <v>8085</v>
      </c>
      <c r="B277" s="52"/>
      <c r="C277" s="1" t="s">
        <v>1396</v>
      </c>
      <c r="D277" s="2"/>
      <c r="E277" s="2"/>
      <c r="F277" s="2"/>
      <c r="G277" s="2"/>
      <c r="H277" s="2"/>
      <c r="I277" s="20">
        <v>0.01</v>
      </c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6"/>
      <c r="W277" s="2"/>
      <c r="X277" s="2"/>
      <c r="Y277" s="2"/>
      <c r="Z277" s="2"/>
      <c r="AA277" s="2"/>
      <c r="AB277" s="2"/>
      <c r="AC277" s="6">
        <v>1</v>
      </c>
      <c r="AD277" s="2"/>
      <c r="AE277" s="2"/>
    </row>
    <row r="278" spans="1:31" ht="14.25" customHeight="1">
      <c r="A278" s="6">
        <v>8086</v>
      </c>
      <c r="B278" s="52"/>
      <c r="C278" s="1" t="s">
        <v>1396</v>
      </c>
      <c r="D278" s="2"/>
      <c r="E278" s="2"/>
      <c r="F278" s="2"/>
      <c r="G278" s="2"/>
      <c r="H278" s="2"/>
      <c r="I278" s="20">
        <v>0.01</v>
      </c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6"/>
      <c r="W278" s="2"/>
      <c r="X278" s="2"/>
      <c r="Y278" s="2"/>
      <c r="Z278" s="2"/>
      <c r="AA278" s="2"/>
      <c r="AB278" s="2"/>
      <c r="AC278" s="6">
        <v>1</v>
      </c>
      <c r="AD278" s="2"/>
      <c r="AE278" s="2"/>
    </row>
    <row r="279" spans="1:31" ht="14.25" customHeight="1">
      <c r="A279" s="6">
        <v>8087</v>
      </c>
      <c r="B279" s="52"/>
      <c r="C279" s="1" t="s">
        <v>1396</v>
      </c>
      <c r="D279" s="2"/>
      <c r="E279" s="2"/>
      <c r="F279" s="2"/>
      <c r="G279" s="2"/>
      <c r="H279" s="2"/>
      <c r="I279" s="20">
        <v>0.01</v>
      </c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6"/>
      <c r="W279" s="2"/>
      <c r="X279" s="2"/>
      <c r="Y279" s="2"/>
      <c r="Z279" s="2"/>
      <c r="AA279" s="2"/>
      <c r="AB279" s="2"/>
      <c r="AC279" s="6">
        <v>1</v>
      </c>
      <c r="AD279" s="2"/>
      <c r="AE279" s="2"/>
    </row>
    <row r="280" spans="1:31" ht="14.25" customHeight="1">
      <c r="A280" s="6">
        <v>8088</v>
      </c>
      <c r="B280" s="52"/>
      <c r="C280" s="1" t="s">
        <v>1396</v>
      </c>
      <c r="D280" s="2"/>
      <c r="E280" s="2"/>
      <c r="F280" s="2"/>
      <c r="G280" s="2"/>
      <c r="H280" s="2"/>
      <c r="I280" s="20">
        <v>0.01</v>
      </c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6"/>
      <c r="W280" s="2"/>
      <c r="X280" s="2"/>
      <c r="Y280" s="2"/>
      <c r="Z280" s="2"/>
      <c r="AA280" s="2"/>
      <c r="AB280" s="2"/>
      <c r="AC280" s="6">
        <v>1</v>
      </c>
      <c r="AD280" s="2"/>
      <c r="AE280" s="2"/>
    </row>
    <row r="281" spans="1:31" ht="14.25" customHeight="1">
      <c r="A281" s="6">
        <v>8089</v>
      </c>
      <c r="B281" s="52"/>
      <c r="C281" s="1" t="s">
        <v>1398</v>
      </c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6"/>
      <c r="W281" s="2"/>
      <c r="X281" s="2"/>
      <c r="Y281" s="2"/>
      <c r="Z281" s="2"/>
      <c r="AA281" s="2"/>
      <c r="AB281" s="2"/>
      <c r="AC281" s="6">
        <v>1</v>
      </c>
      <c r="AD281" s="2"/>
      <c r="AE281" s="2"/>
    </row>
    <row r="282" spans="1:31" ht="14.25" customHeight="1">
      <c r="A282" s="45"/>
      <c r="B282" s="45"/>
      <c r="V282" s="45"/>
    </row>
    <row r="283" spans="1:31" ht="14.25" customHeight="1">
      <c r="A283" s="45"/>
      <c r="B283" s="45"/>
      <c r="V283" s="45"/>
    </row>
    <row r="284" spans="1:31" ht="14.25" customHeight="1">
      <c r="A284" s="45"/>
      <c r="B284" s="45"/>
      <c r="V284" s="45"/>
    </row>
    <row r="285" spans="1:31" ht="14.25" customHeight="1">
      <c r="A285" s="45"/>
      <c r="B285" s="45"/>
      <c r="V285" s="45"/>
    </row>
    <row r="286" spans="1:31" ht="14.25" customHeight="1">
      <c r="A286" s="45"/>
      <c r="B286" s="45"/>
      <c r="V286" s="45"/>
    </row>
    <row r="287" spans="1:31" ht="14.25" customHeight="1">
      <c r="A287" s="45"/>
      <c r="B287" s="45"/>
      <c r="V287" s="45"/>
    </row>
    <row r="288" spans="1:31" ht="14.25" customHeight="1">
      <c r="A288" s="45"/>
      <c r="B288" s="45"/>
      <c r="V288" s="45"/>
    </row>
    <row r="289" spans="1:31" ht="14.25" customHeight="1">
      <c r="A289" s="45"/>
      <c r="B289" s="45"/>
      <c r="V289" s="45"/>
    </row>
    <row r="290" spans="1:31" ht="14.25" customHeight="1">
      <c r="A290" s="45"/>
      <c r="B290" s="45"/>
      <c r="V290" s="45"/>
    </row>
    <row r="291" spans="1:31" ht="14.25" customHeight="1">
      <c r="A291" s="45"/>
      <c r="B291" s="45"/>
      <c r="V291" s="45"/>
    </row>
    <row r="292" spans="1:31" ht="14.25" customHeight="1">
      <c r="A292" s="45"/>
      <c r="B292" s="45"/>
      <c r="V292" s="45"/>
    </row>
    <row r="293" spans="1:31" ht="14.25" customHeight="1">
      <c r="A293" s="40" t="s">
        <v>705</v>
      </c>
      <c r="B293" s="40" t="s">
        <v>1168</v>
      </c>
      <c r="C293" s="40" t="s">
        <v>1169</v>
      </c>
      <c r="D293" s="40" t="s">
        <v>1170</v>
      </c>
      <c r="E293" s="40" t="s">
        <v>1171</v>
      </c>
      <c r="F293" s="40" t="s">
        <v>1172</v>
      </c>
      <c r="G293" s="40" t="s">
        <v>1173</v>
      </c>
      <c r="H293" s="40" t="s">
        <v>685</v>
      </c>
      <c r="I293" s="40" t="s">
        <v>686</v>
      </c>
      <c r="J293" s="40" t="s">
        <v>687</v>
      </c>
      <c r="K293" s="40" t="s">
        <v>688</v>
      </c>
      <c r="L293" s="40" t="s">
        <v>689</v>
      </c>
      <c r="M293" s="40" t="s">
        <v>39</v>
      </c>
      <c r="N293" s="40" t="s">
        <v>690</v>
      </c>
      <c r="O293" s="40" t="s">
        <v>691</v>
      </c>
      <c r="P293" s="40" t="s">
        <v>692</v>
      </c>
      <c r="Q293" s="40" t="s">
        <v>693</v>
      </c>
      <c r="R293" s="40" t="s">
        <v>694</v>
      </c>
      <c r="S293" s="40" t="s">
        <v>695</v>
      </c>
      <c r="T293" s="40" t="s">
        <v>696</v>
      </c>
      <c r="U293" s="40" t="s">
        <v>697</v>
      </c>
      <c r="V293" s="40" t="s">
        <v>698</v>
      </c>
      <c r="W293" s="40" t="s">
        <v>1174</v>
      </c>
      <c r="X293" s="40" t="s">
        <v>1175</v>
      </c>
      <c r="Y293" s="48" t="s">
        <v>1176</v>
      </c>
      <c r="Z293" s="40" t="s">
        <v>1177</v>
      </c>
      <c r="AA293" s="40" t="s">
        <v>1178</v>
      </c>
      <c r="AB293" s="40" t="s">
        <v>1179</v>
      </c>
      <c r="AC293" s="40" t="s">
        <v>1180</v>
      </c>
      <c r="AD293" s="40" t="s">
        <v>1181</v>
      </c>
      <c r="AE293" s="2" t="s">
        <v>1390</v>
      </c>
    </row>
    <row r="294" spans="1:31" ht="14.25" customHeight="1">
      <c r="A294" s="6">
        <v>9001</v>
      </c>
      <c r="B294" s="4" t="s">
        <v>1399</v>
      </c>
      <c r="C294" s="2" t="s">
        <v>1400</v>
      </c>
      <c r="D294" s="6" t="s">
        <v>767</v>
      </c>
      <c r="E294" s="2"/>
      <c r="F294" s="2"/>
      <c r="G294" s="2"/>
      <c r="H294" s="2">
        <v>0.1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6"/>
      <c r="W294" s="6" t="b">
        <f>FALSE()</f>
        <v>0</v>
      </c>
      <c r="X294" s="6">
        <v>1</v>
      </c>
      <c r="Y294" s="6">
        <v>3</v>
      </c>
      <c r="Z294" s="2"/>
      <c r="AA294" s="2"/>
      <c r="AB294" s="2"/>
      <c r="AC294" s="2"/>
      <c r="AD294" s="6"/>
      <c r="AE294" s="2"/>
    </row>
    <row r="295" spans="1:31" ht="14.25" customHeight="1">
      <c r="A295" s="6">
        <v>9002</v>
      </c>
      <c r="B295" s="4" t="s">
        <v>1401</v>
      </c>
      <c r="C295" s="2" t="s">
        <v>1402</v>
      </c>
      <c r="D295" s="6" t="s">
        <v>767</v>
      </c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>
        <v>0.05</v>
      </c>
      <c r="P295" s="2"/>
      <c r="Q295" s="2"/>
      <c r="R295" s="2"/>
      <c r="S295" s="2"/>
      <c r="T295" s="2"/>
      <c r="U295" s="2"/>
      <c r="V295" s="6"/>
      <c r="W295" s="6" t="b">
        <f>FALSE()</f>
        <v>0</v>
      </c>
      <c r="X295" s="6">
        <v>1</v>
      </c>
      <c r="Y295" s="6">
        <v>3</v>
      </c>
      <c r="Z295" s="2"/>
      <c r="AA295" s="2"/>
      <c r="AB295" s="2"/>
      <c r="AC295" s="2"/>
      <c r="AD295" s="6"/>
      <c r="AE295" s="2"/>
    </row>
    <row r="296" spans="1:31" ht="14.25" customHeight="1">
      <c r="A296" s="6">
        <v>9003</v>
      </c>
      <c r="B296" s="4" t="s">
        <v>1403</v>
      </c>
      <c r="C296" s="2" t="s">
        <v>1404</v>
      </c>
      <c r="D296" s="6" t="s">
        <v>769</v>
      </c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>
        <v>-0.1</v>
      </c>
      <c r="P296" s="2"/>
      <c r="Q296" s="2"/>
      <c r="R296" s="2"/>
      <c r="S296" s="2"/>
      <c r="T296" s="2"/>
      <c r="U296" s="2"/>
      <c r="V296" s="6"/>
      <c r="W296" s="6" t="b">
        <f>FALSE()</f>
        <v>0</v>
      </c>
      <c r="X296" s="6">
        <v>1</v>
      </c>
      <c r="Y296" s="6">
        <v>3</v>
      </c>
      <c r="Z296" s="2"/>
      <c r="AA296" s="2"/>
      <c r="AB296" s="2"/>
      <c r="AC296" s="2"/>
      <c r="AD296" s="6"/>
      <c r="AE296" s="2"/>
    </row>
    <row r="297" spans="1:31" ht="14.25" customHeight="1">
      <c r="A297" s="6">
        <v>9004</v>
      </c>
      <c r="B297" s="4" t="s">
        <v>1405</v>
      </c>
      <c r="C297" s="2" t="s">
        <v>1406</v>
      </c>
      <c r="D297" s="6" t="s">
        <v>769</v>
      </c>
      <c r="E297" s="2"/>
      <c r="F297" s="2"/>
      <c r="G297" s="2"/>
      <c r="H297" s="2"/>
      <c r="I297" s="2"/>
      <c r="J297" s="2"/>
      <c r="K297" s="2">
        <v>-0.1</v>
      </c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6"/>
      <c r="W297" s="6" t="b">
        <f>FALSE()</f>
        <v>0</v>
      </c>
      <c r="X297" s="6">
        <v>1</v>
      </c>
      <c r="Y297" s="6">
        <v>3</v>
      </c>
      <c r="Z297" s="2"/>
      <c r="AA297" s="2"/>
      <c r="AB297" s="2"/>
      <c r="AC297" s="2"/>
      <c r="AD297" s="6"/>
      <c r="AE297" s="2"/>
    </row>
    <row r="298" spans="1:31" ht="14.25" customHeight="1">
      <c r="A298" s="6">
        <v>9005</v>
      </c>
      <c r="B298" s="4" t="s">
        <v>1407</v>
      </c>
      <c r="C298" s="2" t="s">
        <v>1408</v>
      </c>
      <c r="D298" s="6" t="s">
        <v>767</v>
      </c>
      <c r="E298" s="2"/>
      <c r="F298" s="2"/>
      <c r="G298" s="2"/>
      <c r="H298" s="2"/>
      <c r="I298" s="2">
        <v>0.1</v>
      </c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6"/>
      <c r="W298" s="6" t="b">
        <f>FALSE()</f>
        <v>0</v>
      </c>
      <c r="X298" s="6">
        <v>1</v>
      </c>
      <c r="Y298" s="6">
        <v>3</v>
      </c>
      <c r="Z298" s="2"/>
      <c r="AA298" s="2"/>
      <c r="AB298" s="2"/>
      <c r="AC298" s="2"/>
      <c r="AD298" s="6"/>
      <c r="AE298" s="2"/>
    </row>
    <row r="299" spans="1:31" ht="14.25" customHeight="1">
      <c r="A299" s="6">
        <v>9006</v>
      </c>
      <c r="B299" s="4" t="s">
        <v>1409</v>
      </c>
      <c r="C299" s="4" t="s">
        <v>1410</v>
      </c>
      <c r="D299" s="6" t="s">
        <v>767</v>
      </c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6">
        <v>-0.1</v>
      </c>
      <c r="W299" s="6" t="b">
        <f>FALSE()</f>
        <v>0</v>
      </c>
      <c r="X299" s="6">
        <v>1</v>
      </c>
      <c r="Y299" s="6">
        <v>3</v>
      </c>
      <c r="Z299" s="2"/>
      <c r="AA299" s="2"/>
      <c r="AB299" s="2"/>
      <c r="AC299" s="2"/>
      <c r="AD299" s="6"/>
      <c r="AE299" s="2"/>
    </row>
    <row r="300" spans="1:31" ht="14.25" customHeight="1">
      <c r="A300" s="6">
        <v>9007</v>
      </c>
      <c r="B300" s="4" t="s">
        <v>1411</v>
      </c>
      <c r="C300" s="2" t="s">
        <v>1412</v>
      </c>
      <c r="D300" s="6" t="s">
        <v>769</v>
      </c>
      <c r="E300" s="2"/>
      <c r="F300" s="2"/>
      <c r="G300" s="2"/>
      <c r="H300" s="2"/>
      <c r="I300" s="2"/>
      <c r="J300" s="2">
        <v>-0.1</v>
      </c>
      <c r="K300" s="2">
        <v>-0.1</v>
      </c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6"/>
      <c r="W300" s="6" t="b">
        <f>FALSE()</f>
        <v>0</v>
      </c>
      <c r="X300" s="6">
        <v>1</v>
      </c>
      <c r="Y300" s="6">
        <v>3</v>
      </c>
      <c r="Z300" s="2"/>
      <c r="AA300" s="2"/>
      <c r="AB300" s="2"/>
      <c r="AC300" s="2"/>
      <c r="AD300" s="6"/>
      <c r="AE300" s="2"/>
    </row>
    <row r="301" spans="1:31" ht="14.25" customHeight="1">
      <c r="A301" s="6">
        <v>9008</v>
      </c>
      <c r="B301" s="4" t="s">
        <v>1413</v>
      </c>
      <c r="C301" s="2" t="s">
        <v>1414</v>
      </c>
      <c r="D301" s="6" t="s">
        <v>769</v>
      </c>
      <c r="E301" s="2"/>
      <c r="F301" s="2"/>
      <c r="G301" s="2"/>
      <c r="H301" s="2">
        <v>-0.1</v>
      </c>
      <c r="I301" s="2">
        <v>-0.1</v>
      </c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6"/>
      <c r="W301" s="6" t="b">
        <f>FALSE()</f>
        <v>0</v>
      </c>
      <c r="X301" s="6">
        <v>1</v>
      </c>
      <c r="Y301" s="6">
        <v>3</v>
      </c>
      <c r="Z301" s="2"/>
      <c r="AA301" s="2"/>
      <c r="AB301" s="2"/>
      <c r="AC301" s="2"/>
      <c r="AD301" s="6"/>
      <c r="AE301" s="2"/>
    </row>
    <row r="302" spans="1:31" ht="14.25" customHeight="1">
      <c r="A302" s="6">
        <v>9009</v>
      </c>
      <c r="B302" s="4" t="s">
        <v>1415</v>
      </c>
      <c r="C302" s="4" t="s">
        <v>1416</v>
      </c>
      <c r="D302" s="6" t="s">
        <v>767</v>
      </c>
      <c r="E302" s="2"/>
      <c r="F302" s="2"/>
      <c r="G302" s="2"/>
      <c r="H302" s="2"/>
      <c r="I302" s="2"/>
      <c r="J302" s="2"/>
      <c r="K302" s="2"/>
      <c r="L302" s="2"/>
      <c r="M302" s="2">
        <v>10</v>
      </c>
      <c r="N302" s="2"/>
      <c r="O302" s="2"/>
      <c r="P302" s="2"/>
      <c r="Q302" s="2"/>
      <c r="R302" s="2"/>
      <c r="S302" s="2"/>
      <c r="T302" s="2"/>
      <c r="U302" s="2"/>
      <c r="V302" s="6"/>
      <c r="W302" s="6" t="b">
        <f>FALSE()</f>
        <v>0</v>
      </c>
      <c r="X302" s="6">
        <v>1</v>
      </c>
      <c r="Y302" s="6">
        <v>3</v>
      </c>
      <c r="Z302" s="2"/>
      <c r="AA302" s="2"/>
      <c r="AB302" s="2"/>
      <c r="AC302" s="2"/>
      <c r="AD302" s="6"/>
      <c r="AE302" s="2"/>
    </row>
    <row r="303" spans="1:31" ht="14.25" customHeight="1">
      <c r="A303" s="6">
        <v>9010</v>
      </c>
      <c r="B303" s="4" t="s">
        <v>1417</v>
      </c>
      <c r="C303" s="4" t="s">
        <v>1418</v>
      </c>
      <c r="D303" s="6" t="s">
        <v>769</v>
      </c>
      <c r="E303" s="2"/>
      <c r="F303" s="2"/>
      <c r="G303" s="2"/>
      <c r="H303" s="2"/>
      <c r="I303" s="2"/>
      <c r="J303" s="2"/>
      <c r="K303" s="2"/>
      <c r="L303" s="2"/>
      <c r="M303" s="2">
        <v>-10</v>
      </c>
      <c r="N303" s="2"/>
      <c r="O303" s="2"/>
      <c r="P303" s="2"/>
      <c r="Q303" s="2"/>
      <c r="R303" s="2"/>
      <c r="S303" s="2"/>
      <c r="T303" s="2"/>
      <c r="U303" s="2"/>
      <c r="V303" s="6"/>
      <c r="W303" s="6" t="b">
        <f>FALSE()</f>
        <v>0</v>
      </c>
      <c r="X303" s="6">
        <v>1</v>
      </c>
      <c r="Y303" s="6">
        <v>3</v>
      </c>
      <c r="Z303" s="2"/>
      <c r="AA303" s="2"/>
      <c r="AB303" s="2"/>
      <c r="AC303" s="2"/>
      <c r="AD303" s="6"/>
      <c r="AE303" s="2"/>
    </row>
    <row r="304" spans="1:31" ht="14.25" customHeight="1">
      <c r="A304" s="6">
        <v>9011</v>
      </c>
      <c r="B304" s="4" t="s">
        <v>1419</v>
      </c>
      <c r="C304" s="2" t="s">
        <v>1420</v>
      </c>
      <c r="D304" s="6" t="s">
        <v>769</v>
      </c>
      <c r="E304" s="2"/>
      <c r="F304" s="2"/>
      <c r="G304" s="2"/>
      <c r="H304" s="2"/>
      <c r="I304" s="2"/>
      <c r="J304" s="2"/>
      <c r="K304" s="2">
        <v>-0.2</v>
      </c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6"/>
      <c r="W304" s="6" t="b">
        <f>FALSE()</f>
        <v>0</v>
      </c>
      <c r="X304" s="6">
        <v>1</v>
      </c>
      <c r="Y304" s="6">
        <v>3</v>
      </c>
      <c r="Z304" s="2"/>
      <c r="AA304" s="2"/>
      <c r="AB304" s="2"/>
      <c r="AC304" s="2"/>
      <c r="AD304" s="6"/>
      <c r="AE304" s="2"/>
    </row>
    <row r="305" spans="1:31" ht="14.25" customHeight="1">
      <c r="A305" s="6">
        <v>9012</v>
      </c>
      <c r="B305" s="4" t="s">
        <v>1421</v>
      </c>
      <c r="C305" s="2" t="s">
        <v>1422</v>
      </c>
      <c r="D305" s="6" t="s">
        <v>769</v>
      </c>
      <c r="E305" s="2"/>
      <c r="F305" s="2"/>
      <c r="G305" s="2"/>
      <c r="H305" s="2">
        <v>-0.2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6"/>
      <c r="W305" s="6" t="b">
        <f>FALSE()</f>
        <v>0</v>
      </c>
      <c r="X305" s="6">
        <v>1</v>
      </c>
      <c r="Y305" s="6">
        <v>3</v>
      </c>
      <c r="Z305" s="2"/>
      <c r="AA305" s="2"/>
      <c r="AB305" s="2"/>
      <c r="AC305" s="2"/>
      <c r="AD305" s="6"/>
      <c r="AE305" s="2"/>
    </row>
    <row r="306" spans="1:31" ht="14.25" customHeight="1">
      <c r="A306" s="45"/>
      <c r="B306" s="45"/>
      <c r="V306" s="45"/>
    </row>
    <row r="307" spans="1:31" ht="14.25" customHeight="1">
      <c r="A307" s="45"/>
      <c r="B307" s="45"/>
      <c r="V307" s="45"/>
    </row>
    <row r="308" spans="1:31" ht="14.25" customHeight="1">
      <c r="A308" s="45"/>
      <c r="B308" s="45"/>
      <c r="V308" s="45"/>
    </row>
    <row r="309" spans="1:31" ht="14.25" customHeight="1">
      <c r="A309" s="45"/>
      <c r="V309" s="45"/>
    </row>
    <row r="310" spans="1:31" ht="14.25" customHeight="1">
      <c r="A310" s="45"/>
      <c r="V310" s="45"/>
    </row>
    <row r="311" spans="1:31" ht="14.25" customHeight="1">
      <c r="A311" s="40" t="s">
        <v>705</v>
      </c>
      <c r="B311" s="40" t="s">
        <v>1168</v>
      </c>
      <c r="C311" s="40" t="s">
        <v>1169</v>
      </c>
      <c r="D311" s="40" t="s">
        <v>1170</v>
      </c>
      <c r="E311" s="40" t="s">
        <v>1171</v>
      </c>
      <c r="F311" s="40" t="s">
        <v>1172</v>
      </c>
      <c r="G311" s="40" t="s">
        <v>1173</v>
      </c>
      <c r="H311" s="40" t="s">
        <v>685</v>
      </c>
      <c r="I311" s="40" t="s">
        <v>686</v>
      </c>
      <c r="J311" s="40" t="s">
        <v>687</v>
      </c>
      <c r="K311" s="40" t="s">
        <v>688</v>
      </c>
      <c r="L311" s="40" t="s">
        <v>689</v>
      </c>
      <c r="M311" s="40" t="s">
        <v>39</v>
      </c>
      <c r="N311" s="40" t="s">
        <v>690</v>
      </c>
      <c r="O311" s="40" t="s">
        <v>691</v>
      </c>
      <c r="P311" s="40" t="s">
        <v>692</v>
      </c>
      <c r="Q311" s="40" t="s">
        <v>693</v>
      </c>
      <c r="R311" s="40" t="s">
        <v>694</v>
      </c>
      <c r="S311" s="40" t="s">
        <v>695</v>
      </c>
      <c r="T311" s="40" t="s">
        <v>696</v>
      </c>
      <c r="U311" s="40" t="s">
        <v>697</v>
      </c>
      <c r="V311" s="40" t="s">
        <v>698</v>
      </c>
      <c r="W311" s="40" t="s">
        <v>1174</v>
      </c>
      <c r="X311" s="40" t="s">
        <v>1175</v>
      </c>
      <c r="Y311" s="48" t="s">
        <v>1176</v>
      </c>
      <c r="Z311" s="40" t="s">
        <v>1177</v>
      </c>
      <c r="AA311" s="40" t="s">
        <v>1178</v>
      </c>
      <c r="AB311" s="40" t="s">
        <v>1179</v>
      </c>
      <c r="AC311" s="40" t="s">
        <v>1180</v>
      </c>
      <c r="AD311" s="40" t="s">
        <v>1181</v>
      </c>
      <c r="AE311" s="2" t="s">
        <v>1390</v>
      </c>
    </row>
    <row r="312" spans="1:31" ht="14.25" customHeight="1">
      <c r="A312" s="2">
        <v>9900</v>
      </c>
      <c r="B312" s="2" t="s">
        <v>706</v>
      </c>
      <c r="C312" s="2" t="s">
        <v>1400</v>
      </c>
      <c r="D312" s="6" t="s">
        <v>767</v>
      </c>
      <c r="E312" s="2"/>
      <c r="F312" s="2"/>
      <c r="G312" s="2"/>
      <c r="H312" s="2">
        <v>0.1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6"/>
      <c r="W312" s="6" t="b">
        <f>FALSE()</f>
        <v>0</v>
      </c>
      <c r="X312" s="6">
        <v>1</v>
      </c>
      <c r="Y312" s="6">
        <v>3</v>
      </c>
      <c r="Z312" s="2"/>
      <c r="AA312" s="2"/>
      <c r="AB312" s="2"/>
      <c r="AC312" s="2">
        <v>1</v>
      </c>
      <c r="AD312" s="6"/>
      <c r="AE312" s="2"/>
    </row>
    <row r="313" spans="1:31" ht="14.25" customHeight="1">
      <c r="A313" s="2">
        <f t="shared" ref="A313:A327" si="8">A312+1</f>
        <v>9901</v>
      </c>
      <c r="B313" s="2" t="s">
        <v>707</v>
      </c>
      <c r="C313" s="2" t="s">
        <v>1400</v>
      </c>
      <c r="D313" s="6" t="s">
        <v>767</v>
      </c>
      <c r="E313" s="2"/>
      <c r="F313" s="2"/>
      <c r="G313" s="2"/>
      <c r="H313" s="2">
        <v>0.1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6"/>
      <c r="W313" s="6" t="b">
        <f>FALSE()</f>
        <v>0</v>
      </c>
      <c r="X313" s="6">
        <v>1</v>
      </c>
      <c r="Y313" s="6">
        <v>3</v>
      </c>
      <c r="Z313" s="2"/>
      <c r="AA313" s="2"/>
      <c r="AB313" s="2"/>
      <c r="AC313" s="2">
        <v>1</v>
      </c>
      <c r="AD313" s="6"/>
      <c r="AE313" s="2"/>
    </row>
    <row r="314" spans="1:31" ht="14.25" customHeight="1">
      <c r="A314" s="2">
        <f t="shared" si="8"/>
        <v>9902</v>
      </c>
      <c r="B314" s="2" t="s">
        <v>708</v>
      </c>
      <c r="C314" s="2" t="s">
        <v>1400</v>
      </c>
      <c r="D314" s="6" t="s">
        <v>767</v>
      </c>
      <c r="E314" s="2"/>
      <c r="F314" s="2"/>
      <c r="G314" s="2"/>
      <c r="H314" s="2">
        <v>0.1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6"/>
      <c r="W314" s="6" t="b">
        <f>FALSE()</f>
        <v>0</v>
      </c>
      <c r="X314" s="6">
        <v>1</v>
      </c>
      <c r="Y314" s="6">
        <v>3</v>
      </c>
      <c r="Z314" s="2"/>
      <c r="AA314" s="2"/>
      <c r="AB314" s="2"/>
      <c r="AC314" s="2">
        <v>1</v>
      </c>
      <c r="AD314" s="6"/>
      <c r="AE314" s="2"/>
    </row>
    <row r="315" spans="1:31" ht="14.25" customHeight="1">
      <c r="A315" s="2">
        <f t="shared" si="8"/>
        <v>9903</v>
      </c>
      <c r="B315" s="2" t="s">
        <v>709</v>
      </c>
      <c r="C315" s="2" t="s">
        <v>1400</v>
      </c>
      <c r="D315" s="6" t="s">
        <v>767</v>
      </c>
      <c r="E315" s="2"/>
      <c r="F315" s="2"/>
      <c r="G315" s="2"/>
      <c r="H315" s="2">
        <v>0.1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6"/>
      <c r="W315" s="6" t="b">
        <f>FALSE()</f>
        <v>0</v>
      </c>
      <c r="X315" s="6">
        <v>1</v>
      </c>
      <c r="Y315" s="6">
        <v>3</v>
      </c>
      <c r="Z315" s="2"/>
      <c r="AA315" s="2"/>
      <c r="AB315" s="2"/>
      <c r="AC315" s="2">
        <v>1</v>
      </c>
      <c r="AD315" s="6"/>
      <c r="AE315" s="2"/>
    </row>
    <row r="316" spans="1:31" ht="14.25" customHeight="1">
      <c r="A316" s="2">
        <f t="shared" si="8"/>
        <v>9904</v>
      </c>
      <c r="B316" s="2" t="s">
        <v>710</v>
      </c>
      <c r="C316" s="2" t="s">
        <v>1400</v>
      </c>
      <c r="D316" s="6" t="s">
        <v>767</v>
      </c>
      <c r="E316" s="2"/>
      <c r="F316" s="2"/>
      <c r="G316" s="2"/>
      <c r="H316" s="2">
        <v>0.1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6"/>
      <c r="W316" s="6" t="b">
        <f>FALSE()</f>
        <v>0</v>
      </c>
      <c r="X316" s="6">
        <v>1</v>
      </c>
      <c r="Y316" s="6">
        <v>3</v>
      </c>
      <c r="Z316" s="2"/>
      <c r="AA316" s="2"/>
      <c r="AB316" s="2"/>
      <c r="AC316" s="2">
        <v>1</v>
      </c>
      <c r="AD316" s="6"/>
      <c r="AE316" s="2"/>
    </row>
    <row r="317" spans="1:31" ht="14.25" customHeight="1">
      <c r="A317" s="2">
        <f t="shared" si="8"/>
        <v>9905</v>
      </c>
      <c r="B317" s="2" t="s">
        <v>711</v>
      </c>
      <c r="C317" s="2" t="s">
        <v>1400</v>
      </c>
      <c r="D317" s="6" t="s">
        <v>767</v>
      </c>
      <c r="E317" s="2"/>
      <c r="F317" s="2"/>
      <c r="G317" s="2"/>
      <c r="H317" s="2">
        <v>0.1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6"/>
      <c r="W317" s="6" t="b">
        <f>FALSE()</f>
        <v>0</v>
      </c>
      <c r="X317" s="6">
        <v>1</v>
      </c>
      <c r="Y317" s="6">
        <v>3</v>
      </c>
      <c r="Z317" s="2"/>
      <c r="AA317" s="2"/>
      <c r="AB317" s="2"/>
      <c r="AC317" s="2">
        <v>1</v>
      </c>
      <c r="AD317" s="6"/>
      <c r="AE317" s="2"/>
    </row>
    <row r="318" spans="1:31" ht="14.25" customHeight="1">
      <c r="A318" s="2">
        <f t="shared" si="8"/>
        <v>9906</v>
      </c>
      <c r="B318" s="2" t="s">
        <v>712</v>
      </c>
      <c r="C318" s="2" t="s">
        <v>1400</v>
      </c>
      <c r="D318" s="6" t="s">
        <v>767</v>
      </c>
      <c r="E318" s="2"/>
      <c r="F318" s="2"/>
      <c r="G318" s="2"/>
      <c r="H318" s="2">
        <v>0.1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6"/>
      <c r="W318" s="6" t="b">
        <f>FALSE()</f>
        <v>0</v>
      </c>
      <c r="X318" s="6">
        <v>1</v>
      </c>
      <c r="Y318" s="6">
        <v>3</v>
      </c>
      <c r="Z318" s="2"/>
      <c r="AA318" s="2"/>
      <c r="AB318" s="2"/>
      <c r="AC318" s="2">
        <v>1</v>
      </c>
      <c r="AD318" s="6"/>
      <c r="AE318" s="2"/>
    </row>
    <row r="319" spans="1:31" ht="14.25" customHeight="1">
      <c r="A319" s="2">
        <f t="shared" si="8"/>
        <v>9907</v>
      </c>
      <c r="B319" s="2" t="s">
        <v>713</v>
      </c>
      <c r="C319" s="2" t="s">
        <v>1400</v>
      </c>
      <c r="D319" s="6" t="s">
        <v>767</v>
      </c>
      <c r="E319" s="2"/>
      <c r="F319" s="2"/>
      <c r="G319" s="2"/>
      <c r="H319" s="2">
        <v>0.1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6"/>
      <c r="W319" s="6" t="b">
        <f>FALSE()</f>
        <v>0</v>
      </c>
      <c r="X319" s="6">
        <v>1</v>
      </c>
      <c r="Y319" s="6">
        <v>3</v>
      </c>
      <c r="Z319" s="2"/>
      <c r="AA319" s="2"/>
      <c r="AB319" s="2"/>
      <c r="AC319" s="2">
        <v>1</v>
      </c>
      <c r="AD319" s="6"/>
      <c r="AE319" s="2"/>
    </row>
    <row r="320" spans="1:31" ht="14.25" customHeight="1">
      <c r="A320" s="2">
        <f t="shared" si="8"/>
        <v>9908</v>
      </c>
      <c r="B320" s="2" t="s">
        <v>714</v>
      </c>
      <c r="C320" s="2" t="s">
        <v>1400</v>
      </c>
      <c r="D320" s="6" t="s">
        <v>767</v>
      </c>
      <c r="E320" s="2"/>
      <c r="F320" s="2"/>
      <c r="G320" s="2"/>
      <c r="H320" s="2">
        <v>0.1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6"/>
      <c r="W320" s="6" t="b">
        <f>FALSE()</f>
        <v>0</v>
      </c>
      <c r="X320" s="6">
        <v>1</v>
      </c>
      <c r="Y320" s="6">
        <v>3</v>
      </c>
      <c r="Z320" s="2"/>
      <c r="AA320" s="2"/>
      <c r="AB320" s="2"/>
      <c r="AC320" s="2">
        <v>1</v>
      </c>
      <c r="AD320" s="6"/>
      <c r="AE320" s="2"/>
    </row>
    <row r="321" spans="1:31" ht="14.25" customHeight="1">
      <c r="A321" s="2">
        <f t="shared" si="8"/>
        <v>9909</v>
      </c>
      <c r="B321" s="2" t="s">
        <v>715</v>
      </c>
      <c r="C321" s="2" t="s">
        <v>1400</v>
      </c>
      <c r="D321" s="6" t="s">
        <v>767</v>
      </c>
      <c r="E321" s="2"/>
      <c r="F321" s="2"/>
      <c r="G321" s="2"/>
      <c r="H321" s="2">
        <v>0.1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6"/>
      <c r="W321" s="6" t="b">
        <f>FALSE()</f>
        <v>0</v>
      </c>
      <c r="X321" s="6">
        <v>1</v>
      </c>
      <c r="Y321" s="6">
        <v>3</v>
      </c>
      <c r="Z321" s="2"/>
      <c r="AA321" s="2"/>
      <c r="AB321" s="2"/>
      <c r="AC321" s="2">
        <v>1</v>
      </c>
      <c r="AD321" s="6"/>
      <c r="AE321" s="2"/>
    </row>
    <row r="322" spans="1:31" ht="14.25" customHeight="1">
      <c r="A322" s="2">
        <f t="shared" si="8"/>
        <v>9910</v>
      </c>
      <c r="B322" s="2" t="s">
        <v>716</v>
      </c>
      <c r="C322" s="2" t="s">
        <v>1400</v>
      </c>
      <c r="D322" s="6" t="s">
        <v>767</v>
      </c>
      <c r="E322" s="2"/>
      <c r="F322" s="2"/>
      <c r="G322" s="2"/>
      <c r="H322" s="2">
        <v>0.1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6"/>
      <c r="W322" s="6" t="b">
        <f>FALSE()</f>
        <v>0</v>
      </c>
      <c r="X322" s="6">
        <v>1</v>
      </c>
      <c r="Y322" s="6">
        <v>3</v>
      </c>
      <c r="Z322" s="2"/>
      <c r="AA322" s="2"/>
      <c r="AB322" s="2"/>
      <c r="AC322" s="2">
        <v>1</v>
      </c>
      <c r="AD322" s="6"/>
      <c r="AE322" s="2"/>
    </row>
    <row r="323" spans="1:31" ht="14.25" customHeight="1">
      <c r="A323" s="2">
        <f t="shared" si="8"/>
        <v>9911</v>
      </c>
      <c r="B323" s="2" t="s">
        <v>717</v>
      </c>
      <c r="C323" s="2" t="s">
        <v>1400</v>
      </c>
      <c r="D323" s="6" t="s">
        <v>767</v>
      </c>
      <c r="E323" s="2"/>
      <c r="F323" s="2"/>
      <c r="G323" s="2"/>
      <c r="H323" s="2">
        <v>0.1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6"/>
      <c r="W323" s="6" t="b">
        <f>FALSE()</f>
        <v>0</v>
      </c>
      <c r="X323" s="6">
        <v>1</v>
      </c>
      <c r="Y323" s="6">
        <v>3</v>
      </c>
      <c r="Z323" s="2"/>
      <c r="AA323" s="2"/>
      <c r="AB323" s="2"/>
      <c r="AC323" s="2">
        <v>1</v>
      </c>
      <c r="AD323" s="2"/>
      <c r="AE323" s="2"/>
    </row>
    <row r="324" spans="1:31" ht="14.25" customHeight="1">
      <c r="A324" s="2">
        <f t="shared" si="8"/>
        <v>9912</v>
      </c>
      <c r="B324" s="2" t="s">
        <v>718</v>
      </c>
      <c r="C324" s="2" t="s">
        <v>1400</v>
      </c>
      <c r="D324" s="6" t="s">
        <v>767</v>
      </c>
      <c r="E324" s="2"/>
      <c r="F324" s="2"/>
      <c r="G324" s="2"/>
      <c r="H324" s="2">
        <v>0.1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6"/>
      <c r="W324" s="6" t="b">
        <f>FALSE()</f>
        <v>0</v>
      </c>
      <c r="X324" s="6">
        <v>1</v>
      </c>
      <c r="Y324" s="6">
        <v>3</v>
      </c>
      <c r="Z324" s="2"/>
      <c r="AA324" s="2"/>
      <c r="AB324" s="2"/>
      <c r="AC324" s="2">
        <v>1</v>
      </c>
      <c r="AD324" s="2"/>
      <c r="AE324" s="2"/>
    </row>
    <row r="325" spans="1:31" ht="14.25" customHeight="1">
      <c r="A325" s="2">
        <f t="shared" si="8"/>
        <v>9913</v>
      </c>
      <c r="B325" s="2" t="s">
        <v>719</v>
      </c>
      <c r="C325" s="2" t="s">
        <v>1400</v>
      </c>
      <c r="D325" s="6" t="s">
        <v>767</v>
      </c>
      <c r="E325" s="2"/>
      <c r="F325" s="2"/>
      <c r="G325" s="2"/>
      <c r="H325" s="2">
        <v>0.1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6"/>
      <c r="W325" s="6" t="b">
        <f>FALSE()</f>
        <v>0</v>
      </c>
      <c r="X325" s="6">
        <v>1</v>
      </c>
      <c r="Y325" s="6">
        <v>3</v>
      </c>
      <c r="Z325" s="2"/>
      <c r="AA325" s="2"/>
      <c r="AB325" s="2"/>
      <c r="AC325" s="2">
        <v>1</v>
      </c>
      <c r="AD325" s="2"/>
      <c r="AE325" s="2"/>
    </row>
    <row r="326" spans="1:31" ht="14.25" customHeight="1">
      <c r="A326" s="2">
        <f t="shared" si="8"/>
        <v>9914</v>
      </c>
      <c r="B326" s="2" t="s">
        <v>720</v>
      </c>
      <c r="C326" s="2" t="s">
        <v>1400</v>
      </c>
      <c r="D326" s="6" t="s">
        <v>767</v>
      </c>
      <c r="E326" s="2"/>
      <c r="F326" s="2"/>
      <c r="G326" s="2"/>
      <c r="H326" s="2">
        <v>0.1</v>
      </c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6"/>
      <c r="W326" s="6" t="b">
        <f>FALSE()</f>
        <v>0</v>
      </c>
      <c r="X326" s="6">
        <v>1</v>
      </c>
      <c r="Y326" s="6">
        <v>3</v>
      </c>
      <c r="Z326" s="2"/>
      <c r="AA326" s="2"/>
      <c r="AB326" s="2"/>
      <c r="AC326" s="2">
        <v>1</v>
      </c>
      <c r="AD326" s="2"/>
      <c r="AE326" s="2"/>
    </row>
    <row r="327" spans="1:31" ht="14.25" customHeight="1">
      <c r="A327" s="2">
        <f t="shared" si="8"/>
        <v>9915</v>
      </c>
      <c r="B327" s="2" t="s">
        <v>721</v>
      </c>
      <c r="C327" s="2" t="s">
        <v>1400</v>
      </c>
      <c r="D327" s="6" t="s">
        <v>767</v>
      </c>
      <c r="E327" s="2"/>
      <c r="F327" s="2"/>
      <c r="G327" s="2"/>
      <c r="H327" s="2">
        <v>0.1</v>
      </c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6"/>
      <c r="W327" s="6" t="b">
        <f>FALSE()</f>
        <v>0</v>
      </c>
      <c r="X327" s="6">
        <v>1</v>
      </c>
      <c r="Y327" s="6">
        <v>3</v>
      </c>
      <c r="Z327" s="2"/>
      <c r="AA327" s="2"/>
      <c r="AB327" s="2"/>
      <c r="AC327" s="2">
        <v>1</v>
      </c>
      <c r="AD327" s="2"/>
      <c r="AE327" s="2"/>
    </row>
    <row r="328" spans="1:31" ht="14.25" customHeight="1">
      <c r="A328" s="45"/>
      <c r="B328" s="45"/>
      <c r="V328" s="45"/>
    </row>
    <row r="329" spans="1:31" ht="14.25" customHeight="1">
      <c r="A329" s="45"/>
      <c r="B329" s="45"/>
      <c r="V329" s="45"/>
    </row>
    <row r="330" spans="1:31" ht="14.25" customHeight="1">
      <c r="A330" s="45"/>
      <c r="B330" s="45"/>
      <c r="V330" s="45"/>
    </row>
    <row r="331" spans="1:31" ht="14.25" customHeight="1">
      <c r="A331" s="45"/>
      <c r="B331" s="45"/>
      <c r="V331" s="45"/>
    </row>
    <row r="332" spans="1:31" ht="14.25" customHeight="1">
      <c r="A332" s="45"/>
      <c r="B332" s="45"/>
      <c r="V332" s="45"/>
    </row>
    <row r="333" spans="1:31" ht="14.25" customHeight="1">
      <c r="A333" s="45"/>
      <c r="B333" s="45"/>
      <c r="V333" s="45"/>
    </row>
    <row r="334" spans="1:31" ht="14.25" customHeight="1">
      <c r="A334" s="45"/>
      <c r="B334" s="45"/>
      <c r="V334" s="45"/>
    </row>
    <row r="335" spans="1:31" ht="14.25" customHeight="1">
      <c r="A335" s="45"/>
      <c r="B335" s="45"/>
      <c r="V335" s="45"/>
    </row>
    <row r="336" spans="1:31" ht="14.25" customHeight="1">
      <c r="A336" s="45"/>
      <c r="B336" s="45"/>
      <c r="V336" s="45"/>
    </row>
    <row r="337" spans="1:22" ht="14.25" customHeight="1">
      <c r="A337" s="45"/>
      <c r="B337" s="45"/>
      <c r="V337" s="45"/>
    </row>
    <row r="338" spans="1:22" ht="14.25" customHeight="1">
      <c r="A338" s="45"/>
      <c r="B338" s="45"/>
      <c r="V338" s="45"/>
    </row>
    <row r="339" spans="1:22" ht="14.25" customHeight="1">
      <c r="A339" s="45"/>
      <c r="B339" s="45"/>
      <c r="V339" s="45"/>
    </row>
    <row r="340" spans="1:22" ht="14.25" customHeight="1">
      <c r="A340" s="45"/>
      <c r="B340" s="45"/>
      <c r="V340" s="45"/>
    </row>
    <row r="341" spans="1:22" ht="14.25" customHeight="1">
      <c r="A341" s="45"/>
      <c r="B341" s="45"/>
      <c r="V341" s="45"/>
    </row>
    <row r="342" spans="1:22" ht="14.25" customHeight="1">
      <c r="A342" s="45"/>
      <c r="B342" s="45"/>
      <c r="V342" s="45"/>
    </row>
    <row r="343" spans="1:22" ht="14.25" customHeight="1">
      <c r="A343" s="45"/>
      <c r="B343" s="45"/>
      <c r="V343" s="45"/>
    </row>
    <row r="344" spans="1:22" ht="14.25" customHeight="1">
      <c r="A344" s="45"/>
      <c r="B344" s="45"/>
      <c r="V344" s="45"/>
    </row>
    <row r="345" spans="1:22" ht="14.25" customHeight="1">
      <c r="A345" s="45"/>
      <c r="B345" s="45"/>
      <c r="V345" s="45"/>
    </row>
    <row r="346" spans="1:22" ht="14.25" customHeight="1">
      <c r="A346" s="45"/>
      <c r="B346" s="45"/>
      <c r="V346" s="45"/>
    </row>
    <row r="347" spans="1:22" ht="14.25" customHeight="1">
      <c r="A347" s="45"/>
      <c r="B347" s="45"/>
      <c r="V347" s="45"/>
    </row>
    <row r="348" spans="1:22" ht="14.25" customHeight="1">
      <c r="A348" s="45"/>
      <c r="B348" s="45"/>
      <c r="V348" s="45"/>
    </row>
    <row r="349" spans="1:22" ht="14.25" customHeight="1">
      <c r="A349" s="45"/>
      <c r="B349" s="45"/>
      <c r="V349" s="45"/>
    </row>
    <row r="350" spans="1:22" ht="14.25" customHeight="1">
      <c r="A350" s="45"/>
      <c r="B350" s="45"/>
      <c r="V350" s="45"/>
    </row>
    <row r="351" spans="1:22" ht="14.25" customHeight="1">
      <c r="A351" s="45"/>
      <c r="B351" s="45"/>
      <c r="V351" s="45"/>
    </row>
    <row r="352" spans="1:22" ht="14.25" customHeight="1">
      <c r="A352" s="45"/>
      <c r="B352" s="45"/>
      <c r="V352" s="45"/>
    </row>
    <row r="353" spans="1:22" ht="14.25" customHeight="1">
      <c r="A353" s="45"/>
      <c r="B353" s="45"/>
      <c r="V353" s="45"/>
    </row>
    <row r="354" spans="1:22" ht="14.25" customHeight="1">
      <c r="A354" s="45"/>
      <c r="B354" s="45"/>
      <c r="V354" s="45"/>
    </row>
    <row r="355" spans="1:22" ht="14.25" customHeight="1">
      <c r="A355" s="45"/>
      <c r="B355" s="45"/>
      <c r="V355" s="45"/>
    </row>
    <row r="356" spans="1:22" ht="14.25" customHeight="1">
      <c r="A356" s="45"/>
      <c r="B356" s="45"/>
      <c r="V356" s="45"/>
    </row>
    <row r="357" spans="1:22" ht="14.25" customHeight="1">
      <c r="A357" s="45"/>
      <c r="B357" s="45"/>
      <c r="V357" s="45"/>
    </row>
    <row r="358" spans="1:22" ht="14.25" customHeight="1">
      <c r="A358" s="45"/>
      <c r="B358" s="45"/>
      <c r="V358" s="45"/>
    </row>
    <row r="359" spans="1:22" ht="14.25" customHeight="1">
      <c r="A359" s="45"/>
      <c r="B359" s="45"/>
      <c r="V359" s="45"/>
    </row>
    <row r="360" spans="1:22" ht="14.25" customHeight="1">
      <c r="A360" s="45"/>
      <c r="B360" s="45"/>
      <c r="V360" s="45"/>
    </row>
    <row r="361" spans="1:22" ht="14.25" customHeight="1">
      <c r="A361" s="45"/>
      <c r="B361" s="45"/>
      <c r="V361" s="45"/>
    </row>
    <row r="362" spans="1:22" ht="14.25" customHeight="1">
      <c r="A362" s="45"/>
      <c r="B362" s="45"/>
      <c r="V362" s="45"/>
    </row>
    <row r="363" spans="1:22" ht="14.25" customHeight="1">
      <c r="A363" s="45"/>
      <c r="B363" s="45"/>
      <c r="V363" s="45"/>
    </row>
    <row r="364" spans="1:22" ht="14.25" customHeight="1">
      <c r="A364" s="45"/>
      <c r="B364" s="45"/>
      <c r="V364" s="45"/>
    </row>
    <row r="365" spans="1:22" ht="14.25" customHeight="1">
      <c r="A365" s="45"/>
      <c r="B365" s="45"/>
      <c r="V365" s="45"/>
    </row>
    <row r="366" spans="1:22" ht="14.25" customHeight="1">
      <c r="A366" s="45"/>
      <c r="B366" s="45"/>
      <c r="V366" s="45"/>
    </row>
    <row r="367" spans="1:22" ht="14.25" customHeight="1">
      <c r="A367" s="45"/>
      <c r="B367" s="45"/>
      <c r="V367" s="45"/>
    </row>
    <row r="368" spans="1:22" ht="14.25" customHeight="1">
      <c r="A368" s="45"/>
      <c r="B368" s="45"/>
      <c r="V368" s="45"/>
    </row>
    <row r="369" spans="1:22" ht="14.25" customHeight="1">
      <c r="A369" s="45"/>
      <c r="B369" s="45"/>
      <c r="V369" s="45"/>
    </row>
    <row r="370" spans="1:22" ht="14.25" customHeight="1">
      <c r="A370" s="45"/>
      <c r="B370" s="45"/>
      <c r="V370" s="45"/>
    </row>
    <row r="371" spans="1:22" ht="14.25" customHeight="1">
      <c r="A371" s="45"/>
      <c r="B371" s="45"/>
      <c r="V371" s="45"/>
    </row>
    <row r="372" spans="1:22" ht="14.25" customHeight="1">
      <c r="A372" s="45"/>
      <c r="B372" s="45"/>
      <c r="V372" s="45"/>
    </row>
    <row r="373" spans="1:22" ht="14.25" customHeight="1">
      <c r="A373" s="45"/>
      <c r="B373" s="45"/>
      <c r="V373" s="45"/>
    </row>
    <row r="374" spans="1:22" ht="14.25" customHeight="1">
      <c r="A374" s="45"/>
      <c r="B374" s="45"/>
      <c r="V374" s="45"/>
    </row>
    <row r="375" spans="1:22" ht="14.25" customHeight="1">
      <c r="A375" s="45"/>
      <c r="B375" s="45"/>
      <c r="V375" s="45"/>
    </row>
    <row r="376" spans="1:22" ht="14.25" customHeight="1">
      <c r="A376" s="45"/>
      <c r="B376" s="45"/>
      <c r="V376" s="45"/>
    </row>
    <row r="377" spans="1:22" ht="14.25" customHeight="1">
      <c r="A377" s="45"/>
      <c r="B377" s="45"/>
      <c r="V377" s="45"/>
    </row>
    <row r="378" spans="1:22" ht="14.25" customHeight="1">
      <c r="A378" s="45"/>
      <c r="B378" s="45"/>
      <c r="V378" s="45"/>
    </row>
    <row r="379" spans="1:22" ht="14.25" customHeight="1">
      <c r="A379" s="45"/>
      <c r="B379" s="45"/>
      <c r="V379" s="45"/>
    </row>
    <row r="380" spans="1:22" ht="14.25" customHeight="1">
      <c r="A380" s="45"/>
      <c r="B380" s="45"/>
      <c r="V380" s="45"/>
    </row>
    <row r="381" spans="1:22" ht="14.25" customHeight="1">
      <c r="A381" s="45"/>
      <c r="B381" s="45"/>
      <c r="V381" s="45"/>
    </row>
    <row r="382" spans="1:22" ht="14.25" customHeight="1">
      <c r="A382" s="45"/>
      <c r="B382" s="45"/>
      <c r="V382" s="45"/>
    </row>
    <row r="383" spans="1:22" ht="14.25" customHeight="1">
      <c r="A383" s="45"/>
      <c r="B383" s="45"/>
      <c r="V383" s="45"/>
    </row>
    <row r="384" spans="1:22" ht="14.25" customHeight="1">
      <c r="A384" s="45"/>
      <c r="B384" s="45"/>
      <c r="V384" s="45"/>
    </row>
    <row r="385" spans="1:22" ht="14.25" customHeight="1">
      <c r="A385" s="45"/>
      <c r="B385" s="45"/>
      <c r="V385" s="45"/>
    </row>
    <row r="386" spans="1:22" ht="14.25" customHeight="1">
      <c r="A386" s="45"/>
      <c r="B386" s="45"/>
      <c r="V386" s="45"/>
    </row>
    <row r="387" spans="1:22" ht="14.25" customHeight="1">
      <c r="A387" s="45"/>
      <c r="B387" s="45"/>
      <c r="V387" s="45"/>
    </row>
    <row r="388" spans="1:22" ht="14.25" customHeight="1">
      <c r="A388" s="45"/>
      <c r="B388" s="45"/>
      <c r="V388" s="45"/>
    </row>
    <row r="389" spans="1:22" ht="14.25" customHeight="1">
      <c r="A389" s="45"/>
      <c r="B389" s="45"/>
      <c r="V389" s="45"/>
    </row>
    <row r="390" spans="1:22" ht="14.25" customHeight="1">
      <c r="A390" s="45"/>
      <c r="B390" s="45"/>
      <c r="V390" s="45"/>
    </row>
    <row r="391" spans="1:22" ht="14.25" customHeight="1">
      <c r="A391" s="45"/>
      <c r="B391" s="45"/>
      <c r="V391" s="45"/>
    </row>
    <row r="392" spans="1:22" ht="14.25" customHeight="1">
      <c r="A392" s="45"/>
      <c r="B392" s="45"/>
      <c r="V392" s="45"/>
    </row>
    <row r="393" spans="1:22" ht="14.25" customHeight="1">
      <c r="A393" s="45"/>
      <c r="B393" s="45"/>
      <c r="V393" s="45"/>
    </row>
    <row r="394" spans="1:22" ht="14.25" customHeight="1">
      <c r="A394" s="45"/>
      <c r="B394" s="45"/>
      <c r="V394" s="45"/>
    </row>
    <row r="395" spans="1:22" ht="14.25" customHeight="1">
      <c r="A395" s="45"/>
      <c r="B395" s="45"/>
      <c r="V395" s="45"/>
    </row>
    <row r="396" spans="1:22" ht="14.25" customHeight="1">
      <c r="A396" s="45"/>
      <c r="B396" s="45"/>
      <c r="V396" s="45"/>
    </row>
    <row r="397" spans="1:22" ht="14.25" customHeight="1">
      <c r="A397" s="45"/>
      <c r="B397" s="45"/>
      <c r="V397" s="45"/>
    </row>
    <row r="398" spans="1:22" ht="14.25" customHeight="1">
      <c r="A398" s="45"/>
      <c r="B398" s="45"/>
      <c r="V398" s="45"/>
    </row>
    <row r="399" spans="1:22" ht="14.25" customHeight="1">
      <c r="A399" s="45"/>
      <c r="B399" s="45"/>
      <c r="V399" s="45"/>
    </row>
    <row r="400" spans="1:22" ht="14.25" customHeight="1">
      <c r="A400" s="45"/>
      <c r="B400" s="45"/>
      <c r="V400" s="45"/>
    </row>
    <row r="401" spans="1:22" ht="14.25" customHeight="1">
      <c r="A401" s="45"/>
      <c r="B401" s="45"/>
      <c r="V401" s="45"/>
    </row>
    <row r="402" spans="1:22" ht="14.25" customHeight="1">
      <c r="A402" s="45"/>
      <c r="B402" s="45"/>
      <c r="V402" s="45"/>
    </row>
    <row r="403" spans="1:22" ht="14.25" customHeight="1">
      <c r="A403" s="45"/>
      <c r="B403" s="45"/>
      <c r="V403" s="45"/>
    </row>
    <row r="404" spans="1:22" ht="14.25" customHeight="1">
      <c r="A404" s="45"/>
      <c r="B404" s="45"/>
      <c r="V404" s="45"/>
    </row>
    <row r="405" spans="1:22" ht="14.25" customHeight="1">
      <c r="A405" s="45"/>
      <c r="B405" s="45"/>
      <c r="V405" s="45"/>
    </row>
    <row r="406" spans="1:22" ht="14.25" customHeight="1">
      <c r="A406" s="45"/>
      <c r="B406" s="45"/>
      <c r="V406" s="45"/>
    </row>
    <row r="407" spans="1:22" ht="14.25" customHeight="1">
      <c r="A407" s="45"/>
      <c r="B407" s="45"/>
      <c r="V407" s="45"/>
    </row>
    <row r="408" spans="1:22" ht="14.25" customHeight="1">
      <c r="A408" s="45"/>
      <c r="B408" s="45"/>
      <c r="V408" s="45"/>
    </row>
    <row r="409" spans="1:22" ht="14.25" customHeight="1">
      <c r="A409" s="45"/>
      <c r="B409" s="45"/>
      <c r="V409" s="45"/>
    </row>
    <row r="410" spans="1:22" ht="14.25" customHeight="1">
      <c r="A410" s="45"/>
      <c r="B410" s="45"/>
      <c r="V410" s="45"/>
    </row>
    <row r="411" spans="1:22" ht="14.25" customHeight="1">
      <c r="A411" s="45"/>
      <c r="B411" s="45"/>
      <c r="V411" s="45"/>
    </row>
    <row r="412" spans="1:22" ht="14.25" customHeight="1">
      <c r="A412" s="45"/>
      <c r="B412" s="45"/>
      <c r="V412" s="45"/>
    </row>
    <row r="413" spans="1:22" ht="14.25" customHeight="1">
      <c r="A413" s="45"/>
      <c r="B413" s="45"/>
      <c r="V413" s="45"/>
    </row>
    <row r="414" spans="1:22" ht="14.25" customHeight="1">
      <c r="A414" s="45"/>
      <c r="B414" s="45"/>
      <c r="V414" s="45"/>
    </row>
    <row r="415" spans="1:22" ht="14.25" customHeight="1">
      <c r="A415" s="45"/>
      <c r="B415" s="45"/>
      <c r="V415" s="45"/>
    </row>
    <row r="416" spans="1:22" ht="14.25" customHeight="1">
      <c r="A416" s="45"/>
      <c r="B416" s="45"/>
      <c r="V416" s="45"/>
    </row>
    <row r="417" spans="1:22" ht="14.25" customHeight="1">
      <c r="A417" s="45"/>
      <c r="B417" s="45"/>
      <c r="V417" s="45"/>
    </row>
    <row r="418" spans="1:22" ht="14.25" customHeight="1">
      <c r="A418" s="45"/>
      <c r="B418" s="45"/>
      <c r="V418" s="45"/>
    </row>
    <row r="419" spans="1:22" ht="14.25" customHeight="1">
      <c r="A419" s="45"/>
      <c r="B419" s="45"/>
      <c r="V419" s="45"/>
    </row>
    <row r="420" spans="1:22" ht="14.25" customHeight="1">
      <c r="A420" s="45"/>
      <c r="B420" s="45"/>
      <c r="V420" s="45"/>
    </row>
    <row r="421" spans="1:22" ht="14.25" customHeight="1">
      <c r="A421" s="45"/>
      <c r="B421" s="45"/>
      <c r="V421" s="45"/>
    </row>
    <row r="422" spans="1:22" ht="14.25" customHeight="1">
      <c r="A422" s="45"/>
      <c r="B422" s="45"/>
      <c r="V422" s="45"/>
    </row>
    <row r="423" spans="1:22" ht="14.25" customHeight="1">
      <c r="A423" s="45"/>
      <c r="B423" s="45"/>
      <c r="V423" s="45"/>
    </row>
    <row r="424" spans="1:22" ht="14.25" customHeight="1">
      <c r="A424" s="45"/>
      <c r="B424" s="45"/>
      <c r="V424" s="45"/>
    </row>
    <row r="425" spans="1:22" ht="14.25" customHeight="1">
      <c r="A425" s="45"/>
      <c r="B425" s="45"/>
      <c r="V425" s="45"/>
    </row>
    <row r="426" spans="1:22" ht="14.25" customHeight="1">
      <c r="A426" s="45"/>
      <c r="B426" s="45"/>
      <c r="V426" s="45"/>
    </row>
    <row r="427" spans="1:22" ht="14.25" customHeight="1">
      <c r="A427" s="45"/>
      <c r="B427" s="45"/>
      <c r="V427" s="45"/>
    </row>
    <row r="428" spans="1:22" ht="14.25" customHeight="1">
      <c r="A428" s="45"/>
      <c r="B428" s="45"/>
      <c r="V428" s="45"/>
    </row>
    <row r="429" spans="1:22" ht="14.25" customHeight="1">
      <c r="A429" s="45"/>
      <c r="B429" s="45"/>
      <c r="V429" s="45"/>
    </row>
    <row r="430" spans="1:22" ht="14.25" customHeight="1">
      <c r="A430" s="45"/>
      <c r="B430" s="45"/>
      <c r="V430" s="45"/>
    </row>
    <row r="431" spans="1:22" ht="14.25" customHeight="1">
      <c r="A431" s="45"/>
      <c r="B431" s="45"/>
      <c r="V431" s="45"/>
    </row>
    <row r="432" spans="1:22" ht="14.25" customHeight="1">
      <c r="A432" s="45"/>
      <c r="B432" s="45"/>
      <c r="V432" s="45"/>
    </row>
    <row r="433" spans="1:22" ht="14.25" customHeight="1">
      <c r="A433" s="45"/>
      <c r="B433" s="45"/>
      <c r="V433" s="45"/>
    </row>
    <row r="434" spans="1:22" ht="14.25" customHeight="1">
      <c r="A434" s="45"/>
      <c r="B434" s="45"/>
      <c r="V434" s="45"/>
    </row>
    <row r="435" spans="1:22" ht="14.25" customHeight="1">
      <c r="A435" s="45"/>
      <c r="B435" s="45"/>
      <c r="V435" s="45"/>
    </row>
    <row r="436" spans="1:22" ht="14.25" customHeight="1">
      <c r="A436" s="45"/>
      <c r="B436" s="45"/>
      <c r="V436" s="45"/>
    </row>
    <row r="437" spans="1:22" ht="14.25" customHeight="1">
      <c r="A437" s="45"/>
      <c r="B437" s="45"/>
      <c r="V437" s="45"/>
    </row>
    <row r="438" spans="1:22" ht="14.25" customHeight="1">
      <c r="A438" s="45"/>
      <c r="B438" s="45"/>
      <c r="V438" s="45"/>
    </row>
    <row r="439" spans="1:22" ht="14.25" customHeight="1">
      <c r="A439" s="45"/>
      <c r="B439" s="45"/>
      <c r="V439" s="45"/>
    </row>
    <row r="440" spans="1:22" ht="14.25" customHeight="1">
      <c r="A440" s="45"/>
      <c r="B440" s="45"/>
      <c r="V440" s="45"/>
    </row>
    <row r="441" spans="1:22" ht="14.25" customHeight="1">
      <c r="A441" s="45"/>
      <c r="B441" s="45"/>
      <c r="V441" s="45"/>
    </row>
    <row r="442" spans="1:22" ht="14.25" customHeight="1">
      <c r="A442" s="45"/>
      <c r="B442" s="45"/>
      <c r="V442" s="45"/>
    </row>
    <row r="443" spans="1:22" ht="14.25" customHeight="1">
      <c r="A443" s="45"/>
      <c r="B443" s="45"/>
      <c r="V443" s="45"/>
    </row>
    <row r="444" spans="1:22" ht="14.25" customHeight="1">
      <c r="A444" s="45"/>
      <c r="B444" s="45"/>
      <c r="V444" s="45"/>
    </row>
    <row r="445" spans="1:22" ht="14.25" customHeight="1">
      <c r="A445" s="45"/>
      <c r="B445" s="45"/>
      <c r="V445" s="45"/>
    </row>
    <row r="446" spans="1:22" ht="14.25" customHeight="1">
      <c r="A446" s="45"/>
      <c r="B446" s="45"/>
      <c r="V446" s="45"/>
    </row>
    <row r="447" spans="1:22" ht="14.25" customHeight="1">
      <c r="A447" s="45"/>
      <c r="B447" s="45"/>
      <c r="V447" s="45"/>
    </row>
    <row r="448" spans="1:22" ht="14.25" customHeight="1">
      <c r="A448" s="45"/>
      <c r="B448" s="45"/>
      <c r="V448" s="45"/>
    </row>
    <row r="449" spans="1:22" ht="14.25" customHeight="1">
      <c r="A449" s="45"/>
      <c r="B449" s="45"/>
      <c r="V449" s="45"/>
    </row>
    <row r="450" spans="1:22" ht="14.25" customHeight="1">
      <c r="A450" s="45"/>
      <c r="B450" s="45"/>
      <c r="V450" s="45"/>
    </row>
    <row r="451" spans="1:22" ht="14.25" customHeight="1">
      <c r="A451" s="45"/>
      <c r="B451" s="45"/>
      <c r="V451" s="45"/>
    </row>
    <row r="452" spans="1:22" ht="14.25" customHeight="1">
      <c r="A452" s="45"/>
      <c r="B452" s="45"/>
      <c r="V452" s="45"/>
    </row>
    <row r="453" spans="1:22" ht="14.25" customHeight="1">
      <c r="A453" s="45"/>
      <c r="B453" s="45"/>
      <c r="V453" s="45"/>
    </row>
    <row r="454" spans="1:22" ht="14.25" customHeight="1">
      <c r="A454" s="45"/>
      <c r="B454" s="45"/>
      <c r="V454" s="45"/>
    </row>
    <row r="455" spans="1:22" ht="14.25" customHeight="1">
      <c r="A455" s="45"/>
      <c r="B455" s="45"/>
      <c r="V455" s="45"/>
    </row>
    <row r="456" spans="1:22" ht="14.25" customHeight="1">
      <c r="A456" s="45"/>
      <c r="B456" s="45"/>
      <c r="V456" s="45"/>
    </row>
    <row r="457" spans="1:22" ht="14.25" customHeight="1">
      <c r="A457" s="45"/>
      <c r="B457" s="45"/>
      <c r="V457" s="45"/>
    </row>
    <row r="458" spans="1:22" ht="14.25" customHeight="1">
      <c r="A458" s="45"/>
      <c r="B458" s="45"/>
      <c r="V458" s="45"/>
    </row>
    <row r="459" spans="1:22" ht="14.25" customHeight="1">
      <c r="A459" s="45"/>
      <c r="B459" s="45"/>
      <c r="V459" s="45"/>
    </row>
    <row r="460" spans="1:22" ht="14.25" customHeight="1">
      <c r="A460" s="45"/>
      <c r="B460" s="45"/>
      <c r="V460" s="45"/>
    </row>
    <row r="461" spans="1:22" ht="14.25" customHeight="1">
      <c r="A461" s="45"/>
      <c r="B461" s="45"/>
      <c r="V461" s="45"/>
    </row>
    <row r="462" spans="1:22" ht="14.25" customHeight="1">
      <c r="A462" s="45"/>
      <c r="B462" s="45"/>
      <c r="V462" s="45"/>
    </row>
    <row r="463" spans="1:22" ht="14.25" customHeight="1">
      <c r="A463" s="45"/>
      <c r="B463" s="45"/>
      <c r="V463" s="45"/>
    </row>
    <row r="464" spans="1:22" ht="14.25" customHeight="1">
      <c r="A464" s="45"/>
      <c r="B464" s="45"/>
      <c r="V464" s="45"/>
    </row>
    <row r="465" spans="1:22" ht="14.25" customHeight="1">
      <c r="A465" s="45"/>
      <c r="B465" s="45"/>
      <c r="V465" s="45"/>
    </row>
    <row r="466" spans="1:22" ht="14.25" customHeight="1">
      <c r="A466" s="45"/>
      <c r="B466" s="45"/>
      <c r="V466" s="45"/>
    </row>
    <row r="467" spans="1:22" ht="14.25" customHeight="1">
      <c r="A467" s="45"/>
      <c r="B467" s="45"/>
      <c r="V467" s="45"/>
    </row>
    <row r="468" spans="1:22" ht="14.25" customHeight="1">
      <c r="A468" s="45"/>
      <c r="B468" s="45"/>
      <c r="V468" s="45"/>
    </row>
    <row r="469" spans="1:22" ht="14.25" customHeight="1">
      <c r="A469" s="45"/>
      <c r="B469" s="45"/>
      <c r="V469" s="45"/>
    </row>
    <row r="470" spans="1:22" ht="14.25" customHeight="1">
      <c r="A470" s="45"/>
      <c r="B470" s="45"/>
      <c r="V470" s="45"/>
    </row>
    <row r="471" spans="1:22" ht="14.25" customHeight="1">
      <c r="A471" s="45"/>
      <c r="B471" s="45"/>
      <c r="V471" s="45"/>
    </row>
    <row r="472" spans="1:22" ht="14.25" customHeight="1">
      <c r="A472" s="45"/>
      <c r="B472" s="45"/>
      <c r="V472" s="45"/>
    </row>
    <row r="473" spans="1:22" ht="14.25" customHeight="1">
      <c r="A473" s="45"/>
      <c r="B473" s="45"/>
      <c r="V473" s="45"/>
    </row>
    <row r="474" spans="1:22" ht="14.25" customHeight="1">
      <c r="A474" s="45"/>
      <c r="B474" s="45"/>
      <c r="V474" s="45"/>
    </row>
    <row r="475" spans="1:22" ht="14.25" customHeight="1">
      <c r="A475" s="45"/>
      <c r="B475" s="45"/>
      <c r="V475" s="45"/>
    </row>
    <row r="476" spans="1:22" ht="14.25" customHeight="1">
      <c r="A476" s="45"/>
      <c r="B476" s="45"/>
      <c r="V476" s="45"/>
    </row>
    <row r="477" spans="1:22" ht="14.25" customHeight="1">
      <c r="A477" s="45"/>
      <c r="B477" s="45"/>
      <c r="V477" s="45"/>
    </row>
    <row r="478" spans="1:22" ht="14.25" customHeight="1">
      <c r="A478" s="45"/>
      <c r="B478" s="45"/>
      <c r="V478" s="45"/>
    </row>
    <row r="479" spans="1:22" ht="14.25" customHeight="1">
      <c r="A479" s="45"/>
      <c r="B479" s="45"/>
      <c r="V479" s="45"/>
    </row>
    <row r="480" spans="1:22" ht="14.25" customHeight="1">
      <c r="A480" s="45"/>
      <c r="B480" s="45"/>
      <c r="V480" s="45"/>
    </row>
    <row r="481" spans="1:22" ht="14.25" customHeight="1">
      <c r="A481" s="45"/>
      <c r="B481" s="45"/>
      <c r="V481" s="45"/>
    </row>
    <row r="482" spans="1:22" ht="14.25" customHeight="1">
      <c r="A482" s="45"/>
      <c r="B482" s="45"/>
      <c r="V482" s="45"/>
    </row>
    <row r="483" spans="1:22" ht="14.25" customHeight="1">
      <c r="A483" s="45"/>
      <c r="B483" s="45"/>
      <c r="V483" s="45"/>
    </row>
    <row r="484" spans="1:22" ht="14.25" customHeight="1">
      <c r="A484" s="45"/>
      <c r="B484" s="45"/>
      <c r="V484" s="45"/>
    </row>
    <row r="485" spans="1:22" ht="14.25" customHeight="1">
      <c r="A485" s="45"/>
      <c r="B485" s="45"/>
      <c r="V485" s="45"/>
    </row>
    <row r="486" spans="1:22" ht="14.25" customHeight="1">
      <c r="A486" s="45"/>
      <c r="B486" s="45"/>
      <c r="V486" s="45"/>
    </row>
    <row r="487" spans="1:22" ht="14.25" customHeight="1">
      <c r="A487" s="45"/>
      <c r="B487" s="45"/>
      <c r="V487" s="45"/>
    </row>
    <row r="488" spans="1:22" ht="14.25" customHeight="1">
      <c r="A488" s="45"/>
      <c r="B488" s="45"/>
      <c r="V488" s="45"/>
    </row>
    <row r="489" spans="1:22" ht="14.25" customHeight="1">
      <c r="A489" s="45"/>
      <c r="B489" s="45"/>
      <c r="V489" s="45"/>
    </row>
    <row r="490" spans="1:22" ht="14.25" customHeight="1">
      <c r="A490" s="45"/>
      <c r="B490" s="45"/>
      <c r="V490" s="45"/>
    </row>
    <row r="491" spans="1:22" ht="14.25" customHeight="1">
      <c r="A491" s="45"/>
      <c r="B491" s="45"/>
      <c r="V491" s="45"/>
    </row>
    <row r="492" spans="1:22" ht="14.25" customHeight="1">
      <c r="A492" s="45"/>
      <c r="B492" s="45"/>
      <c r="V492" s="45"/>
    </row>
    <row r="493" spans="1:22" ht="14.25" customHeight="1">
      <c r="A493" s="45"/>
      <c r="B493" s="45"/>
      <c r="V493" s="45"/>
    </row>
    <row r="494" spans="1:22" ht="14.25" customHeight="1">
      <c r="A494" s="45"/>
      <c r="B494" s="45"/>
      <c r="V494" s="45"/>
    </row>
    <row r="495" spans="1:22" ht="14.25" customHeight="1">
      <c r="A495" s="45"/>
      <c r="B495" s="45"/>
      <c r="V495" s="45"/>
    </row>
    <row r="496" spans="1:22" ht="14.25" customHeight="1">
      <c r="A496" s="45"/>
      <c r="B496" s="45"/>
      <c r="V496" s="45"/>
    </row>
    <row r="497" spans="1:22" ht="14.25" customHeight="1">
      <c r="A497" s="45"/>
      <c r="B497" s="45"/>
      <c r="V497" s="45"/>
    </row>
    <row r="498" spans="1:22" ht="14.25" customHeight="1">
      <c r="A498" s="45"/>
      <c r="B498" s="45"/>
      <c r="V498" s="45"/>
    </row>
    <row r="499" spans="1:22" ht="14.25" customHeight="1">
      <c r="A499" s="45"/>
      <c r="B499" s="45"/>
      <c r="V499" s="45"/>
    </row>
    <row r="500" spans="1:22" ht="14.25" customHeight="1">
      <c r="A500" s="45"/>
      <c r="B500" s="45"/>
      <c r="V500" s="45"/>
    </row>
    <row r="501" spans="1:22" ht="14.25" customHeight="1">
      <c r="A501" s="45"/>
      <c r="B501" s="45"/>
      <c r="V501" s="45"/>
    </row>
    <row r="502" spans="1:22" ht="14.25" customHeight="1">
      <c r="A502" s="45"/>
      <c r="B502" s="45"/>
      <c r="V502" s="45"/>
    </row>
    <row r="503" spans="1:22" ht="14.25" customHeight="1">
      <c r="A503" s="45"/>
      <c r="B503" s="45"/>
      <c r="V503" s="45"/>
    </row>
    <row r="504" spans="1:22" ht="14.25" customHeight="1">
      <c r="A504" s="45"/>
      <c r="B504" s="45"/>
      <c r="V504" s="45"/>
    </row>
    <row r="505" spans="1:22" ht="14.25" customHeight="1">
      <c r="A505" s="45"/>
      <c r="B505" s="45"/>
      <c r="V505" s="45"/>
    </row>
    <row r="506" spans="1:22" ht="14.25" customHeight="1">
      <c r="A506" s="45"/>
      <c r="B506" s="45"/>
      <c r="V506" s="45"/>
    </row>
    <row r="507" spans="1:22" ht="14.25" customHeight="1">
      <c r="A507" s="45"/>
      <c r="B507" s="45"/>
      <c r="V507" s="45"/>
    </row>
    <row r="508" spans="1:22" ht="14.25" customHeight="1">
      <c r="A508" s="45"/>
      <c r="B508" s="45"/>
      <c r="V508" s="45"/>
    </row>
    <row r="509" spans="1:22" ht="14.25" customHeight="1">
      <c r="A509" s="45"/>
      <c r="B509" s="45"/>
      <c r="V509" s="45"/>
    </row>
    <row r="510" spans="1:22" ht="14.25" customHeight="1">
      <c r="A510" s="45"/>
      <c r="B510" s="45"/>
      <c r="V510" s="45"/>
    </row>
    <row r="511" spans="1:22" ht="14.25" customHeight="1">
      <c r="A511" s="45"/>
      <c r="B511" s="45"/>
      <c r="V511" s="45"/>
    </row>
    <row r="512" spans="1:22" ht="14.25" customHeight="1">
      <c r="A512" s="45"/>
      <c r="B512" s="45"/>
      <c r="V512" s="45"/>
    </row>
    <row r="513" spans="1:22" ht="14.25" customHeight="1">
      <c r="A513" s="45"/>
      <c r="B513" s="45"/>
      <c r="V513" s="45"/>
    </row>
    <row r="514" spans="1:22" ht="14.25" customHeight="1">
      <c r="A514" s="45"/>
      <c r="B514" s="45"/>
      <c r="V514" s="45"/>
    </row>
    <row r="515" spans="1:22" ht="14.25" customHeight="1">
      <c r="A515" s="45"/>
      <c r="B515" s="45"/>
      <c r="V515" s="45"/>
    </row>
    <row r="516" spans="1:22" ht="14.25" customHeight="1">
      <c r="A516" s="45"/>
      <c r="B516" s="45"/>
      <c r="V516" s="45"/>
    </row>
    <row r="517" spans="1:22" ht="14.25" customHeight="1">
      <c r="A517" s="45"/>
      <c r="B517" s="45"/>
      <c r="V517" s="45"/>
    </row>
    <row r="518" spans="1:22" ht="14.25" customHeight="1">
      <c r="A518" s="45"/>
      <c r="B518" s="45"/>
      <c r="V518" s="45"/>
    </row>
    <row r="519" spans="1:22" ht="14.25" customHeight="1">
      <c r="A519" s="45"/>
      <c r="B519" s="45"/>
      <c r="V519" s="45"/>
    </row>
    <row r="520" spans="1:22" ht="14.25" customHeight="1">
      <c r="A520" s="45"/>
      <c r="B520" s="45"/>
      <c r="V520" s="45"/>
    </row>
    <row r="521" spans="1:22" ht="14.25" customHeight="1">
      <c r="A521" s="45"/>
      <c r="B521" s="45"/>
      <c r="V521" s="45"/>
    </row>
    <row r="522" spans="1:22" ht="14.25" customHeight="1">
      <c r="A522" s="45"/>
      <c r="B522" s="45"/>
      <c r="V522" s="45"/>
    </row>
    <row r="523" spans="1:22" ht="14.25" customHeight="1">
      <c r="A523" s="45"/>
      <c r="B523" s="45"/>
      <c r="V523" s="45"/>
    </row>
    <row r="524" spans="1:22" ht="14.25" customHeight="1">
      <c r="A524" s="45"/>
      <c r="B524" s="45"/>
      <c r="V524" s="45"/>
    </row>
    <row r="525" spans="1:22" ht="14.25" customHeight="1">
      <c r="A525" s="45"/>
      <c r="B525" s="45"/>
      <c r="V525" s="45"/>
    </row>
    <row r="526" spans="1:22" ht="14.25" customHeight="1">
      <c r="A526" s="45"/>
      <c r="B526" s="45"/>
      <c r="V526" s="45"/>
    </row>
    <row r="527" spans="1:22" ht="14.25" customHeight="1">
      <c r="A527" s="45"/>
      <c r="B527" s="45"/>
      <c r="V527" s="45"/>
    </row>
    <row r="528" spans="1:22" ht="14.25" customHeight="1">
      <c r="A528" s="45"/>
      <c r="B528" s="45"/>
      <c r="V528" s="45"/>
    </row>
    <row r="529" spans="1:22" ht="14.25" customHeight="1">
      <c r="A529" s="45"/>
      <c r="B529" s="45"/>
      <c r="V529" s="45"/>
    </row>
    <row r="530" spans="1:22" ht="14.25" customHeight="1">
      <c r="A530" s="45"/>
      <c r="B530" s="45"/>
      <c r="V530" s="45"/>
    </row>
    <row r="531" spans="1:22" ht="14.25" customHeight="1">
      <c r="A531" s="45"/>
      <c r="B531" s="45"/>
      <c r="V531" s="45"/>
    </row>
    <row r="532" spans="1:22" ht="14.25" customHeight="1">
      <c r="A532" s="45"/>
      <c r="B532" s="45"/>
      <c r="V532" s="45"/>
    </row>
    <row r="533" spans="1:22" ht="14.25" customHeight="1">
      <c r="A533" s="45"/>
      <c r="B533" s="45"/>
      <c r="V533" s="45"/>
    </row>
    <row r="534" spans="1:22" ht="14.25" customHeight="1">
      <c r="A534" s="45"/>
      <c r="B534" s="45"/>
      <c r="V534" s="45"/>
    </row>
    <row r="535" spans="1:22" ht="14.25" customHeight="1">
      <c r="A535" s="45"/>
      <c r="B535" s="45"/>
      <c r="V535" s="45"/>
    </row>
    <row r="536" spans="1:22" ht="14.25" customHeight="1">
      <c r="A536" s="45"/>
      <c r="B536" s="45"/>
      <c r="V536" s="45"/>
    </row>
    <row r="537" spans="1:22" ht="14.25" customHeight="1">
      <c r="A537" s="45"/>
      <c r="B537" s="45"/>
      <c r="V537" s="45"/>
    </row>
    <row r="538" spans="1:22" ht="14.25" customHeight="1">
      <c r="A538" s="45"/>
      <c r="B538" s="45"/>
      <c r="V538" s="45"/>
    </row>
    <row r="539" spans="1:22" ht="14.25" customHeight="1">
      <c r="A539" s="45"/>
      <c r="B539" s="45"/>
      <c r="V539" s="45"/>
    </row>
    <row r="540" spans="1:22" ht="14.25" customHeight="1">
      <c r="A540" s="45"/>
      <c r="B540" s="45"/>
      <c r="V540" s="45"/>
    </row>
    <row r="541" spans="1:22" ht="14.25" customHeight="1">
      <c r="A541" s="45"/>
      <c r="B541" s="45"/>
      <c r="V541" s="45"/>
    </row>
    <row r="542" spans="1:22" ht="14.25" customHeight="1">
      <c r="A542" s="45"/>
      <c r="B542" s="45"/>
      <c r="V542" s="45"/>
    </row>
    <row r="543" spans="1:22" ht="14.25" customHeight="1">
      <c r="A543" s="45"/>
      <c r="B543" s="45"/>
      <c r="V543" s="45"/>
    </row>
    <row r="544" spans="1:22" ht="14.25" customHeight="1">
      <c r="A544" s="45"/>
      <c r="B544" s="45"/>
      <c r="V544" s="45"/>
    </row>
    <row r="545" spans="1:22" ht="14.25" customHeight="1">
      <c r="A545" s="45"/>
      <c r="B545" s="45"/>
      <c r="V545" s="45"/>
    </row>
    <row r="546" spans="1:22" ht="14.25" customHeight="1">
      <c r="A546" s="45"/>
      <c r="B546" s="45"/>
      <c r="V546" s="45"/>
    </row>
    <row r="547" spans="1:22" ht="14.25" customHeight="1">
      <c r="A547" s="45"/>
      <c r="B547" s="45"/>
      <c r="V547" s="45"/>
    </row>
    <row r="548" spans="1:22" ht="14.25" customHeight="1">
      <c r="A548" s="45"/>
      <c r="B548" s="45"/>
      <c r="V548" s="45"/>
    </row>
    <row r="549" spans="1:22" ht="14.25" customHeight="1">
      <c r="A549" s="45"/>
      <c r="B549" s="45"/>
      <c r="V549" s="45"/>
    </row>
    <row r="550" spans="1:22" ht="14.25" customHeight="1">
      <c r="A550" s="45"/>
      <c r="B550" s="45"/>
      <c r="V550" s="45"/>
    </row>
    <row r="551" spans="1:22" ht="14.25" customHeight="1">
      <c r="A551" s="45"/>
      <c r="B551" s="45"/>
      <c r="V551" s="45"/>
    </row>
    <row r="552" spans="1:22" ht="14.25" customHeight="1">
      <c r="A552" s="45"/>
      <c r="B552" s="45"/>
      <c r="V552" s="45"/>
    </row>
    <row r="553" spans="1:22" ht="14.25" customHeight="1">
      <c r="A553" s="45"/>
      <c r="B553" s="45"/>
      <c r="V553" s="45"/>
    </row>
    <row r="554" spans="1:22" ht="14.25" customHeight="1">
      <c r="A554" s="45"/>
      <c r="B554" s="45"/>
      <c r="V554" s="45"/>
    </row>
    <row r="555" spans="1:22" ht="14.25" customHeight="1">
      <c r="A555" s="45"/>
      <c r="B555" s="45"/>
      <c r="V555" s="45"/>
    </row>
    <row r="556" spans="1:22" ht="14.25" customHeight="1">
      <c r="A556" s="45"/>
      <c r="B556" s="45"/>
      <c r="V556" s="45"/>
    </row>
    <row r="557" spans="1:22" ht="14.25" customHeight="1">
      <c r="A557" s="45"/>
      <c r="B557" s="45"/>
      <c r="V557" s="45"/>
    </row>
    <row r="558" spans="1:22" ht="14.25" customHeight="1">
      <c r="A558" s="45"/>
      <c r="B558" s="45"/>
      <c r="V558" s="45"/>
    </row>
    <row r="559" spans="1:22" ht="14.25" customHeight="1">
      <c r="A559" s="45"/>
      <c r="B559" s="45"/>
      <c r="V559" s="45"/>
    </row>
    <row r="560" spans="1:22" ht="14.25" customHeight="1">
      <c r="A560" s="45"/>
      <c r="B560" s="45"/>
      <c r="V560" s="45"/>
    </row>
    <row r="561" spans="1:22" ht="14.25" customHeight="1">
      <c r="A561" s="45"/>
      <c r="B561" s="45"/>
      <c r="V561" s="45"/>
    </row>
    <row r="562" spans="1:22" ht="14.25" customHeight="1">
      <c r="A562" s="45"/>
      <c r="B562" s="45"/>
      <c r="V562" s="45"/>
    </row>
    <row r="563" spans="1:22" ht="14.25" customHeight="1">
      <c r="A563" s="45"/>
      <c r="B563" s="45"/>
      <c r="V563" s="45"/>
    </row>
    <row r="564" spans="1:22" ht="14.25" customHeight="1">
      <c r="A564" s="45"/>
      <c r="B564" s="45"/>
      <c r="V564" s="45"/>
    </row>
    <row r="565" spans="1:22" ht="14.25" customHeight="1">
      <c r="A565" s="45"/>
      <c r="B565" s="45"/>
      <c r="V565" s="45"/>
    </row>
    <row r="566" spans="1:22" ht="14.25" customHeight="1">
      <c r="A566" s="45"/>
      <c r="B566" s="45"/>
      <c r="V566" s="45"/>
    </row>
    <row r="567" spans="1:22" ht="14.25" customHeight="1">
      <c r="A567" s="45"/>
      <c r="B567" s="45"/>
      <c r="V567" s="45"/>
    </row>
    <row r="568" spans="1:22" ht="14.25" customHeight="1">
      <c r="A568" s="45"/>
      <c r="B568" s="45"/>
      <c r="V568" s="45"/>
    </row>
    <row r="569" spans="1:22" ht="14.25" customHeight="1">
      <c r="A569" s="45"/>
      <c r="B569" s="45"/>
      <c r="V569" s="45"/>
    </row>
    <row r="570" spans="1:22" ht="14.25" customHeight="1">
      <c r="A570" s="45"/>
      <c r="B570" s="45"/>
      <c r="V570" s="45"/>
    </row>
    <row r="571" spans="1:22" ht="14.25" customHeight="1">
      <c r="A571" s="45"/>
      <c r="B571" s="45"/>
      <c r="V571" s="45"/>
    </row>
    <row r="572" spans="1:22" ht="14.25" customHeight="1">
      <c r="A572" s="45"/>
      <c r="B572" s="45"/>
      <c r="V572" s="45"/>
    </row>
    <row r="573" spans="1:22" ht="14.25" customHeight="1">
      <c r="A573" s="45"/>
      <c r="B573" s="45"/>
      <c r="V573" s="45"/>
    </row>
    <row r="574" spans="1:22" ht="14.25" customHeight="1">
      <c r="A574" s="45"/>
      <c r="B574" s="45"/>
      <c r="V574" s="45"/>
    </row>
    <row r="575" spans="1:22" ht="14.25" customHeight="1">
      <c r="A575" s="45"/>
      <c r="B575" s="45"/>
      <c r="V575" s="45"/>
    </row>
    <row r="576" spans="1:22" ht="14.25" customHeight="1">
      <c r="A576" s="45"/>
      <c r="B576" s="45"/>
      <c r="V576" s="45"/>
    </row>
    <row r="577" spans="1:22" ht="14.25" customHeight="1">
      <c r="A577" s="45"/>
      <c r="B577" s="45"/>
      <c r="V577" s="45"/>
    </row>
    <row r="578" spans="1:22" ht="14.25" customHeight="1">
      <c r="A578" s="45"/>
      <c r="B578" s="45"/>
      <c r="V578" s="45"/>
    </row>
    <row r="579" spans="1:22" ht="14.25" customHeight="1">
      <c r="A579" s="45"/>
      <c r="B579" s="45"/>
      <c r="V579" s="45"/>
    </row>
    <row r="580" spans="1:22" ht="14.25" customHeight="1">
      <c r="A580" s="45"/>
      <c r="B580" s="45"/>
      <c r="V580" s="45"/>
    </row>
    <row r="581" spans="1:22" ht="14.25" customHeight="1">
      <c r="A581" s="45"/>
      <c r="B581" s="45"/>
      <c r="V581" s="45"/>
    </row>
    <row r="582" spans="1:22" ht="14.25" customHeight="1">
      <c r="A582" s="45"/>
      <c r="B582" s="45"/>
      <c r="V582" s="45"/>
    </row>
    <row r="583" spans="1:22" ht="14.25" customHeight="1">
      <c r="A583" s="45"/>
      <c r="B583" s="45"/>
      <c r="V583" s="45"/>
    </row>
    <row r="584" spans="1:22" ht="14.25" customHeight="1">
      <c r="A584" s="45"/>
      <c r="B584" s="45"/>
      <c r="V584" s="45"/>
    </row>
    <row r="585" spans="1:22" ht="14.25" customHeight="1">
      <c r="A585" s="45"/>
      <c r="B585" s="45"/>
      <c r="V585" s="45"/>
    </row>
    <row r="586" spans="1:22" ht="14.25" customHeight="1">
      <c r="A586" s="45"/>
      <c r="B586" s="45"/>
      <c r="V586" s="45"/>
    </row>
    <row r="587" spans="1:22" ht="14.25" customHeight="1">
      <c r="A587" s="45"/>
      <c r="B587" s="45"/>
      <c r="V587" s="45"/>
    </row>
    <row r="588" spans="1:22" ht="14.25" customHeight="1">
      <c r="A588" s="45"/>
      <c r="B588" s="45"/>
      <c r="V588" s="45"/>
    </row>
    <row r="589" spans="1:22" ht="14.25" customHeight="1">
      <c r="A589" s="45"/>
      <c r="B589" s="45"/>
      <c r="V589" s="45"/>
    </row>
    <row r="590" spans="1:22" ht="14.25" customHeight="1">
      <c r="A590" s="45"/>
      <c r="B590" s="45"/>
      <c r="V590" s="45"/>
    </row>
    <row r="591" spans="1:22" ht="14.25" customHeight="1">
      <c r="A591" s="45"/>
      <c r="B591" s="45"/>
      <c r="V591" s="45"/>
    </row>
    <row r="592" spans="1:22" ht="14.25" customHeight="1">
      <c r="A592" s="45"/>
      <c r="B592" s="45"/>
      <c r="V592" s="45"/>
    </row>
    <row r="593" spans="1:22" ht="14.25" customHeight="1">
      <c r="A593" s="45"/>
      <c r="B593" s="45"/>
      <c r="V593" s="45"/>
    </row>
    <row r="594" spans="1:22" ht="14.25" customHeight="1">
      <c r="A594" s="45"/>
      <c r="B594" s="45"/>
      <c r="V594" s="45"/>
    </row>
    <row r="595" spans="1:22" ht="14.25" customHeight="1">
      <c r="A595" s="45"/>
      <c r="B595" s="45"/>
      <c r="V595" s="45"/>
    </row>
    <row r="596" spans="1:22" ht="14.25" customHeight="1">
      <c r="A596" s="45"/>
      <c r="B596" s="45"/>
      <c r="V596" s="45"/>
    </row>
    <row r="597" spans="1:22" ht="14.25" customHeight="1">
      <c r="A597" s="45"/>
      <c r="B597" s="45"/>
      <c r="V597" s="45"/>
    </row>
    <row r="598" spans="1:22" ht="14.25" customHeight="1">
      <c r="A598" s="45"/>
      <c r="B598" s="45"/>
      <c r="V598" s="45"/>
    </row>
    <row r="599" spans="1:22" ht="14.25" customHeight="1">
      <c r="A599" s="45"/>
      <c r="B599" s="45"/>
      <c r="V599" s="45"/>
    </row>
    <row r="600" spans="1:22" ht="14.25" customHeight="1">
      <c r="A600" s="45"/>
      <c r="B600" s="45"/>
      <c r="V600" s="45"/>
    </row>
    <row r="601" spans="1:22" ht="14.25" customHeight="1">
      <c r="A601" s="45"/>
      <c r="B601" s="45"/>
      <c r="V601" s="45"/>
    </row>
    <row r="602" spans="1:22" ht="14.25" customHeight="1">
      <c r="A602" s="45"/>
      <c r="B602" s="45"/>
      <c r="V602" s="45"/>
    </row>
    <row r="603" spans="1:22" ht="14.25" customHeight="1">
      <c r="A603" s="45"/>
      <c r="B603" s="45"/>
      <c r="V603" s="45"/>
    </row>
    <row r="604" spans="1:22" ht="14.25" customHeight="1">
      <c r="A604" s="45"/>
      <c r="B604" s="45"/>
      <c r="V604" s="45"/>
    </row>
    <row r="605" spans="1:22" ht="14.25" customHeight="1">
      <c r="A605" s="45"/>
      <c r="B605" s="45"/>
      <c r="V605" s="45"/>
    </row>
    <row r="606" spans="1:22" ht="14.25" customHeight="1">
      <c r="A606" s="45"/>
      <c r="B606" s="45"/>
      <c r="V606" s="45"/>
    </row>
    <row r="607" spans="1:22" ht="14.25" customHeight="1">
      <c r="A607" s="45"/>
      <c r="B607" s="45"/>
      <c r="V607" s="45"/>
    </row>
    <row r="608" spans="1:22" ht="14.25" customHeight="1">
      <c r="A608" s="45"/>
      <c r="B608" s="45"/>
      <c r="V608" s="45"/>
    </row>
    <row r="609" spans="1:22" ht="14.25" customHeight="1">
      <c r="A609" s="45"/>
      <c r="B609" s="45"/>
      <c r="V609" s="45"/>
    </row>
    <row r="610" spans="1:22" ht="14.25" customHeight="1">
      <c r="A610" s="45"/>
      <c r="B610" s="45"/>
      <c r="V610" s="45"/>
    </row>
    <row r="611" spans="1:22" ht="14.25" customHeight="1">
      <c r="A611" s="45"/>
      <c r="B611" s="45"/>
      <c r="V611" s="45"/>
    </row>
    <row r="612" spans="1:22" ht="14.25" customHeight="1">
      <c r="A612" s="45"/>
      <c r="B612" s="45"/>
      <c r="V612" s="45"/>
    </row>
    <row r="613" spans="1:22" ht="14.25" customHeight="1">
      <c r="A613" s="45"/>
      <c r="B613" s="45"/>
      <c r="V613" s="45"/>
    </row>
    <row r="614" spans="1:22" ht="14.25" customHeight="1">
      <c r="A614" s="45"/>
      <c r="B614" s="45"/>
      <c r="V614" s="45"/>
    </row>
    <row r="615" spans="1:22" ht="14.25" customHeight="1">
      <c r="A615" s="45"/>
      <c r="B615" s="45"/>
      <c r="V615" s="45"/>
    </row>
    <row r="616" spans="1:22" ht="14.25" customHeight="1">
      <c r="A616" s="45"/>
      <c r="B616" s="45"/>
      <c r="V616" s="45"/>
    </row>
    <row r="617" spans="1:22" ht="14.25" customHeight="1">
      <c r="A617" s="45"/>
      <c r="B617" s="45"/>
      <c r="V617" s="45"/>
    </row>
    <row r="618" spans="1:22" ht="14.25" customHeight="1">
      <c r="A618" s="45"/>
      <c r="B618" s="45"/>
      <c r="V618" s="45"/>
    </row>
    <row r="619" spans="1:22" ht="14.25" customHeight="1">
      <c r="A619" s="45"/>
      <c r="B619" s="45"/>
      <c r="V619" s="45"/>
    </row>
    <row r="620" spans="1:22" ht="14.25" customHeight="1">
      <c r="A620" s="45"/>
      <c r="B620" s="45"/>
      <c r="V620" s="45"/>
    </row>
    <row r="621" spans="1:22" ht="14.25" customHeight="1">
      <c r="A621" s="45"/>
      <c r="B621" s="45"/>
      <c r="V621" s="45"/>
    </row>
    <row r="622" spans="1:22" ht="14.25" customHeight="1">
      <c r="A622" s="45"/>
      <c r="B622" s="45"/>
      <c r="V622" s="45"/>
    </row>
    <row r="623" spans="1:22" ht="14.25" customHeight="1">
      <c r="A623" s="45"/>
      <c r="B623" s="45"/>
      <c r="V623" s="45"/>
    </row>
    <row r="624" spans="1:22" ht="14.25" customHeight="1">
      <c r="A624" s="45"/>
      <c r="B624" s="45"/>
      <c r="V624" s="45"/>
    </row>
    <row r="625" spans="1:22" ht="14.25" customHeight="1">
      <c r="A625" s="45"/>
      <c r="B625" s="45"/>
      <c r="V625" s="45"/>
    </row>
    <row r="626" spans="1:22" ht="14.25" customHeight="1">
      <c r="A626" s="45"/>
      <c r="B626" s="45"/>
      <c r="V626" s="45"/>
    </row>
    <row r="627" spans="1:22" ht="14.25" customHeight="1">
      <c r="A627" s="45"/>
      <c r="B627" s="45"/>
      <c r="V627" s="45"/>
    </row>
    <row r="628" spans="1:22" ht="14.25" customHeight="1">
      <c r="A628" s="45"/>
      <c r="B628" s="45"/>
      <c r="V628" s="45"/>
    </row>
    <row r="629" spans="1:22" ht="14.25" customHeight="1">
      <c r="A629" s="45"/>
      <c r="B629" s="45"/>
      <c r="V629" s="45"/>
    </row>
    <row r="630" spans="1:22" ht="14.25" customHeight="1">
      <c r="A630" s="45"/>
      <c r="B630" s="45"/>
      <c r="V630" s="45"/>
    </row>
    <row r="631" spans="1:22" ht="14.25" customHeight="1">
      <c r="A631" s="45"/>
      <c r="B631" s="45"/>
      <c r="V631" s="45"/>
    </row>
    <row r="632" spans="1:22" ht="14.25" customHeight="1">
      <c r="A632" s="45"/>
      <c r="B632" s="45"/>
      <c r="V632" s="45"/>
    </row>
    <row r="633" spans="1:22" ht="14.25" customHeight="1">
      <c r="A633" s="45"/>
      <c r="B633" s="45"/>
      <c r="V633" s="45"/>
    </row>
    <row r="634" spans="1:22" ht="14.25" customHeight="1">
      <c r="A634" s="45"/>
      <c r="B634" s="45"/>
      <c r="V634" s="45"/>
    </row>
    <row r="635" spans="1:22" ht="14.25" customHeight="1">
      <c r="A635" s="45"/>
      <c r="B635" s="45"/>
      <c r="V635" s="45"/>
    </row>
    <row r="636" spans="1:22" ht="14.25" customHeight="1">
      <c r="A636" s="45"/>
      <c r="B636" s="45"/>
      <c r="V636" s="45"/>
    </row>
    <row r="637" spans="1:22" ht="14.25" customHeight="1">
      <c r="A637" s="45"/>
      <c r="B637" s="45"/>
      <c r="V637" s="45"/>
    </row>
    <row r="638" spans="1:22" ht="14.25" customHeight="1">
      <c r="A638" s="45"/>
      <c r="B638" s="45"/>
      <c r="V638" s="45"/>
    </row>
    <row r="639" spans="1:22" ht="14.25" customHeight="1">
      <c r="A639" s="45"/>
      <c r="B639" s="45"/>
      <c r="V639" s="45"/>
    </row>
    <row r="640" spans="1:22" ht="14.25" customHeight="1">
      <c r="A640" s="45"/>
      <c r="B640" s="45"/>
      <c r="V640" s="45"/>
    </row>
    <row r="641" spans="1:22" ht="14.25" customHeight="1">
      <c r="A641" s="45"/>
      <c r="B641" s="45"/>
      <c r="V641" s="45"/>
    </row>
    <row r="642" spans="1:22" ht="14.25" customHeight="1">
      <c r="A642" s="45"/>
      <c r="B642" s="45"/>
      <c r="V642" s="45"/>
    </row>
    <row r="643" spans="1:22" ht="14.25" customHeight="1">
      <c r="A643" s="45"/>
      <c r="B643" s="45"/>
      <c r="V643" s="45"/>
    </row>
    <row r="644" spans="1:22" ht="14.25" customHeight="1">
      <c r="A644" s="45"/>
      <c r="B644" s="45"/>
      <c r="V644" s="45"/>
    </row>
    <row r="645" spans="1:22" ht="14.25" customHeight="1">
      <c r="A645" s="45"/>
      <c r="B645" s="45"/>
      <c r="V645" s="45"/>
    </row>
    <row r="646" spans="1:22" ht="14.25" customHeight="1">
      <c r="A646" s="45"/>
      <c r="B646" s="45"/>
      <c r="V646" s="45"/>
    </row>
    <row r="647" spans="1:22" ht="14.25" customHeight="1">
      <c r="A647" s="45"/>
      <c r="B647" s="45"/>
      <c r="V647" s="45"/>
    </row>
    <row r="648" spans="1:22" ht="14.25" customHeight="1">
      <c r="A648" s="45"/>
      <c r="B648" s="45"/>
      <c r="V648" s="45"/>
    </row>
    <row r="649" spans="1:22" ht="14.25" customHeight="1">
      <c r="A649" s="45"/>
      <c r="B649" s="45"/>
      <c r="V649" s="45"/>
    </row>
    <row r="650" spans="1:22" ht="14.25" customHeight="1">
      <c r="A650" s="45"/>
      <c r="B650" s="45"/>
      <c r="V650" s="45"/>
    </row>
    <row r="651" spans="1:22" ht="14.25" customHeight="1">
      <c r="A651" s="45"/>
      <c r="B651" s="45"/>
      <c r="V651" s="45"/>
    </row>
    <row r="652" spans="1:22" ht="14.25" customHeight="1">
      <c r="A652" s="45"/>
      <c r="B652" s="45"/>
      <c r="V652" s="45"/>
    </row>
    <row r="653" spans="1:22" ht="14.25" customHeight="1">
      <c r="A653" s="45"/>
      <c r="B653" s="45"/>
      <c r="V653" s="45"/>
    </row>
    <row r="654" spans="1:22" ht="14.25" customHeight="1">
      <c r="A654" s="45"/>
      <c r="B654" s="45"/>
      <c r="V654" s="45"/>
    </row>
    <row r="655" spans="1:22" ht="14.25" customHeight="1">
      <c r="A655" s="45"/>
      <c r="B655" s="45"/>
      <c r="V655" s="45"/>
    </row>
    <row r="656" spans="1:22" ht="14.25" customHeight="1">
      <c r="A656" s="45"/>
      <c r="B656" s="45"/>
      <c r="V656" s="45"/>
    </row>
    <row r="657" spans="1:22" ht="14.25" customHeight="1">
      <c r="A657" s="45"/>
      <c r="B657" s="45"/>
      <c r="V657" s="45"/>
    </row>
    <row r="658" spans="1:22" ht="14.25" customHeight="1">
      <c r="A658" s="45"/>
      <c r="B658" s="45"/>
      <c r="V658" s="45"/>
    </row>
    <row r="659" spans="1:22" ht="14.25" customHeight="1">
      <c r="A659" s="45"/>
      <c r="B659" s="45"/>
      <c r="V659" s="45"/>
    </row>
    <row r="660" spans="1:22" ht="14.25" customHeight="1">
      <c r="A660" s="45"/>
      <c r="B660" s="45"/>
      <c r="V660" s="45"/>
    </row>
    <row r="661" spans="1:22" ht="14.25" customHeight="1">
      <c r="A661" s="45"/>
      <c r="B661" s="45"/>
      <c r="V661" s="45"/>
    </row>
    <row r="662" spans="1:22" ht="14.25" customHeight="1">
      <c r="A662" s="45"/>
      <c r="B662" s="45"/>
      <c r="V662" s="45"/>
    </row>
    <row r="663" spans="1:22" ht="14.25" customHeight="1">
      <c r="A663" s="45"/>
      <c r="B663" s="45"/>
      <c r="V663" s="45"/>
    </row>
    <row r="664" spans="1:22" ht="14.25" customHeight="1">
      <c r="A664" s="45"/>
      <c r="B664" s="45"/>
      <c r="V664" s="45"/>
    </row>
    <row r="665" spans="1:22" ht="14.25" customHeight="1">
      <c r="A665" s="45"/>
      <c r="B665" s="45"/>
      <c r="V665" s="45"/>
    </row>
    <row r="666" spans="1:22" ht="14.25" customHeight="1">
      <c r="A666" s="45"/>
      <c r="B666" s="45"/>
      <c r="V666" s="45"/>
    </row>
    <row r="667" spans="1:22" ht="14.25" customHeight="1">
      <c r="A667" s="45"/>
      <c r="B667" s="45"/>
      <c r="V667" s="45"/>
    </row>
    <row r="668" spans="1:22" ht="14.25" customHeight="1">
      <c r="A668" s="45"/>
      <c r="B668" s="45"/>
      <c r="V668" s="45"/>
    </row>
    <row r="669" spans="1:22" ht="14.25" customHeight="1">
      <c r="A669" s="45"/>
      <c r="B669" s="45"/>
      <c r="V669" s="45"/>
    </row>
    <row r="670" spans="1:22" ht="14.25" customHeight="1">
      <c r="A670" s="45"/>
      <c r="B670" s="45"/>
      <c r="V670" s="45"/>
    </row>
    <row r="671" spans="1:22" ht="14.25" customHeight="1">
      <c r="A671" s="45"/>
      <c r="B671" s="45"/>
      <c r="V671" s="45"/>
    </row>
    <row r="672" spans="1:22" ht="14.25" customHeight="1">
      <c r="A672" s="45"/>
      <c r="B672" s="45"/>
      <c r="V672" s="45"/>
    </row>
    <row r="673" spans="1:22" ht="14.25" customHeight="1">
      <c r="A673" s="45"/>
      <c r="B673" s="45"/>
      <c r="V673" s="45"/>
    </row>
    <row r="674" spans="1:22" ht="14.25" customHeight="1">
      <c r="A674" s="45"/>
      <c r="B674" s="45"/>
      <c r="V674" s="45"/>
    </row>
    <row r="675" spans="1:22" ht="14.25" customHeight="1">
      <c r="A675" s="45"/>
      <c r="B675" s="45"/>
      <c r="V675" s="45"/>
    </row>
    <row r="676" spans="1:22" ht="14.25" customHeight="1">
      <c r="A676" s="45"/>
      <c r="B676" s="45"/>
      <c r="V676" s="45"/>
    </row>
    <row r="677" spans="1:22" ht="14.25" customHeight="1">
      <c r="A677" s="45"/>
      <c r="B677" s="45"/>
      <c r="V677" s="45"/>
    </row>
    <row r="678" spans="1:22" ht="14.25" customHeight="1">
      <c r="A678" s="45"/>
      <c r="B678" s="45"/>
      <c r="V678" s="45"/>
    </row>
    <row r="679" spans="1:22" ht="14.25" customHeight="1">
      <c r="A679" s="45"/>
      <c r="B679" s="45"/>
      <c r="V679" s="45"/>
    </row>
    <row r="680" spans="1:22" ht="14.25" customHeight="1">
      <c r="A680" s="45"/>
      <c r="B680" s="45"/>
      <c r="V680" s="45"/>
    </row>
    <row r="681" spans="1:22" ht="14.25" customHeight="1">
      <c r="A681" s="45"/>
      <c r="B681" s="45"/>
      <c r="V681" s="45"/>
    </row>
    <row r="682" spans="1:22" ht="14.25" customHeight="1">
      <c r="A682" s="45"/>
      <c r="B682" s="45"/>
      <c r="V682" s="45"/>
    </row>
    <row r="683" spans="1:22" ht="14.25" customHeight="1">
      <c r="A683" s="45"/>
      <c r="B683" s="45"/>
      <c r="V683" s="45"/>
    </row>
    <row r="684" spans="1:22" ht="14.25" customHeight="1">
      <c r="A684" s="45"/>
      <c r="B684" s="45"/>
      <c r="V684" s="45"/>
    </row>
    <row r="685" spans="1:22" ht="14.25" customHeight="1">
      <c r="A685" s="45"/>
      <c r="B685" s="45"/>
      <c r="V685" s="45"/>
    </row>
    <row r="686" spans="1:22" ht="14.25" customHeight="1">
      <c r="A686" s="45"/>
      <c r="B686" s="45"/>
      <c r="V686" s="45"/>
    </row>
    <row r="687" spans="1:22" ht="14.25" customHeight="1">
      <c r="A687" s="45"/>
      <c r="B687" s="45"/>
      <c r="V687" s="45"/>
    </row>
    <row r="688" spans="1:22" ht="14.25" customHeight="1">
      <c r="A688" s="45"/>
      <c r="B688" s="45"/>
      <c r="V688" s="45"/>
    </row>
    <row r="689" spans="1:22" ht="14.25" customHeight="1">
      <c r="A689" s="45"/>
      <c r="B689" s="45"/>
      <c r="V689" s="45"/>
    </row>
    <row r="690" spans="1:22" ht="14.25" customHeight="1">
      <c r="A690" s="45"/>
      <c r="B690" s="45"/>
      <c r="V690" s="45"/>
    </row>
    <row r="691" spans="1:22" ht="14.25" customHeight="1">
      <c r="A691" s="45"/>
      <c r="B691" s="45"/>
      <c r="V691" s="45"/>
    </row>
    <row r="692" spans="1:22" ht="14.25" customHeight="1">
      <c r="A692" s="45"/>
      <c r="B692" s="45"/>
      <c r="V692" s="45"/>
    </row>
    <row r="693" spans="1:22" ht="14.25" customHeight="1">
      <c r="A693" s="45"/>
      <c r="B693" s="45"/>
      <c r="V693" s="45"/>
    </row>
    <row r="694" spans="1:22" ht="14.25" customHeight="1">
      <c r="A694" s="45"/>
      <c r="B694" s="45"/>
      <c r="V694" s="45"/>
    </row>
    <row r="695" spans="1:22" ht="14.25" customHeight="1">
      <c r="A695" s="45"/>
      <c r="B695" s="45"/>
      <c r="V695" s="45"/>
    </row>
    <row r="696" spans="1:22" ht="14.25" customHeight="1">
      <c r="A696" s="45"/>
      <c r="B696" s="45"/>
      <c r="V696" s="45"/>
    </row>
    <row r="697" spans="1:22" ht="14.25" customHeight="1">
      <c r="A697" s="45"/>
      <c r="B697" s="45"/>
      <c r="V697" s="45"/>
    </row>
    <row r="698" spans="1:22" ht="14.25" customHeight="1">
      <c r="A698" s="45"/>
      <c r="B698" s="45"/>
      <c r="V698" s="45"/>
    </row>
    <row r="699" spans="1:22" ht="14.25" customHeight="1">
      <c r="A699" s="45"/>
      <c r="B699" s="45"/>
      <c r="V699" s="45"/>
    </row>
    <row r="700" spans="1:22" ht="14.25" customHeight="1">
      <c r="A700" s="45"/>
      <c r="B700" s="45"/>
      <c r="V700" s="45"/>
    </row>
    <row r="701" spans="1:22" ht="14.25" customHeight="1">
      <c r="A701" s="45"/>
      <c r="B701" s="45"/>
      <c r="V701" s="45"/>
    </row>
    <row r="702" spans="1:22" ht="14.25" customHeight="1">
      <c r="A702" s="45"/>
      <c r="B702" s="45"/>
      <c r="V702" s="45"/>
    </row>
    <row r="703" spans="1:22" ht="14.25" customHeight="1">
      <c r="A703" s="45"/>
      <c r="B703" s="45"/>
      <c r="V703" s="45"/>
    </row>
    <row r="704" spans="1:22" ht="14.25" customHeight="1">
      <c r="A704" s="45"/>
      <c r="B704" s="45"/>
      <c r="V704" s="45"/>
    </row>
    <row r="705" spans="1:22" ht="14.25" customHeight="1">
      <c r="A705" s="45"/>
      <c r="B705" s="45"/>
      <c r="V705" s="45"/>
    </row>
    <row r="706" spans="1:22" ht="14.25" customHeight="1">
      <c r="A706" s="45"/>
      <c r="B706" s="45"/>
      <c r="V706" s="45"/>
    </row>
    <row r="707" spans="1:22" ht="14.25" customHeight="1">
      <c r="A707" s="45"/>
      <c r="B707" s="45"/>
      <c r="V707" s="45"/>
    </row>
    <row r="708" spans="1:22" ht="14.25" customHeight="1">
      <c r="A708" s="45"/>
      <c r="B708" s="45"/>
      <c r="V708" s="45"/>
    </row>
    <row r="709" spans="1:22" ht="14.25" customHeight="1">
      <c r="A709" s="45"/>
      <c r="B709" s="45"/>
      <c r="V709" s="45"/>
    </row>
    <row r="710" spans="1:22" ht="14.25" customHeight="1">
      <c r="A710" s="45"/>
      <c r="B710" s="45"/>
      <c r="V710" s="45"/>
    </row>
    <row r="711" spans="1:22" ht="14.25" customHeight="1">
      <c r="A711" s="45"/>
      <c r="B711" s="45"/>
      <c r="V711" s="45"/>
    </row>
    <row r="712" spans="1:22" ht="14.25" customHeight="1">
      <c r="A712" s="45"/>
      <c r="B712" s="45"/>
      <c r="V712" s="45"/>
    </row>
    <row r="713" spans="1:22" ht="14.25" customHeight="1">
      <c r="A713" s="45"/>
      <c r="B713" s="45"/>
      <c r="V713" s="45"/>
    </row>
    <row r="714" spans="1:22" ht="14.25" customHeight="1">
      <c r="A714" s="45"/>
      <c r="B714" s="45"/>
      <c r="V714" s="45"/>
    </row>
    <row r="715" spans="1:22" ht="14.25" customHeight="1">
      <c r="A715" s="45"/>
      <c r="B715" s="45"/>
      <c r="V715" s="45"/>
    </row>
    <row r="716" spans="1:22" ht="14.25" customHeight="1">
      <c r="A716" s="45"/>
      <c r="B716" s="45"/>
      <c r="V716" s="45"/>
    </row>
    <row r="717" spans="1:22" ht="14.25" customHeight="1">
      <c r="A717" s="45"/>
      <c r="B717" s="45"/>
      <c r="V717" s="45"/>
    </row>
    <row r="718" spans="1:22" ht="14.25" customHeight="1">
      <c r="A718" s="45"/>
      <c r="B718" s="45"/>
      <c r="V718" s="45"/>
    </row>
    <row r="719" spans="1:22" ht="14.25" customHeight="1">
      <c r="A719" s="45"/>
      <c r="B719" s="45"/>
      <c r="V719" s="45"/>
    </row>
    <row r="720" spans="1:22" ht="14.25" customHeight="1">
      <c r="A720" s="45"/>
      <c r="B720" s="45"/>
      <c r="V720" s="45"/>
    </row>
    <row r="721" spans="1:22" ht="14.25" customHeight="1">
      <c r="A721" s="45"/>
      <c r="B721" s="45"/>
      <c r="V721" s="45"/>
    </row>
    <row r="722" spans="1:22" ht="14.25" customHeight="1">
      <c r="A722" s="45"/>
      <c r="B722" s="45"/>
      <c r="V722" s="45"/>
    </row>
    <row r="723" spans="1:22" ht="14.25" customHeight="1">
      <c r="A723" s="45"/>
      <c r="B723" s="45"/>
      <c r="V723" s="45"/>
    </row>
    <row r="724" spans="1:22" ht="14.25" customHeight="1">
      <c r="A724" s="45"/>
      <c r="B724" s="45"/>
      <c r="V724" s="45"/>
    </row>
    <row r="725" spans="1:22" ht="14.25" customHeight="1">
      <c r="A725" s="45"/>
      <c r="B725" s="45"/>
      <c r="V725" s="45"/>
    </row>
    <row r="726" spans="1:22" ht="14.25" customHeight="1">
      <c r="A726" s="45"/>
      <c r="B726" s="45"/>
      <c r="V726" s="45"/>
    </row>
    <row r="727" spans="1:22" ht="14.25" customHeight="1">
      <c r="A727" s="45"/>
      <c r="B727" s="45"/>
      <c r="V727" s="45"/>
    </row>
    <row r="728" spans="1:22" ht="14.25" customHeight="1">
      <c r="A728" s="45"/>
      <c r="B728" s="45"/>
      <c r="V728" s="45"/>
    </row>
    <row r="729" spans="1:22" ht="14.25" customHeight="1">
      <c r="A729" s="45"/>
      <c r="B729" s="45"/>
      <c r="V729" s="45"/>
    </row>
    <row r="730" spans="1:22" ht="14.25" customHeight="1">
      <c r="A730" s="45"/>
      <c r="B730" s="45"/>
      <c r="V730" s="45"/>
    </row>
    <row r="731" spans="1:22" ht="14.25" customHeight="1">
      <c r="A731" s="45"/>
      <c r="B731" s="45"/>
      <c r="V731" s="45"/>
    </row>
    <row r="732" spans="1:22" ht="14.25" customHeight="1">
      <c r="A732" s="45"/>
      <c r="B732" s="45"/>
      <c r="V732" s="45"/>
    </row>
    <row r="733" spans="1:22" ht="14.25" customHeight="1">
      <c r="A733" s="45"/>
      <c r="B733" s="45"/>
      <c r="V733" s="45"/>
    </row>
    <row r="734" spans="1:22" ht="14.25" customHeight="1">
      <c r="A734" s="45"/>
      <c r="B734" s="45"/>
      <c r="V734" s="45"/>
    </row>
    <row r="735" spans="1:22" ht="14.25" customHeight="1">
      <c r="A735" s="45"/>
      <c r="B735" s="45"/>
      <c r="V735" s="45"/>
    </row>
    <row r="736" spans="1:22" ht="14.25" customHeight="1">
      <c r="A736" s="45"/>
      <c r="B736" s="45"/>
      <c r="V736" s="45"/>
    </row>
    <row r="737" spans="1:22" ht="14.25" customHeight="1">
      <c r="A737" s="45"/>
      <c r="B737" s="45"/>
      <c r="V737" s="45"/>
    </row>
    <row r="738" spans="1:22" ht="14.25" customHeight="1">
      <c r="A738" s="45"/>
      <c r="B738" s="45"/>
      <c r="V738" s="45"/>
    </row>
    <row r="739" spans="1:22" ht="14.25" customHeight="1">
      <c r="A739" s="45"/>
      <c r="B739" s="45"/>
      <c r="V739" s="45"/>
    </row>
    <row r="740" spans="1:22" ht="14.25" customHeight="1">
      <c r="A740" s="45"/>
      <c r="B740" s="45"/>
      <c r="V740" s="45"/>
    </row>
    <row r="741" spans="1:22" ht="14.25" customHeight="1">
      <c r="A741" s="45"/>
      <c r="B741" s="45"/>
      <c r="V741" s="45"/>
    </row>
    <row r="742" spans="1:22" ht="14.25" customHeight="1">
      <c r="A742" s="45"/>
      <c r="B742" s="45"/>
      <c r="V742" s="45"/>
    </row>
    <row r="743" spans="1:22" ht="14.25" customHeight="1">
      <c r="A743" s="45"/>
      <c r="B743" s="45"/>
      <c r="V743" s="45"/>
    </row>
    <row r="744" spans="1:22" ht="14.25" customHeight="1">
      <c r="A744" s="45"/>
      <c r="B744" s="45"/>
      <c r="V744" s="45"/>
    </row>
    <row r="745" spans="1:22" ht="14.25" customHeight="1">
      <c r="A745" s="45"/>
      <c r="B745" s="45"/>
      <c r="V745" s="45"/>
    </row>
    <row r="746" spans="1:22" ht="14.25" customHeight="1">
      <c r="A746" s="45"/>
      <c r="B746" s="45"/>
      <c r="V746" s="45"/>
    </row>
    <row r="747" spans="1:22" ht="14.25" customHeight="1">
      <c r="A747" s="45"/>
      <c r="B747" s="45"/>
      <c r="V747" s="45"/>
    </row>
    <row r="748" spans="1:22" ht="14.25" customHeight="1">
      <c r="A748" s="45"/>
      <c r="B748" s="45"/>
      <c r="V748" s="45"/>
    </row>
    <row r="749" spans="1:22" ht="14.25" customHeight="1">
      <c r="A749" s="45"/>
      <c r="B749" s="45"/>
      <c r="V749" s="45"/>
    </row>
    <row r="750" spans="1:22" ht="14.25" customHeight="1">
      <c r="A750" s="45"/>
      <c r="B750" s="45"/>
      <c r="V750" s="45"/>
    </row>
    <row r="751" spans="1:22" ht="14.25" customHeight="1">
      <c r="A751" s="45"/>
      <c r="B751" s="45"/>
      <c r="V751" s="45"/>
    </row>
    <row r="752" spans="1:22" ht="14.25" customHeight="1">
      <c r="A752" s="45"/>
      <c r="B752" s="45"/>
      <c r="V752" s="45"/>
    </row>
    <row r="753" spans="1:22" ht="14.25" customHeight="1">
      <c r="A753" s="45"/>
      <c r="B753" s="45"/>
      <c r="V753" s="45"/>
    </row>
    <row r="754" spans="1:22" ht="14.25" customHeight="1">
      <c r="A754" s="45"/>
      <c r="B754" s="45"/>
      <c r="V754" s="45"/>
    </row>
    <row r="755" spans="1:22" ht="14.25" customHeight="1">
      <c r="A755" s="45"/>
      <c r="B755" s="45"/>
      <c r="V755" s="45"/>
    </row>
    <row r="756" spans="1:22" ht="14.25" customHeight="1">
      <c r="A756" s="45"/>
      <c r="B756" s="45"/>
      <c r="V756" s="45"/>
    </row>
    <row r="757" spans="1:22" ht="14.25" customHeight="1">
      <c r="A757" s="45"/>
      <c r="B757" s="45"/>
      <c r="V757" s="45"/>
    </row>
    <row r="758" spans="1:22" ht="14.25" customHeight="1">
      <c r="A758" s="45"/>
      <c r="B758" s="45"/>
      <c r="V758" s="45"/>
    </row>
    <row r="759" spans="1:22" ht="14.25" customHeight="1">
      <c r="A759" s="45"/>
      <c r="B759" s="45"/>
      <c r="V759" s="45"/>
    </row>
    <row r="760" spans="1:22" ht="14.25" customHeight="1">
      <c r="A760" s="45"/>
      <c r="B760" s="45"/>
      <c r="V760" s="45"/>
    </row>
    <row r="761" spans="1:22" ht="14.25" customHeight="1">
      <c r="A761" s="45"/>
      <c r="B761" s="45"/>
      <c r="V761" s="45"/>
    </row>
    <row r="762" spans="1:22" ht="14.25" customHeight="1">
      <c r="A762" s="45"/>
      <c r="B762" s="45"/>
      <c r="V762" s="45"/>
    </row>
    <row r="763" spans="1:22" ht="14.25" customHeight="1">
      <c r="A763" s="45"/>
      <c r="B763" s="45"/>
      <c r="V763" s="45"/>
    </row>
    <row r="764" spans="1:22" ht="14.25" customHeight="1">
      <c r="A764" s="45"/>
      <c r="B764" s="45"/>
      <c r="V764" s="45"/>
    </row>
    <row r="765" spans="1:22" ht="14.25" customHeight="1">
      <c r="A765" s="45"/>
      <c r="B765" s="45"/>
      <c r="V765" s="45"/>
    </row>
    <row r="766" spans="1:22" ht="14.25" customHeight="1">
      <c r="A766" s="45"/>
      <c r="B766" s="45"/>
      <c r="V766" s="45"/>
    </row>
    <row r="767" spans="1:22" ht="14.25" customHeight="1">
      <c r="A767" s="45"/>
      <c r="B767" s="45"/>
      <c r="V767" s="45"/>
    </row>
    <row r="768" spans="1:22" ht="14.25" customHeight="1">
      <c r="A768" s="45"/>
      <c r="B768" s="45"/>
      <c r="V768" s="45"/>
    </row>
    <row r="769" spans="1:22" ht="14.25" customHeight="1">
      <c r="A769" s="45"/>
      <c r="B769" s="45"/>
      <c r="V769" s="45"/>
    </row>
    <row r="770" spans="1:22" ht="14.25" customHeight="1">
      <c r="A770" s="45"/>
      <c r="B770" s="45"/>
      <c r="V770" s="45"/>
    </row>
    <row r="771" spans="1:22" ht="14.25" customHeight="1">
      <c r="A771" s="45"/>
      <c r="B771" s="45"/>
      <c r="V771" s="45"/>
    </row>
    <row r="772" spans="1:22" ht="14.25" customHeight="1">
      <c r="A772" s="45"/>
      <c r="B772" s="45"/>
      <c r="V772" s="45"/>
    </row>
    <row r="773" spans="1:22" ht="14.25" customHeight="1">
      <c r="A773" s="45"/>
      <c r="B773" s="45"/>
      <c r="V773" s="45"/>
    </row>
    <row r="774" spans="1:22" ht="14.25" customHeight="1">
      <c r="A774" s="45"/>
      <c r="B774" s="45"/>
      <c r="V774" s="45"/>
    </row>
    <row r="775" spans="1:22" ht="14.25" customHeight="1">
      <c r="A775" s="45"/>
      <c r="B775" s="45"/>
      <c r="V775" s="45"/>
    </row>
    <row r="776" spans="1:22" ht="14.25" customHeight="1">
      <c r="A776" s="45"/>
      <c r="B776" s="45"/>
      <c r="V776" s="45"/>
    </row>
    <row r="777" spans="1:22" ht="14.25" customHeight="1">
      <c r="A777" s="45"/>
      <c r="B777" s="45"/>
      <c r="V777" s="45"/>
    </row>
    <row r="778" spans="1:22" ht="14.25" customHeight="1">
      <c r="A778" s="45"/>
      <c r="B778" s="45"/>
      <c r="V778" s="45"/>
    </row>
    <row r="779" spans="1:22" ht="14.25" customHeight="1">
      <c r="A779" s="45"/>
      <c r="B779" s="45"/>
      <c r="V779" s="45"/>
    </row>
    <row r="780" spans="1:22" ht="14.25" customHeight="1">
      <c r="A780" s="45"/>
      <c r="B780" s="45"/>
      <c r="V780" s="45"/>
    </row>
    <row r="781" spans="1:22" ht="14.25" customHeight="1">
      <c r="A781" s="45"/>
      <c r="B781" s="45"/>
      <c r="V781" s="45"/>
    </row>
    <row r="782" spans="1:22" ht="14.25" customHeight="1">
      <c r="A782" s="45"/>
      <c r="B782" s="45"/>
      <c r="V782" s="45"/>
    </row>
    <row r="783" spans="1:22" ht="14.25" customHeight="1">
      <c r="A783" s="45"/>
      <c r="B783" s="45"/>
      <c r="V783" s="45"/>
    </row>
    <row r="784" spans="1:22" ht="14.25" customHeight="1">
      <c r="A784" s="45"/>
      <c r="B784" s="45"/>
      <c r="V784" s="45"/>
    </row>
    <row r="785" spans="1:22" ht="14.25" customHeight="1">
      <c r="A785" s="45"/>
      <c r="B785" s="45"/>
      <c r="V785" s="45"/>
    </row>
    <row r="786" spans="1:22" ht="14.25" customHeight="1">
      <c r="A786" s="45"/>
      <c r="B786" s="45"/>
      <c r="V786" s="45"/>
    </row>
    <row r="787" spans="1:22" ht="14.25" customHeight="1">
      <c r="A787" s="45"/>
      <c r="B787" s="45"/>
      <c r="V787" s="45"/>
    </row>
    <row r="788" spans="1:22" ht="14.25" customHeight="1">
      <c r="A788" s="45"/>
      <c r="B788" s="45"/>
      <c r="V788" s="45"/>
    </row>
    <row r="789" spans="1:22" ht="14.25" customHeight="1">
      <c r="A789" s="45"/>
      <c r="B789" s="45"/>
      <c r="V789" s="45"/>
    </row>
    <row r="790" spans="1:22" ht="14.25" customHeight="1">
      <c r="A790" s="45"/>
      <c r="B790" s="45"/>
      <c r="V790" s="45"/>
    </row>
    <row r="791" spans="1:22" ht="14.25" customHeight="1">
      <c r="A791" s="45"/>
      <c r="B791" s="45"/>
      <c r="V791" s="45"/>
    </row>
    <row r="792" spans="1:22" ht="14.25" customHeight="1">
      <c r="A792" s="45"/>
      <c r="B792" s="45"/>
      <c r="V792" s="45"/>
    </row>
    <row r="793" spans="1:22" ht="14.25" customHeight="1">
      <c r="A793" s="45"/>
      <c r="B793" s="45"/>
      <c r="V793" s="45"/>
    </row>
    <row r="794" spans="1:22" ht="14.25" customHeight="1">
      <c r="A794" s="45"/>
      <c r="B794" s="45"/>
      <c r="V794" s="45"/>
    </row>
    <row r="795" spans="1:22" ht="14.25" customHeight="1">
      <c r="A795" s="45"/>
      <c r="B795" s="45"/>
      <c r="V795" s="45"/>
    </row>
    <row r="796" spans="1:22" ht="14.25" customHeight="1">
      <c r="A796" s="45"/>
      <c r="B796" s="45"/>
      <c r="V796" s="45"/>
    </row>
    <row r="797" spans="1:22" ht="14.25" customHeight="1">
      <c r="A797" s="45"/>
      <c r="B797" s="45"/>
      <c r="V797" s="45"/>
    </row>
    <row r="798" spans="1:22" ht="14.25" customHeight="1">
      <c r="A798" s="45"/>
      <c r="B798" s="45"/>
      <c r="V798" s="45"/>
    </row>
    <row r="799" spans="1:22" ht="14.25" customHeight="1">
      <c r="A799" s="45"/>
      <c r="B799" s="45"/>
      <c r="V799" s="45"/>
    </row>
    <row r="800" spans="1:22" ht="14.25" customHeight="1">
      <c r="A800" s="45"/>
      <c r="B800" s="45"/>
      <c r="V800" s="45"/>
    </row>
    <row r="801" spans="1:22" ht="14.25" customHeight="1">
      <c r="A801" s="45"/>
      <c r="B801" s="45"/>
      <c r="V801" s="45"/>
    </row>
    <row r="802" spans="1:22" ht="14.25" customHeight="1">
      <c r="A802" s="45"/>
      <c r="B802" s="45"/>
      <c r="V802" s="45"/>
    </row>
    <row r="803" spans="1:22" ht="14.25" customHeight="1">
      <c r="A803" s="45"/>
      <c r="B803" s="45"/>
      <c r="V803" s="45"/>
    </row>
    <row r="804" spans="1:22" ht="14.25" customHeight="1">
      <c r="A804" s="45"/>
      <c r="B804" s="45"/>
      <c r="V804" s="45"/>
    </row>
    <row r="805" spans="1:22" ht="14.25" customHeight="1">
      <c r="A805" s="45"/>
      <c r="B805" s="45"/>
      <c r="V805" s="45"/>
    </row>
    <row r="806" spans="1:22" ht="14.25" customHeight="1">
      <c r="A806" s="45"/>
      <c r="B806" s="45"/>
      <c r="V806" s="45"/>
    </row>
    <row r="807" spans="1:22" ht="14.25" customHeight="1">
      <c r="A807" s="45"/>
      <c r="B807" s="45"/>
      <c r="V807" s="45"/>
    </row>
    <row r="808" spans="1:22" ht="14.25" customHeight="1">
      <c r="A808" s="45"/>
      <c r="B808" s="45"/>
      <c r="V808" s="45"/>
    </row>
    <row r="809" spans="1:22" ht="14.25" customHeight="1">
      <c r="A809" s="45"/>
      <c r="B809" s="45"/>
      <c r="V809" s="45"/>
    </row>
    <row r="810" spans="1:22" ht="14.25" customHeight="1">
      <c r="A810" s="45"/>
      <c r="B810" s="45"/>
      <c r="V810" s="45"/>
    </row>
    <row r="811" spans="1:22" ht="14.25" customHeight="1">
      <c r="A811" s="45"/>
      <c r="B811" s="45"/>
      <c r="V811" s="45"/>
    </row>
    <row r="812" spans="1:22" ht="14.25" customHeight="1">
      <c r="A812" s="45"/>
      <c r="B812" s="45"/>
      <c r="V812" s="45"/>
    </row>
    <row r="813" spans="1:22" ht="14.25" customHeight="1">
      <c r="A813" s="45"/>
      <c r="B813" s="45"/>
      <c r="V813" s="45"/>
    </row>
    <row r="814" spans="1:22" ht="14.25" customHeight="1">
      <c r="A814" s="45"/>
      <c r="B814" s="45"/>
      <c r="V814" s="45"/>
    </row>
    <row r="815" spans="1:22" ht="14.25" customHeight="1">
      <c r="A815" s="45"/>
      <c r="B815" s="45"/>
      <c r="V815" s="45"/>
    </row>
    <row r="816" spans="1:22" ht="14.25" customHeight="1">
      <c r="A816" s="45"/>
      <c r="B816" s="45"/>
      <c r="V816" s="45"/>
    </row>
    <row r="817" spans="1:22" ht="14.25" customHeight="1">
      <c r="A817" s="45"/>
      <c r="B817" s="45"/>
      <c r="V817" s="45"/>
    </row>
    <row r="818" spans="1:22" ht="14.25" customHeight="1">
      <c r="A818" s="45"/>
      <c r="B818" s="45"/>
      <c r="V818" s="45"/>
    </row>
    <row r="819" spans="1:22" ht="14.25" customHeight="1">
      <c r="A819" s="45"/>
      <c r="B819" s="45"/>
      <c r="V819" s="45"/>
    </row>
    <row r="820" spans="1:22" ht="14.25" customHeight="1">
      <c r="A820" s="45"/>
      <c r="B820" s="45"/>
      <c r="V820" s="45"/>
    </row>
    <row r="821" spans="1:22" ht="14.25" customHeight="1">
      <c r="A821" s="45"/>
      <c r="B821" s="45"/>
      <c r="V821" s="45"/>
    </row>
    <row r="822" spans="1:22" ht="14.25" customHeight="1">
      <c r="A822" s="45"/>
      <c r="B822" s="45"/>
      <c r="V822" s="45"/>
    </row>
    <row r="823" spans="1:22" ht="14.25" customHeight="1">
      <c r="A823" s="45"/>
      <c r="B823" s="45"/>
      <c r="V823" s="45"/>
    </row>
    <row r="824" spans="1:22" ht="14.25" customHeight="1">
      <c r="A824" s="45"/>
      <c r="B824" s="45"/>
      <c r="V824" s="45"/>
    </row>
    <row r="825" spans="1:22" ht="14.25" customHeight="1">
      <c r="A825" s="45"/>
      <c r="B825" s="45"/>
      <c r="V825" s="45"/>
    </row>
    <row r="826" spans="1:22" ht="14.25" customHeight="1">
      <c r="A826" s="45"/>
      <c r="B826" s="45"/>
      <c r="V826" s="45"/>
    </row>
    <row r="827" spans="1:22" ht="14.25" customHeight="1">
      <c r="A827" s="45"/>
      <c r="B827" s="45"/>
      <c r="V827" s="45"/>
    </row>
    <row r="828" spans="1:22" ht="14.25" customHeight="1">
      <c r="A828" s="45"/>
      <c r="B828" s="45"/>
      <c r="V828" s="45"/>
    </row>
    <row r="829" spans="1:22" ht="14.25" customHeight="1">
      <c r="A829" s="45"/>
      <c r="B829" s="45"/>
      <c r="V829" s="45"/>
    </row>
    <row r="830" spans="1:22" ht="14.25" customHeight="1">
      <c r="A830" s="45"/>
      <c r="B830" s="45"/>
      <c r="V830" s="45"/>
    </row>
    <row r="831" spans="1:22" ht="14.25" customHeight="1">
      <c r="A831" s="45"/>
      <c r="B831" s="45"/>
      <c r="V831" s="45"/>
    </row>
    <row r="832" spans="1:22" ht="14.25" customHeight="1">
      <c r="A832" s="45"/>
      <c r="B832" s="45"/>
      <c r="V832" s="45"/>
    </row>
    <row r="833" spans="1:22" ht="14.25" customHeight="1">
      <c r="A833" s="45"/>
      <c r="B833" s="45"/>
      <c r="V833" s="45"/>
    </row>
    <row r="834" spans="1:22" ht="14.25" customHeight="1">
      <c r="A834" s="45"/>
      <c r="B834" s="45"/>
      <c r="V834" s="45"/>
    </row>
    <row r="835" spans="1:22" ht="14.25" customHeight="1">
      <c r="A835" s="45"/>
      <c r="B835" s="45"/>
      <c r="V835" s="45"/>
    </row>
    <row r="836" spans="1:22" ht="14.25" customHeight="1">
      <c r="A836" s="45"/>
      <c r="B836" s="45"/>
      <c r="V836" s="45"/>
    </row>
    <row r="837" spans="1:22" ht="14.25" customHeight="1">
      <c r="A837" s="45"/>
      <c r="B837" s="45"/>
      <c r="V837" s="45"/>
    </row>
    <row r="838" spans="1:22" ht="14.25" customHeight="1">
      <c r="A838" s="45"/>
      <c r="B838" s="45"/>
      <c r="V838" s="45"/>
    </row>
    <row r="839" spans="1:22" ht="14.25" customHeight="1">
      <c r="A839" s="45"/>
      <c r="B839" s="45"/>
      <c r="V839" s="45"/>
    </row>
    <row r="840" spans="1:22" ht="14.25" customHeight="1">
      <c r="A840" s="45"/>
      <c r="B840" s="45"/>
      <c r="V840" s="45"/>
    </row>
    <row r="841" spans="1:22" ht="14.25" customHeight="1">
      <c r="A841" s="45"/>
      <c r="B841" s="45"/>
      <c r="V841" s="45"/>
    </row>
    <row r="842" spans="1:22" ht="14.25" customHeight="1">
      <c r="A842" s="45"/>
      <c r="B842" s="45"/>
      <c r="V842" s="45"/>
    </row>
    <row r="843" spans="1:22" ht="14.25" customHeight="1">
      <c r="A843" s="45"/>
      <c r="B843" s="45"/>
      <c r="V843" s="45"/>
    </row>
    <row r="844" spans="1:22" ht="14.25" customHeight="1">
      <c r="A844" s="45"/>
      <c r="B844" s="45"/>
      <c r="V844" s="45"/>
    </row>
    <row r="845" spans="1:22" ht="14.25" customHeight="1">
      <c r="A845" s="45"/>
      <c r="B845" s="45"/>
      <c r="V845" s="45"/>
    </row>
    <row r="846" spans="1:22" ht="14.25" customHeight="1">
      <c r="A846" s="45"/>
      <c r="B846" s="45"/>
      <c r="V846" s="45"/>
    </row>
    <row r="847" spans="1:22" ht="14.25" customHeight="1">
      <c r="A847" s="45"/>
      <c r="B847" s="45"/>
      <c r="V847" s="45"/>
    </row>
    <row r="848" spans="1:22" ht="14.25" customHeight="1">
      <c r="A848" s="45"/>
      <c r="B848" s="45"/>
      <c r="V848" s="45"/>
    </row>
    <row r="849" spans="1:22" ht="14.25" customHeight="1">
      <c r="A849" s="45"/>
      <c r="B849" s="45"/>
      <c r="V849" s="45"/>
    </row>
    <row r="850" spans="1:22" ht="14.25" customHeight="1">
      <c r="A850" s="45"/>
      <c r="B850" s="45"/>
      <c r="V850" s="45"/>
    </row>
    <row r="851" spans="1:22" ht="14.25" customHeight="1">
      <c r="A851" s="45"/>
      <c r="B851" s="45"/>
      <c r="V851" s="45"/>
    </row>
    <row r="852" spans="1:22" ht="14.25" customHeight="1">
      <c r="A852" s="45"/>
      <c r="B852" s="45"/>
      <c r="V852" s="45"/>
    </row>
    <row r="853" spans="1:22" ht="14.25" customHeight="1">
      <c r="A853" s="45"/>
      <c r="B853" s="45"/>
      <c r="V853" s="45"/>
    </row>
    <row r="854" spans="1:22" ht="14.25" customHeight="1">
      <c r="A854" s="45"/>
      <c r="B854" s="45"/>
      <c r="V854" s="45"/>
    </row>
    <row r="855" spans="1:22" ht="14.25" customHeight="1">
      <c r="A855" s="45"/>
      <c r="B855" s="45"/>
      <c r="V855" s="45"/>
    </row>
    <row r="856" spans="1:22" ht="14.25" customHeight="1">
      <c r="A856" s="45"/>
      <c r="B856" s="45"/>
      <c r="V856" s="45"/>
    </row>
    <row r="857" spans="1:22" ht="14.25" customHeight="1">
      <c r="A857" s="45"/>
      <c r="B857" s="45"/>
      <c r="V857" s="45"/>
    </row>
    <row r="858" spans="1:22" ht="14.25" customHeight="1">
      <c r="A858" s="45"/>
      <c r="B858" s="45"/>
      <c r="V858" s="45"/>
    </row>
    <row r="859" spans="1:22" ht="14.25" customHeight="1">
      <c r="A859" s="45"/>
      <c r="B859" s="45"/>
      <c r="V859" s="45"/>
    </row>
    <row r="860" spans="1:22" ht="14.25" customHeight="1">
      <c r="A860" s="45"/>
      <c r="B860" s="45"/>
      <c r="V860" s="45"/>
    </row>
    <row r="861" spans="1:22" ht="14.25" customHeight="1">
      <c r="A861" s="45"/>
      <c r="B861" s="45"/>
      <c r="V861" s="45"/>
    </row>
    <row r="862" spans="1:22" ht="14.25" customHeight="1">
      <c r="A862" s="45"/>
      <c r="B862" s="45"/>
      <c r="V862" s="45"/>
    </row>
    <row r="863" spans="1:22" ht="14.25" customHeight="1">
      <c r="A863" s="45"/>
      <c r="B863" s="45"/>
      <c r="V863" s="45"/>
    </row>
    <row r="864" spans="1:22" ht="14.25" customHeight="1">
      <c r="A864" s="45"/>
      <c r="B864" s="45"/>
      <c r="V864" s="45"/>
    </row>
    <row r="865" spans="1:22" ht="14.25" customHeight="1">
      <c r="A865" s="45"/>
      <c r="B865" s="45"/>
      <c r="V865" s="45"/>
    </row>
    <row r="866" spans="1:22" ht="14.25" customHeight="1">
      <c r="A866" s="45"/>
      <c r="B866" s="45"/>
      <c r="V866" s="45"/>
    </row>
    <row r="867" spans="1:22" ht="14.25" customHeight="1">
      <c r="A867" s="45"/>
      <c r="B867" s="45"/>
      <c r="V867" s="45"/>
    </row>
    <row r="868" spans="1:22" ht="14.25" customHeight="1">
      <c r="A868" s="45"/>
      <c r="B868" s="45"/>
      <c r="V868" s="45"/>
    </row>
    <row r="869" spans="1:22" ht="14.25" customHeight="1">
      <c r="A869" s="45"/>
      <c r="B869" s="45"/>
      <c r="V869" s="45"/>
    </row>
    <row r="870" spans="1:22" ht="14.25" customHeight="1">
      <c r="A870" s="45"/>
      <c r="B870" s="45"/>
      <c r="V870" s="45"/>
    </row>
    <row r="871" spans="1:22" ht="14.25" customHeight="1">
      <c r="A871" s="45"/>
      <c r="B871" s="45"/>
      <c r="V871" s="45"/>
    </row>
    <row r="872" spans="1:22" ht="14.25" customHeight="1">
      <c r="A872" s="45"/>
      <c r="B872" s="45"/>
      <c r="V872" s="45"/>
    </row>
    <row r="873" spans="1:22" ht="14.25" customHeight="1">
      <c r="A873" s="45"/>
      <c r="B873" s="45"/>
      <c r="V873" s="45"/>
    </row>
    <row r="874" spans="1:22" ht="14.25" customHeight="1">
      <c r="A874" s="45"/>
      <c r="B874" s="45"/>
      <c r="V874" s="45"/>
    </row>
    <row r="875" spans="1:22" ht="14.25" customHeight="1">
      <c r="A875" s="45"/>
      <c r="B875" s="45"/>
      <c r="V875" s="45"/>
    </row>
    <row r="876" spans="1:22" ht="14.25" customHeight="1">
      <c r="A876" s="45"/>
      <c r="B876" s="45"/>
      <c r="V876" s="45"/>
    </row>
    <row r="877" spans="1:22" ht="14.25" customHeight="1">
      <c r="A877" s="45"/>
      <c r="B877" s="45"/>
      <c r="V877" s="45"/>
    </row>
    <row r="878" spans="1:22" ht="14.25" customHeight="1">
      <c r="A878" s="45"/>
      <c r="B878" s="45"/>
      <c r="V878" s="45"/>
    </row>
    <row r="879" spans="1:22" ht="14.25" customHeight="1">
      <c r="A879" s="45"/>
      <c r="B879" s="45"/>
      <c r="V879" s="45"/>
    </row>
    <row r="880" spans="1:22" ht="14.25" customHeight="1">
      <c r="A880" s="45"/>
      <c r="B880" s="45"/>
      <c r="V880" s="45"/>
    </row>
    <row r="881" spans="1:22" ht="14.25" customHeight="1">
      <c r="A881" s="45"/>
      <c r="B881" s="45"/>
      <c r="V881" s="45"/>
    </row>
    <row r="882" spans="1:22" ht="14.25" customHeight="1">
      <c r="A882" s="45"/>
      <c r="B882" s="45"/>
      <c r="V882" s="45"/>
    </row>
    <row r="883" spans="1:22" ht="14.25" customHeight="1">
      <c r="A883" s="45"/>
      <c r="B883" s="45"/>
      <c r="V883" s="45"/>
    </row>
    <row r="884" spans="1:22" ht="14.25" customHeight="1">
      <c r="A884" s="45"/>
      <c r="B884" s="45"/>
      <c r="V884" s="45"/>
    </row>
    <row r="885" spans="1:22" ht="14.25" customHeight="1">
      <c r="A885" s="45"/>
      <c r="B885" s="45"/>
      <c r="V885" s="45"/>
    </row>
    <row r="886" spans="1:22" ht="14.25" customHeight="1">
      <c r="A886" s="45"/>
      <c r="B886" s="45"/>
      <c r="V886" s="45"/>
    </row>
    <row r="887" spans="1:22" ht="14.25" customHeight="1">
      <c r="A887" s="45"/>
      <c r="B887" s="45"/>
      <c r="V887" s="45"/>
    </row>
    <row r="888" spans="1:22" ht="14.25" customHeight="1">
      <c r="A888" s="45"/>
      <c r="B888" s="45"/>
      <c r="V888" s="45"/>
    </row>
    <row r="889" spans="1:22" ht="14.25" customHeight="1">
      <c r="A889" s="45"/>
      <c r="B889" s="45"/>
      <c r="V889" s="45"/>
    </row>
    <row r="890" spans="1:22" ht="14.25" customHeight="1">
      <c r="A890" s="45"/>
      <c r="B890" s="45"/>
      <c r="V890" s="45"/>
    </row>
    <row r="891" spans="1:22" ht="14.25" customHeight="1">
      <c r="A891" s="45"/>
      <c r="B891" s="45"/>
      <c r="V891" s="45"/>
    </row>
    <row r="892" spans="1:22" ht="14.25" customHeight="1">
      <c r="A892" s="45"/>
      <c r="B892" s="45"/>
      <c r="V892" s="45"/>
    </row>
    <row r="893" spans="1:22" ht="14.25" customHeight="1">
      <c r="A893" s="45"/>
      <c r="B893" s="45"/>
      <c r="V893" s="45"/>
    </row>
    <row r="894" spans="1:22" ht="14.25" customHeight="1">
      <c r="A894" s="45"/>
      <c r="B894" s="45"/>
      <c r="V894" s="45"/>
    </row>
    <row r="895" spans="1:22" ht="14.25" customHeight="1">
      <c r="A895" s="45"/>
      <c r="B895" s="45"/>
      <c r="V895" s="45"/>
    </row>
    <row r="896" spans="1:22" ht="14.25" customHeight="1">
      <c r="A896" s="45"/>
      <c r="B896" s="45"/>
      <c r="V896" s="45"/>
    </row>
    <row r="897" spans="1:22" ht="14.25" customHeight="1">
      <c r="A897" s="45"/>
      <c r="B897" s="45"/>
      <c r="V897" s="45"/>
    </row>
    <row r="898" spans="1:22" ht="14.25" customHeight="1">
      <c r="A898" s="45"/>
      <c r="B898" s="45"/>
      <c r="V898" s="45"/>
    </row>
    <row r="899" spans="1:22" ht="14.25" customHeight="1">
      <c r="A899" s="45"/>
      <c r="B899" s="45"/>
      <c r="V899" s="45"/>
    </row>
    <row r="900" spans="1:22" ht="14.25" customHeight="1">
      <c r="A900" s="45"/>
      <c r="B900" s="45"/>
      <c r="V900" s="45"/>
    </row>
    <row r="901" spans="1:22" ht="14.25" customHeight="1">
      <c r="A901" s="45"/>
      <c r="B901" s="45"/>
      <c r="V901" s="45"/>
    </row>
    <row r="902" spans="1:22" ht="14.25" customHeight="1">
      <c r="A902" s="45"/>
      <c r="B902" s="45"/>
      <c r="V902" s="45"/>
    </row>
    <row r="903" spans="1:22" ht="14.25" customHeight="1">
      <c r="A903" s="45"/>
      <c r="B903" s="45"/>
      <c r="V903" s="45"/>
    </row>
    <row r="904" spans="1:22" ht="14.25" customHeight="1">
      <c r="A904" s="45"/>
      <c r="B904" s="45"/>
      <c r="V904" s="45"/>
    </row>
    <row r="905" spans="1:22" ht="14.25" customHeight="1">
      <c r="A905" s="45"/>
      <c r="B905" s="45"/>
      <c r="V905" s="45"/>
    </row>
    <row r="906" spans="1:22" ht="14.25" customHeight="1">
      <c r="A906" s="45"/>
      <c r="B906" s="45"/>
      <c r="V906" s="45"/>
    </row>
    <row r="907" spans="1:22" ht="14.25" customHeight="1">
      <c r="A907" s="45"/>
      <c r="B907" s="45"/>
      <c r="V907" s="45"/>
    </row>
    <row r="908" spans="1:22" ht="14.25" customHeight="1">
      <c r="A908" s="45"/>
      <c r="B908" s="45"/>
      <c r="V908" s="45"/>
    </row>
    <row r="909" spans="1:22" ht="14.25" customHeight="1">
      <c r="A909" s="45"/>
      <c r="B909" s="45"/>
      <c r="V909" s="45"/>
    </row>
    <row r="910" spans="1:22" ht="14.25" customHeight="1">
      <c r="A910" s="45"/>
      <c r="B910" s="45"/>
      <c r="V910" s="45"/>
    </row>
    <row r="911" spans="1:22" ht="14.25" customHeight="1">
      <c r="A911" s="45"/>
      <c r="B911" s="45"/>
      <c r="V911" s="45"/>
    </row>
    <row r="912" spans="1:22" ht="14.25" customHeight="1">
      <c r="A912" s="45"/>
      <c r="B912" s="45"/>
      <c r="V912" s="45"/>
    </row>
    <row r="913" spans="1:22" ht="14.25" customHeight="1">
      <c r="A913" s="45"/>
      <c r="B913" s="45"/>
      <c r="V913" s="45"/>
    </row>
    <row r="914" spans="1:22" ht="14.25" customHeight="1">
      <c r="A914" s="45"/>
      <c r="B914" s="45"/>
      <c r="V914" s="45"/>
    </row>
    <row r="915" spans="1:22" ht="14.25" customHeight="1">
      <c r="A915" s="45"/>
      <c r="B915" s="45"/>
      <c r="V915" s="45"/>
    </row>
    <row r="916" spans="1:22" ht="14.25" customHeight="1">
      <c r="A916" s="45"/>
      <c r="B916" s="45"/>
      <c r="V916" s="45"/>
    </row>
    <row r="917" spans="1:22" ht="14.25" customHeight="1">
      <c r="A917" s="45"/>
      <c r="B917" s="45"/>
      <c r="V917" s="45"/>
    </row>
    <row r="918" spans="1:22" ht="14.25" customHeight="1">
      <c r="A918" s="45"/>
      <c r="B918" s="45"/>
      <c r="V918" s="45"/>
    </row>
    <row r="919" spans="1:22" ht="14.25" customHeight="1">
      <c r="A919" s="45"/>
      <c r="B919" s="45"/>
      <c r="V919" s="45"/>
    </row>
    <row r="920" spans="1:22" ht="14.25" customHeight="1">
      <c r="A920" s="45"/>
      <c r="B920" s="45"/>
      <c r="V920" s="45"/>
    </row>
    <row r="921" spans="1:22" ht="14.25" customHeight="1">
      <c r="A921" s="45"/>
      <c r="B921" s="45"/>
      <c r="V921" s="45"/>
    </row>
    <row r="922" spans="1:22" ht="14.25" customHeight="1">
      <c r="A922" s="45"/>
      <c r="B922" s="45"/>
      <c r="V922" s="45"/>
    </row>
    <row r="923" spans="1:22" ht="14.25" customHeight="1">
      <c r="A923" s="45"/>
      <c r="B923" s="45"/>
      <c r="V923" s="45"/>
    </row>
    <row r="924" spans="1:22" ht="14.25" customHeight="1">
      <c r="A924" s="45"/>
      <c r="B924" s="45"/>
      <c r="V924" s="45"/>
    </row>
    <row r="925" spans="1:22" ht="14.25" customHeight="1">
      <c r="A925" s="45"/>
      <c r="B925" s="45"/>
      <c r="V925" s="45"/>
    </row>
    <row r="926" spans="1:22" ht="14.25" customHeight="1">
      <c r="A926" s="45"/>
      <c r="B926" s="45"/>
      <c r="V926" s="45"/>
    </row>
    <row r="927" spans="1:22" ht="14.25" customHeight="1">
      <c r="A927" s="45"/>
      <c r="B927" s="45"/>
      <c r="V927" s="45"/>
    </row>
    <row r="928" spans="1:22" ht="14.25" customHeight="1">
      <c r="A928" s="45"/>
      <c r="B928" s="45"/>
      <c r="V928" s="45"/>
    </row>
    <row r="929" spans="1:22" ht="14.25" customHeight="1">
      <c r="A929" s="45"/>
      <c r="B929" s="45"/>
      <c r="V929" s="45"/>
    </row>
    <row r="930" spans="1:22" ht="14.25" customHeight="1">
      <c r="A930" s="45"/>
      <c r="B930" s="45"/>
      <c r="V930" s="45"/>
    </row>
    <row r="931" spans="1:22" ht="14.25" customHeight="1">
      <c r="A931" s="45"/>
      <c r="B931" s="45"/>
      <c r="V931" s="45"/>
    </row>
    <row r="932" spans="1:22" ht="14.25" customHeight="1">
      <c r="A932" s="45"/>
      <c r="B932" s="45"/>
      <c r="V932" s="45"/>
    </row>
    <row r="933" spans="1:22" ht="14.25" customHeight="1">
      <c r="A933" s="45"/>
      <c r="B933" s="45"/>
      <c r="V933" s="45"/>
    </row>
    <row r="934" spans="1:22" ht="14.25" customHeight="1">
      <c r="A934" s="45"/>
      <c r="B934" s="45"/>
      <c r="V934" s="45"/>
    </row>
    <row r="935" spans="1:22" ht="14.25" customHeight="1">
      <c r="A935" s="45"/>
      <c r="B935" s="45"/>
      <c r="V935" s="45"/>
    </row>
    <row r="936" spans="1:22" ht="14.25" customHeight="1">
      <c r="A936" s="45"/>
      <c r="B936" s="45"/>
      <c r="V936" s="45"/>
    </row>
    <row r="937" spans="1:22" ht="14.25" customHeight="1">
      <c r="A937" s="45"/>
      <c r="B937" s="45"/>
      <c r="V937" s="45"/>
    </row>
    <row r="938" spans="1:22" ht="14.25" customHeight="1">
      <c r="A938" s="45"/>
      <c r="B938" s="45"/>
      <c r="V938" s="45"/>
    </row>
    <row r="939" spans="1:22" ht="14.25" customHeight="1">
      <c r="A939" s="45"/>
      <c r="B939" s="45"/>
      <c r="V939" s="45"/>
    </row>
    <row r="940" spans="1:22" ht="14.25" customHeight="1">
      <c r="A940" s="45"/>
      <c r="B940" s="45"/>
      <c r="V940" s="45"/>
    </row>
    <row r="941" spans="1:22" ht="14.25" customHeight="1">
      <c r="A941" s="45"/>
      <c r="B941" s="45"/>
      <c r="V941" s="45"/>
    </row>
    <row r="942" spans="1:22" ht="14.25" customHeight="1">
      <c r="A942" s="45"/>
      <c r="B942" s="45"/>
      <c r="V942" s="45"/>
    </row>
    <row r="943" spans="1:22" ht="14.25" customHeight="1">
      <c r="A943" s="45"/>
      <c r="B943" s="45"/>
      <c r="V943" s="45"/>
    </row>
    <row r="944" spans="1:22" ht="14.25" customHeight="1">
      <c r="A944" s="45"/>
      <c r="B944" s="45"/>
      <c r="V944" s="45"/>
    </row>
    <row r="945" spans="1:22" ht="14.25" customHeight="1">
      <c r="A945" s="45"/>
      <c r="B945" s="45"/>
      <c r="V945" s="45"/>
    </row>
    <row r="946" spans="1:22" ht="14.25" customHeight="1">
      <c r="A946" s="45"/>
      <c r="B946" s="45"/>
      <c r="V946" s="45"/>
    </row>
    <row r="947" spans="1:22" ht="14.25" customHeight="1">
      <c r="A947" s="45"/>
      <c r="B947" s="45"/>
      <c r="V947" s="45"/>
    </row>
    <row r="948" spans="1:22" ht="14.25" customHeight="1">
      <c r="A948" s="45"/>
      <c r="B948" s="45"/>
      <c r="V948" s="45"/>
    </row>
    <row r="949" spans="1:22" ht="14.25" customHeight="1">
      <c r="A949" s="45"/>
      <c r="B949" s="45"/>
      <c r="V949" s="45"/>
    </row>
    <row r="950" spans="1:22" ht="14.25" customHeight="1">
      <c r="A950" s="45"/>
      <c r="B950" s="45"/>
      <c r="V950" s="45"/>
    </row>
    <row r="951" spans="1:22" ht="14.25" customHeight="1">
      <c r="A951" s="45"/>
      <c r="B951" s="45"/>
      <c r="V951" s="45"/>
    </row>
    <row r="952" spans="1:22" ht="14.25" customHeight="1">
      <c r="A952" s="45"/>
      <c r="B952" s="45"/>
      <c r="V952" s="45"/>
    </row>
    <row r="953" spans="1:22" ht="14.25" customHeight="1">
      <c r="A953" s="45"/>
      <c r="B953" s="45"/>
      <c r="V953" s="45"/>
    </row>
    <row r="954" spans="1:22" ht="14.25" customHeight="1">
      <c r="A954" s="45"/>
      <c r="B954" s="45"/>
      <c r="V954" s="45"/>
    </row>
    <row r="955" spans="1:22" ht="14.25" customHeight="1">
      <c r="A955" s="45"/>
      <c r="B955" s="45"/>
      <c r="V955" s="45"/>
    </row>
    <row r="956" spans="1:22" ht="14.25" customHeight="1">
      <c r="A956" s="45"/>
      <c r="B956" s="45"/>
      <c r="V956" s="45"/>
    </row>
    <row r="957" spans="1:22" ht="14.25" customHeight="1">
      <c r="A957" s="45"/>
      <c r="B957" s="45"/>
      <c r="V957" s="45"/>
    </row>
    <row r="958" spans="1:22" ht="14.25" customHeight="1">
      <c r="A958" s="45"/>
      <c r="B958" s="45"/>
      <c r="V958" s="45"/>
    </row>
    <row r="959" spans="1:22" ht="14.25" customHeight="1">
      <c r="A959" s="45"/>
      <c r="B959" s="45"/>
      <c r="V959" s="45"/>
    </row>
    <row r="960" spans="1:22" ht="14.25" customHeight="1">
      <c r="A960" s="45"/>
      <c r="B960" s="45"/>
      <c r="V960" s="45"/>
    </row>
    <row r="961" spans="1:22" ht="14.25" customHeight="1">
      <c r="A961" s="45"/>
      <c r="B961" s="45"/>
      <c r="V961" s="45"/>
    </row>
    <row r="962" spans="1:22" ht="14.25" customHeight="1">
      <c r="A962" s="45"/>
      <c r="B962" s="45"/>
      <c r="V962" s="45"/>
    </row>
    <row r="963" spans="1:22" ht="14.25" customHeight="1">
      <c r="A963" s="45"/>
      <c r="B963" s="45"/>
      <c r="V963" s="45"/>
    </row>
    <row r="964" spans="1:22" ht="14.25" customHeight="1">
      <c r="A964" s="45"/>
      <c r="B964" s="45"/>
      <c r="V964" s="45"/>
    </row>
    <row r="965" spans="1:22" ht="14.25" customHeight="1">
      <c r="A965" s="45"/>
      <c r="B965" s="45"/>
      <c r="V965" s="45"/>
    </row>
    <row r="966" spans="1:22" ht="14.25" customHeight="1">
      <c r="A966" s="45"/>
      <c r="B966" s="45"/>
      <c r="V966" s="45"/>
    </row>
    <row r="967" spans="1:22" ht="14.25" customHeight="1">
      <c r="A967" s="45"/>
      <c r="B967" s="45"/>
      <c r="V967" s="45"/>
    </row>
    <row r="968" spans="1:22" ht="14.25" customHeight="1">
      <c r="A968" s="45"/>
      <c r="B968" s="45"/>
      <c r="V968" s="45"/>
    </row>
    <row r="969" spans="1:22" ht="14.25" customHeight="1">
      <c r="A969" s="45"/>
      <c r="B969" s="45"/>
      <c r="V969" s="45"/>
    </row>
    <row r="970" spans="1:22" ht="14.25" customHeight="1">
      <c r="A970" s="45"/>
      <c r="B970" s="45"/>
      <c r="V970" s="45"/>
    </row>
    <row r="971" spans="1:22" ht="14.25" customHeight="1">
      <c r="A971" s="45"/>
      <c r="B971" s="45"/>
      <c r="V971" s="45"/>
    </row>
    <row r="972" spans="1:22" ht="14.25" customHeight="1">
      <c r="A972" s="45"/>
      <c r="B972" s="45"/>
      <c r="V972" s="45"/>
    </row>
    <row r="973" spans="1:22" ht="14.25" customHeight="1">
      <c r="A973" s="45"/>
      <c r="B973" s="45"/>
      <c r="V973" s="45"/>
    </row>
    <row r="974" spans="1:22" ht="14.25" customHeight="1">
      <c r="A974" s="45"/>
      <c r="B974" s="45"/>
      <c r="V974" s="45"/>
    </row>
    <row r="975" spans="1:22" ht="14.25" customHeight="1">
      <c r="A975" s="45"/>
      <c r="B975" s="45"/>
      <c r="V975" s="45"/>
    </row>
    <row r="976" spans="1:22" ht="14.25" customHeight="1">
      <c r="A976" s="45"/>
      <c r="B976" s="45"/>
      <c r="V976" s="45"/>
    </row>
    <row r="977" spans="1:22" ht="14.25" customHeight="1">
      <c r="A977" s="45"/>
      <c r="B977" s="45"/>
      <c r="V977" s="45"/>
    </row>
    <row r="978" spans="1:22" ht="14.25" customHeight="1">
      <c r="A978" s="45"/>
      <c r="B978" s="45"/>
      <c r="V978" s="45"/>
    </row>
    <row r="979" spans="1:22" ht="14.25" customHeight="1">
      <c r="A979" s="45"/>
      <c r="B979" s="45"/>
      <c r="V979" s="45"/>
    </row>
    <row r="980" spans="1:22" ht="14.25" customHeight="1">
      <c r="A980" s="45"/>
      <c r="B980" s="45"/>
      <c r="V980" s="45"/>
    </row>
    <row r="981" spans="1:22" ht="14.25" customHeight="1">
      <c r="A981" s="45"/>
      <c r="B981" s="45"/>
      <c r="V981" s="45"/>
    </row>
    <row r="982" spans="1:22" ht="14.25" customHeight="1">
      <c r="A982" s="45"/>
      <c r="B982" s="45"/>
      <c r="V982" s="45"/>
    </row>
    <row r="983" spans="1:22" ht="14.25" customHeight="1">
      <c r="A983" s="45"/>
      <c r="B983" s="45"/>
      <c r="V983" s="45"/>
    </row>
    <row r="984" spans="1:22" ht="14.25" customHeight="1">
      <c r="A984" s="45"/>
      <c r="B984" s="45"/>
      <c r="V984" s="45"/>
    </row>
    <row r="985" spans="1:22" ht="14.25" customHeight="1">
      <c r="A985" s="45"/>
      <c r="B985" s="45"/>
      <c r="V985" s="45"/>
    </row>
    <row r="986" spans="1:22" ht="14.25" customHeight="1">
      <c r="A986" s="45"/>
      <c r="B986" s="45"/>
      <c r="V986" s="45"/>
    </row>
    <row r="987" spans="1:22" ht="14.25" customHeight="1">
      <c r="A987" s="45"/>
      <c r="B987" s="45"/>
      <c r="V987" s="45"/>
    </row>
    <row r="988" spans="1:22" ht="14.25" customHeight="1">
      <c r="A988" s="45"/>
      <c r="B988" s="45"/>
      <c r="V988" s="45"/>
    </row>
    <row r="989" spans="1:22" ht="14.25" customHeight="1">
      <c r="A989" s="45"/>
      <c r="B989" s="45"/>
      <c r="V989" s="45"/>
    </row>
    <row r="990" spans="1:22" ht="14.25" customHeight="1">
      <c r="A990" s="45"/>
      <c r="B990" s="45"/>
      <c r="V990" s="45"/>
    </row>
    <row r="991" spans="1:22" ht="14.25" customHeight="1">
      <c r="A991" s="45"/>
      <c r="B991" s="45"/>
      <c r="V991" s="45"/>
    </row>
    <row r="992" spans="1:22" ht="14.25" customHeight="1">
      <c r="A992" s="45"/>
      <c r="B992" s="45"/>
      <c r="V992" s="45"/>
    </row>
    <row r="993" spans="1:22" ht="14.25" customHeight="1">
      <c r="A993" s="45"/>
      <c r="B993" s="45"/>
      <c r="V993" s="45"/>
    </row>
    <row r="994" spans="1:22" ht="14.25" customHeight="1">
      <c r="A994" s="45"/>
      <c r="B994" s="45"/>
      <c r="V994" s="45"/>
    </row>
    <row r="995" spans="1:22" ht="14.25" customHeight="1">
      <c r="A995" s="45"/>
      <c r="B995" s="45"/>
      <c r="V995" s="45"/>
    </row>
    <row r="996" spans="1:22" ht="14.25" customHeight="1">
      <c r="A996" s="45"/>
      <c r="B996" s="45"/>
      <c r="V996" s="45"/>
    </row>
    <row r="997" spans="1:22" ht="14.25" customHeight="1">
      <c r="A997" s="45"/>
      <c r="B997" s="45"/>
      <c r="V997" s="45"/>
    </row>
    <row r="998" spans="1:22" ht="14.25" customHeight="1">
      <c r="A998" s="45"/>
      <c r="B998" s="45"/>
      <c r="V998" s="45"/>
    </row>
    <row r="999" spans="1:22" ht="14.25" customHeight="1">
      <c r="A999" s="45"/>
      <c r="B999" s="45"/>
      <c r="V999" s="45"/>
    </row>
    <row r="1000" spans="1:22" ht="14.25" customHeight="1">
      <c r="A1000" s="45"/>
      <c r="B1000" s="45"/>
      <c r="V1000" s="45"/>
    </row>
    <row r="1001" spans="1:22" ht="14.25" customHeight="1">
      <c r="A1001" s="45"/>
      <c r="B1001" s="45"/>
      <c r="V1001" s="45"/>
    </row>
    <row r="1002" spans="1:22" ht="14.25" customHeight="1">
      <c r="A1002" s="45"/>
      <c r="B1002" s="45"/>
      <c r="V1002" s="45"/>
    </row>
    <row r="1003" spans="1:22" ht="14.25" customHeight="1">
      <c r="A1003" s="45"/>
      <c r="B1003" s="45"/>
      <c r="V1003" s="45"/>
    </row>
    <row r="1004" spans="1:22" ht="14.25" customHeight="1">
      <c r="A1004" s="45"/>
      <c r="B1004" s="45"/>
      <c r="V1004" s="45"/>
    </row>
    <row r="1005" spans="1:22" ht="14.25" customHeight="1">
      <c r="A1005" s="45"/>
      <c r="B1005" s="45"/>
      <c r="V1005" s="45"/>
    </row>
    <row r="1006" spans="1:22" ht="14.25" customHeight="1">
      <c r="A1006" s="45"/>
      <c r="B1006" s="45"/>
      <c r="V1006" s="45"/>
    </row>
    <row r="1007" spans="1:22" ht="14.25" customHeight="1">
      <c r="A1007" s="45"/>
      <c r="B1007" s="45"/>
      <c r="V1007" s="45"/>
    </row>
    <row r="1008" spans="1:22" ht="14.25" customHeight="1">
      <c r="A1008" s="45"/>
      <c r="B1008" s="45"/>
      <c r="V1008" s="45"/>
    </row>
    <row r="1009" spans="1:22" ht="14.25" customHeight="1">
      <c r="A1009" s="45"/>
      <c r="B1009" s="45"/>
      <c r="V1009" s="45"/>
    </row>
    <row r="1010" spans="1:22" ht="14.25" customHeight="1">
      <c r="A1010" s="45"/>
      <c r="B1010" s="45"/>
      <c r="V1010" s="45"/>
    </row>
    <row r="1011" spans="1:22" ht="14.25" customHeight="1">
      <c r="A1011" s="45"/>
      <c r="B1011" s="45"/>
      <c r="V1011" s="45"/>
    </row>
    <row r="1012" spans="1:22" ht="14.25" customHeight="1">
      <c r="A1012" s="45"/>
      <c r="B1012" s="45"/>
      <c r="V1012" s="45"/>
    </row>
    <row r="1013" spans="1:22" ht="14.25" customHeight="1">
      <c r="A1013" s="45"/>
      <c r="B1013" s="45"/>
      <c r="V1013" s="45"/>
    </row>
    <row r="1014" spans="1:22" ht="14.25" customHeight="1">
      <c r="A1014" s="45"/>
      <c r="B1014" s="45"/>
      <c r="V1014" s="45"/>
    </row>
    <row r="1015" spans="1:22" ht="14.25" customHeight="1">
      <c r="A1015" s="45"/>
      <c r="B1015" s="45"/>
      <c r="V1015" s="45"/>
    </row>
    <row r="1016" spans="1:22" ht="14.25" customHeight="1">
      <c r="A1016" s="45"/>
      <c r="B1016" s="45"/>
      <c r="V1016" s="45"/>
    </row>
    <row r="1017" spans="1:22" ht="14.25" customHeight="1">
      <c r="A1017" s="45"/>
      <c r="B1017" s="45"/>
      <c r="V1017" s="45"/>
    </row>
    <row r="1018" spans="1:22" ht="14.25" customHeight="1">
      <c r="A1018" s="45"/>
      <c r="B1018" s="45"/>
      <c r="V1018" s="45"/>
    </row>
    <row r="1019" spans="1:22" ht="14.25" customHeight="1">
      <c r="A1019" s="45"/>
      <c r="B1019" s="45"/>
      <c r="V1019" s="45"/>
    </row>
    <row r="1020" spans="1:22" ht="14.25" customHeight="1">
      <c r="A1020" s="45"/>
      <c r="B1020" s="45"/>
      <c r="V1020" s="45"/>
    </row>
    <row r="1021" spans="1:22" ht="14.25" customHeight="1">
      <c r="A1021" s="45"/>
      <c r="B1021" s="45"/>
      <c r="V1021" s="45"/>
    </row>
    <row r="1022" spans="1:22" ht="14.25" customHeight="1">
      <c r="A1022" s="45"/>
      <c r="B1022" s="45"/>
      <c r="V1022" s="45"/>
    </row>
    <row r="1023" spans="1:22" ht="14.25" customHeight="1">
      <c r="A1023" s="45"/>
      <c r="B1023" s="45"/>
      <c r="V1023" s="45"/>
    </row>
    <row r="1024" spans="1:22" ht="14.25" customHeight="1">
      <c r="A1024" s="45"/>
      <c r="B1024" s="45"/>
      <c r="V1024" s="45"/>
    </row>
    <row r="1025" spans="1:22" ht="14.25" customHeight="1">
      <c r="A1025" s="45"/>
      <c r="B1025" s="45"/>
      <c r="V1025" s="45"/>
    </row>
    <row r="1026" spans="1:22" ht="14.25" customHeight="1">
      <c r="A1026" s="45"/>
      <c r="B1026" s="45"/>
      <c r="V1026" s="45"/>
    </row>
    <row r="1027" spans="1:22" ht="14.25" customHeight="1">
      <c r="A1027" s="45"/>
      <c r="B1027" s="45"/>
      <c r="V1027" s="45"/>
    </row>
    <row r="1028" spans="1:22" ht="14.25" customHeight="1">
      <c r="A1028" s="45"/>
      <c r="B1028" s="45"/>
      <c r="V1028" s="45"/>
    </row>
    <row r="1029" spans="1:22" ht="14.25" customHeight="1">
      <c r="A1029" s="45"/>
      <c r="B1029" s="45"/>
      <c r="V1029" s="45"/>
    </row>
    <row r="1030" spans="1:22" ht="14.25" customHeight="1">
      <c r="A1030" s="45"/>
      <c r="B1030" s="45"/>
      <c r="V1030" s="45"/>
    </row>
    <row r="1031" spans="1:22" ht="14.25" customHeight="1">
      <c r="A1031" s="45"/>
      <c r="B1031" s="45"/>
      <c r="V1031" s="45"/>
    </row>
    <row r="1032" spans="1:22" ht="14.25" customHeight="1">
      <c r="A1032" s="45"/>
      <c r="B1032" s="45"/>
      <c r="V1032" s="45"/>
    </row>
    <row r="1033" spans="1:22" ht="14.25" customHeight="1">
      <c r="A1033" s="45"/>
      <c r="B1033" s="45"/>
      <c r="V1033" s="45"/>
    </row>
    <row r="1034" spans="1:22" ht="14.25" customHeight="1">
      <c r="A1034" s="45"/>
      <c r="B1034" s="45"/>
      <c r="V1034" s="45"/>
    </row>
    <row r="1035" spans="1:22" ht="14.25" customHeight="1">
      <c r="A1035" s="45"/>
      <c r="B1035" s="45"/>
      <c r="V1035" s="45"/>
    </row>
    <row r="1036" spans="1:22" ht="14.25" customHeight="1">
      <c r="A1036" s="45"/>
      <c r="B1036" s="45"/>
      <c r="V1036" s="45"/>
    </row>
    <row r="1037" spans="1:22" ht="14.25" customHeight="1">
      <c r="A1037" s="45"/>
      <c r="B1037" s="45"/>
      <c r="V1037" s="45"/>
    </row>
    <row r="1038" spans="1:22" ht="14.25" customHeight="1">
      <c r="A1038" s="45"/>
      <c r="B1038" s="45"/>
      <c r="V1038" s="45"/>
    </row>
    <row r="1039" spans="1:22" ht="14.25" customHeight="1">
      <c r="A1039" s="45"/>
      <c r="B1039" s="45"/>
      <c r="V1039" s="45"/>
    </row>
    <row r="1040" spans="1:22" ht="14.25" customHeight="1">
      <c r="A1040" s="45"/>
      <c r="B1040" s="45"/>
      <c r="V1040" s="45"/>
    </row>
    <row r="1041" spans="1:22" ht="14.25" customHeight="1">
      <c r="A1041" s="45"/>
      <c r="B1041" s="45"/>
      <c r="V1041" s="45"/>
    </row>
    <row r="1042" spans="1:22" ht="14.25" customHeight="1">
      <c r="A1042" s="45"/>
      <c r="B1042" s="45"/>
      <c r="V1042" s="45"/>
    </row>
    <row r="1043" spans="1:22" ht="14.25" customHeight="1">
      <c r="A1043" s="45"/>
      <c r="B1043" s="45"/>
      <c r="V1043" s="45"/>
    </row>
    <row r="1044" spans="1:22" ht="14.25" customHeight="1">
      <c r="A1044" s="45"/>
      <c r="B1044" s="45"/>
      <c r="V1044" s="45"/>
    </row>
    <row r="1045" spans="1:22" ht="14.25" customHeight="1">
      <c r="A1045" s="45"/>
      <c r="B1045" s="45"/>
      <c r="V1045" s="45"/>
    </row>
    <row r="1046" spans="1:22" ht="14.25" customHeight="1">
      <c r="A1046" s="45"/>
      <c r="B1046" s="45"/>
      <c r="V1046" s="45"/>
    </row>
    <row r="1047" spans="1:22" ht="14.25" customHeight="1">
      <c r="A1047" s="45"/>
      <c r="B1047" s="45"/>
      <c r="V1047" s="45"/>
    </row>
    <row r="1048" spans="1:22" ht="14.25" customHeight="1">
      <c r="A1048" s="45"/>
      <c r="B1048" s="45"/>
      <c r="V1048" s="45"/>
    </row>
    <row r="1049" spans="1:22" ht="14.25" customHeight="1">
      <c r="A1049" s="45"/>
      <c r="B1049" s="45"/>
      <c r="V1049" s="45"/>
    </row>
    <row r="1050" spans="1:22" ht="14.25" customHeight="1">
      <c r="A1050" s="45"/>
      <c r="B1050" s="45"/>
      <c r="V1050" s="45"/>
    </row>
    <row r="1051" spans="1:22" ht="14.25" customHeight="1">
      <c r="A1051" s="45"/>
      <c r="B1051" s="45"/>
      <c r="V1051" s="45"/>
    </row>
    <row r="1052" spans="1:22" ht="14.25" customHeight="1">
      <c r="A1052" s="45"/>
      <c r="B1052" s="45"/>
      <c r="V1052" s="45"/>
    </row>
    <row r="1053" spans="1:22" ht="14.25" customHeight="1">
      <c r="A1053" s="45"/>
      <c r="B1053" s="45"/>
      <c r="V1053" s="45"/>
    </row>
    <row r="1054" spans="1:22" ht="14.25" customHeight="1">
      <c r="A1054" s="45"/>
      <c r="B1054" s="45"/>
      <c r="V1054" s="45"/>
    </row>
    <row r="1055" spans="1:22" ht="14.25" customHeight="1">
      <c r="A1055" s="45"/>
      <c r="B1055" s="45"/>
      <c r="V1055" s="45"/>
    </row>
    <row r="1056" spans="1:22" ht="14.25" customHeight="1">
      <c r="A1056" s="45"/>
      <c r="B1056" s="45"/>
      <c r="V1056" s="45"/>
    </row>
    <row r="1057" spans="1:22" ht="14.25" customHeight="1">
      <c r="A1057" s="45"/>
      <c r="B1057" s="45"/>
      <c r="V1057" s="45"/>
    </row>
    <row r="1058" spans="1:22" ht="14.25" customHeight="1">
      <c r="A1058" s="45"/>
      <c r="B1058" s="45"/>
      <c r="V1058" s="45"/>
    </row>
    <row r="1059" spans="1:22" ht="14.25" customHeight="1">
      <c r="A1059" s="45"/>
      <c r="B1059" s="45"/>
      <c r="V1059" s="45"/>
    </row>
    <row r="1060" spans="1:22" ht="14.25" customHeight="1">
      <c r="A1060" s="45"/>
      <c r="B1060" s="45"/>
      <c r="V1060" s="45"/>
    </row>
    <row r="1061" spans="1:22" ht="14.25" customHeight="1">
      <c r="A1061" s="45"/>
      <c r="B1061" s="45"/>
      <c r="V1061" s="45"/>
    </row>
    <row r="1062" spans="1:22" ht="14.25" customHeight="1">
      <c r="A1062" s="45"/>
      <c r="B1062" s="45"/>
      <c r="V1062" s="45"/>
    </row>
    <row r="1063" spans="1:22" ht="14.25" customHeight="1">
      <c r="A1063" s="45"/>
      <c r="B1063" s="45"/>
      <c r="V1063" s="45"/>
    </row>
    <row r="1064" spans="1:22" ht="14.25" customHeight="1">
      <c r="A1064" s="45"/>
      <c r="B1064" s="45"/>
      <c r="V1064" s="45"/>
    </row>
    <row r="1065" spans="1:22" ht="14.25" customHeight="1">
      <c r="A1065" s="45"/>
      <c r="B1065" s="45"/>
      <c r="V1065" s="45"/>
    </row>
    <row r="1066" spans="1:22" ht="14.25" customHeight="1">
      <c r="A1066" s="45"/>
      <c r="B1066" s="45"/>
      <c r="V1066" s="45"/>
    </row>
    <row r="1067" spans="1:22" ht="14.25" customHeight="1">
      <c r="A1067" s="45"/>
      <c r="B1067" s="45"/>
      <c r="V1067" s="45"/>
    </row>
    <row r="1068" spans="1:22" ht="14.25" customHeight="1">
      <c r="A1068" s="45"/>
      <c r="B1068" s="45"/>
      <c r="V1068" s="45"/>
    </row>
    <row r="1069" spans="1:22" ht="14.25" customHeight="1">
      <c r="A1069" s="45"/>
      <c r="B1069" s="45"/>
      <c r="V1069" s="45"/>
    </row>
    <row r="1070" spans="1:22" ht="14.25" customHeight="1">
      <c r="A1070" s="45"/>
      <c r="B1070" s="45"/>
      <c r="V1070" s="45"/>
    </row>
    <row r="1071" spans="1:22" ht="14.25" customHeight="1">
      <c r="A1071" s="45"/>
      <c r="B1071" s="45"/>
      <c r="V1071" s="45"/>
    </row>
    <row r="1072" spans="1:22" ht="14.25" customHeight="1">
      <c r="A1072" s="45"/>
      <c r="B1072" s="45"/>
      <c r="V1072" s="45"/>
    </row>
    <row r="1073" spans="1:22" ht="14.25" customHeight="1">
      <c r="A1073" s="45"/>
      <c r="B1073" s="45"/>
      <c r="V1073" s="45"/>
    </row>
    <row r="1074" spans="1:22" ht="14.25" customHeight="1">
      <c r="A1074" s="45"/>
      <c r="B1074" s="45"/>
      <c r="V1074" s="45"/>
    </row>
    <row r="1075" spans="1:22" ht="14.25" customHeight="1">
      <c r="A1075" s="45"/>
      <c r="B1075" s="45"/>
      <c r="V1075" s="45"/>
    </row>
    <row r="1076" spans="1:22" ht="14.25" customHeight="1">
      <c r="A1076" s="45"/>
      <c r="B1076" s="45"/>
      <c r="V1076" s="45"/>
    </row>
    <row r="1077" spans="1:22" ht="14.25" customHeight="1">
      <c r="A1077" s="45"/>
      <c r="B1077" s="45"/>
      <c r="V1077" s="45"/>
    </row>
    <row r="1078" spans="1:22" ht="14.25" customHeight="1">
      <c r="A1078" s="45"/>
      <c r="B1078" s="45"/>
      <c r="V1078" s="45"/>
    </row>
    <row r="1079" spans="1:22" ht="14.25" customHeight="1">
      <c r="A1079" s="45"/>
      <c r="B1079" s="45"/>
      <c r="V1079" s="45"/>
    </row>
    <row r="1080" spans="1:22" ht="14.25" customHeight="1">
      <c r="A1080" s="45"/>
      <c r="B1080" s="45"/>
      <c r="V1080" s="45"/>
    </row>
    <row r="1081" spans="1:22" ht="14.25" customHeight="1">
      <c r="A1081" s="45"/>
      <c r="B1081" s="45"/>
      <c r="V1081" s="45"/>
    </row>
    <row r="1082" spans="1:22" ht="14.25" customHeight="1">
      <c r="A1082" s="45"/>
      <c r="B1082" s="45"/>
      <c r="V1082" s="45"/>
    </row>
    <row r="1083" spans="1:22" ht="14.25" customHeight="1">
      <c r="A1083" s="45"/>
      <c r="B1083" s="45"/>
      <c r="V1083" s="45"/>
    </row>
    <row r="1084" spans="1:22" ht="14.25" customHeight="1">
      <c r="A1084" s="45"/>
      <c r="B1084" s="45"/>
      <c r="V1084" s="45"/>
    </row>
    <row r="1085" spans="1:22" ht="14.25" customHeight="1">
      <c r="A1085" s="45"/>
      <c r="B1085" s="45"/>
      <c r="V1085" s="45"/>
    </row>
    <row r="1086" spans="1:22" ht="14.25" customHeight="1">
      <c r="A1086" s="45"/>
      <c r="B1086" s="45"/>
      <c r="V1086" s="45"/>
    </row>
    <row r="1087" spans="1:22" ht="14.25" customHeight="1">
      <c r="A1087" s="45"/>
      <c r="B1087" s="45"/>
      <c r="V1087" s="45"/>
    </row>
    <row r="1088" spans="1:22" ht="14.25" customHeight="1">
      <c r="A1088" s="45"/>
      <c r="B1088" s="45"/>
      <c r="V1088" s="45"/>
    </row>
    <row r="1089" spans="1:22" ht="14.25" customHeight="1">
      <c r="A1089" s="45"/>
      <c r="B1089" s="45"/>
      <c r="V1089" s="45"/>
    </row>
    <row r="1090" spans="1:22" ht="14.25" customHeight="1">
      <c r="A1090" s="45"/>
      <c r="B1090" s="45"/>
      <c r="V1090" s="45"/>
    </row>
    <row r="1091" spans="1:22" ht="14.25" customHeight="1">
      <c r="A1091" s="45"/>
      <c r="B1091" s="45"/>
      <c r="V1091" s="45"/>
    </row>
    <row r="1092" spans="1:22" ht="14.25" customHeight="1">
      <c r="A1092" s="45"/>
      <c r="B1092" s="45"/>
      <c r="V1092" s="45"/>
    </row>
    <row r="1093" spans="1:22" ht="14.25" customHeight="1">
      <c r="A1093" s="45"/>
      <c r="B1093" s="45"/>
      <c r="V1093" s="45"/>
    </row>
    <row r="1094" spans="1:22" ht="14.25" customHeight="1">
      <c r="A1094" s="45"/>
      <c r="B1094" s="45"/>
      <c r="V1094" s="45"/>
    </row>
    <row r="1095" spans="1:22" ht="14.25" customHeight="1">
      <c r="A1095" s="45"/>
      <c r="B1095" s="45"/>
      <c r="V1095" s="45"/>
    </row>
    <row r="1096" spans="1:22" ht="14.25" customHeight="1">
      <c r="A1096" s="45"/>
      <c r="B1096" s="45"/>
      <c r="V1096" s="45"/>
    </row>
    <row r="1097" spans="1:22" ht="14.25" customHeight="1">
      <c r="A1097" s="45"/>
      <c r="B1097" s="45"/>
      <c r="V1097" s="45"/>
    </row>
    <row r="1098" spans="1:22" ht="14.25" customHeight="1">
      <c r="A1098" s="45"/>
      <c r="B1098" s="45"/>
      <c r="V1098" s="45"/>
    </row>
    <row r="1099" spans="1:22" ht="14.25" customHeight="1">
      <c r="A1099" s="45"/>
      <c r="B1099" s="45"/>
      <c r="V1099" s="45"/>
    </row>
    <row r="1100" spans="1:22" ht="14.25" customHeight="1">
      <c r="A1100" s="45"/>
      <c r="B1100" s="45"/>
      <c r="V1100" s="45"/>
    </row>
    <row r="1101" spans="1:22" ht="14.25" customHeight="1">
      <c r="A1101" s="45"/>
      <c r="B1101" s="45"/>
      <c r="V1101" s="45"/>
    </row>
    <row r="1102" spans="1:22" ht="14.25" customHeight="1">
      <c r="A1102" s="45"/>
      <c r="B1102" s="45"/>
      <c r="V1102" s="45"/>
    </row>
    <row r="1103" spans="1:22" ht="14.25" customHeight="1">
      <c r="A1103" s="45"/>
      <c r="B1103" s="45"/>
      <c r="V1103" s="45"/>
    </row>
    <row r="1104" spans="1:22" ht="14.25" customHeight="1">
      <c r="A1104" s="45"/>
      <c r="B1104" s="45"/>
      <c r="V1104" s="45"/>
    </row>
    <row r="1105" spans="1:22" ht="14.25" customHeight="1">
      <c r="A1105" s="45"/>
      <c r="B1105" s="45"/>
      <c r="V1105" s="45"/>
    </row>
    <row r="1106" spans="1:22" ht="14.25" customHeight="1">
      <c r="A1106" s="45"/>
      <c r="B1106" s="45"/>
      <c r="V1106" s="45"/>
    </row>
    <row r="1107" spans="1:22" ht="14.25" customHeight="1">
      <c r="A1107" s="45"/>
      <c r="B1107" s="45"/>
      <c r="V1107" s="45"/>
    </row>
    <row r="1108" spans="1:22" ht="14.25" customHeight="1">
      <c r="A1108" s="45"/>
      <c r="B1108" s="45"/>
      <c r="V1108" s="45"/>
    </row>
    <row r="1109" spans="1:22" ht="14.25" customHeight="1">
      <c r="A1109" s="45"/>
      <c r="B1109" s="45"/>
      <c r="V1109" s="45"/>
    </row>
    <row r="1110" spans="1:22" ht="14.25" customHeight="1">
      <c r="A1110" s="45"/>
      <c r="B1110" s="45"/>
      <c r="V1110" s="45"/>
    </row>
    <row r="1111" spans="1:22" ht="14.25" customHeight="1">
      <c r="A1111" s="45"/>
      <c r="B1111" s="45"/>
      <c r="V1111" s="45"/>
    </row>
    <row r="1112" spans="1:22" ht="14.25" customHeight="1">
      <c r="A1112" s="45"/>
      <c r="B1112" s="45"/>
      <c r="V1112" s="45"/>
    </row>
    <row r="1113" spans="1:22" ht="14.25" customHeight="1">
      <c r="A1113" s="45"/>
      <c r="B1113" s="45"/>
      <c r="V1113" s="45"/>
    </row>
    <row r="1114" spans="1:22" ht="14.25" customHeight="1">
      <c r="A1114" s="45"/>
      <c r="B1114" s="45"/>
      <c r="V1114" s="45"/>
    </row>
    <row r="1115" spans="1:22" ht="14.25" customHeight="1">
      <c r="A1115" s="45"/>
      <c r="B1115" s="45"/>
      <c r="V1115" s="45"/>
    </row>
    <row r="1116" spans="1:22" ht="14.25" customHeight="1">
      <c r="A1116" s="45"/>
      <c r="B1116" s="45"/>
      <c r="V1116" s="45"/>
    </row>
    <row r="1117" spans="1:22" ht="14.25" customHeight="1">
      <c r="A1117" s="45"/>
      <c r="B1117" s="45"/>
      <c r="V1117" s="45"/>
    </row>
    <row r="1118" spans="1:22" ht="14.25" customHeight="1">
      <c r="A1118" s="45"/>
      <c r="B1118" s="45"/>
      <c r="V1118" s="45"/>
    </row>
    <row r="1119" spans="1:22" ht="14.25" customHeight="1">
      <c r="A1119" s="45"/>
      <c r="B1119" s="45"/>
      <c r="V1119" s="45"/>
    </row>
    <row r="1120" spans="1:22" ht="14.25" customHeight="1">
      <c r="A1120" s="45"/>
      <c r="B1120" s="45"/>
      <c r="V1120" s="45"/>
    </row>
    <row r="1121" spans="1:22" ht="14.25" customHeight="1">
      <c r="A1121" s="45"/>
      <c r="B1121" s="45"/>
      <c r="V1121" s="45"/>
    </row>
    <row r="1122" spans="1:22" ht="14.25" customHeight="1">
      <c r="A1122" s="45"/>
      <c r="B1122" s="45"/>
      <c r="V1122" s="45"/>
    </row>
    <row r="1123" spans="1:22" ht="14.25" customHeight="1">
      <c r="A1123" s="45"/>
      <c r="B1123" s="45"/>
      <c r="V1123" s="45"/>
    </row>
    <row r="1124" spans="1:22" ht="14.25" customHeight="1">
      <c r="A1124" s="45"/>
      <c r="B1124" s="45"/>
      <c r="V1124" s="45"/>
    </row>
    <row r="1125" spans="1:22" ht="14.25" customHeight="1">
      <c r="A1125" s="45"/>
      <c r="B1125" s="45"/>
      <c r="V1125" s="45"/>
    </row>
    <row r="1126" spans="1:22" ht="14.25" customHeight="1">
      <c r="A1126" s="45"/>
      <c r="B1126" s="45"/>
      <c r="V1126" s="45"/>
    </row>
    <row r="1127" spans="1:22" ht="14.25" customHeight="1">
      <c r="A1127" s="45"/>
      <c r="B1127" s="45"/>
      <c r="V1127" s="45"/>
    </row>
    <row r="1128" spans="1:22" ht="14.25" customHeight="1">
      <c r="A1128" s="45"/>
      <c r="B1128" s="45"/>
      <c r="V1128" s="45"/>
    </row>
    <row r="1129" spans="1:22" ht="14.25" customHeight="1">
      <c r="A1129" s="45"/>
      <c r="B1129" s="45"/>
      <c r="V1129" s="45"/>
    </row>
    <row r="1130" spans="1:22" ht="14.25" customHeight="1">
      <c r="A1130" s="45"/>
      <c r="B1130" s="45"/>
      <c r="V1130" s="45"/>
    </row>
    <row r="1131" spans="1:22" ht="14.25" customHeight="1">
      <c r="A1131" s="45"/>
      <c r="B1131" s="45"/>
      <c r="V1131" s="45"/>
    </row>
    <row r="1132" spans="1:22" ht="14.25" customHeight="1">
      <c r="A1132" s="45"/>
      <c r="B1132" s="45"/>
      <c r="V1132" s="45"/>
    </row>
    <row r="1133" spans="1:22" ht="14.25" customHeight="1">
      <c r="A1133" s="45"/>
      <c r="B1133" s="45"/>
      <c r="V1133" s="45"/>
    </row>
    <row r="1134" spans="1:22" ht="14.25" customHeight="1">
      <c r="A1134" s="45"/>
      <c r="B1134" s="45"/>
      <c r="V1134" s="45"/>
    </row>
    <row r="1135" spans="1:22" ht="14.25" customHeight="1">
      <c r="A1135" s="45"/>
      <c r="B1135" s="45"/>
      <c r="V1135" s="45"/>
    </row>
    <row r="1136" spans="1:22" ht="14.25" customHeight="1">
      <c r="A1136" s="45"/>
      <c r="B1136" s="45"/>
      <c r="V1136" s="45"/>
    </row>
    <row r="1137" spans="1:22" ht="14.25" customHeight="1">
      <c r="A1137" s="45"/>
      <c r="B1137" s="45"/>
      <c r="V1137" s="45"/>
    </row>
    <row r="1138" spans="1:22" ht="14.25" customHeight="1">
      <c r="A1138" s="45"/>
      <c r="B1138" s="45"/>
      <c r="V1138" s="45"/>
    </row>
    <row r="1139" spans="1:22" ht="14.25" customHeight="1">
      <c r="A1139" s="45"/>
      <c r="B1139" s="45"/>
      <c r="V1139" s="45"/>
    </row>
    <row r="1140" spans="1:22" ht="14.25" customHeight="1">
      <c r="A1140" s="45"/>
      <c r="B1140" s="45"/>
      <c r="V1140" s="45"/>
    </row>
    <row r="1141" spans="1:22" ht="14.25" customHeight="1">
      <c r="A1141" s="45"/>
      <c r="B1141" s="45"/>
      <c r="V1141" s="45"/>
    </row>
    <row r="1142" spans="1:22" ht="14.25" customHeight="1">
      <c r="A1142" s="45"/>
      <c r="B1142" s="45"/>
      <c r="V1142" s="45"/>
    </row>
    <row r="1143" spans="1:22" ht="14.25" customHeight="1">
      <c r="A1143" s="45"/>
      <c r="B1143" s="45"/>
      <c r="V1143" s="45"/>
    </row>
    <row r="1144" spans="1:22" ht="14.25" customHeight="1">
      <c r="A1144" s="45"/>
      <c r="B1144" s="45"/>
      <c r="V1144" s="45"/>
    </row>
    <row r="1145" spans="1:22" ht="14.25" customHeight="1">
      <c r="A1145" s="45"/>
      <c r="B1145" s="45"/>
      <c r="V1145" s="45"/>
    </row>
    <row r="1146" spans="1:22" ht="14.25" customHeight="1">
      <c r="A1146" s="45"/>
      <c r="B1146" s="45"/>
      <c r="V1146" s="45"/>
    </row>
    <row r="1147" spans="1:22" ht="14.25" customHeight="1">
      <c r="A1147" s="45"/>
      <c r="B1147" s="45"/>
      <c r="V1147" s="45"/>
    </row>
    <row r="1148" spans="1:22" ht="14.25" customHeight="1">
      <c r="A1148" s="45"/>
      <c r="B1148" s="45"/>
      <c r="V1148" s="45"/>
    </row>
    <row r="1149" spans="1:22" ht="14.25" customHeight="1">
      <c r="A1149" s="45"/>
      <c r="B1149" s="45"/>
      <c r="V1149" s="45"/>
    </row>
    <row r="1150" spans="1:22" ht="14.25" customHeight="1">
      <c r="A1150" s="45"/>
      <c r="B1150" s="45"/>
      <c r="V1150" s="45"/>
    </row>
    <row r="1151" spans="1:22" ht="14.25" customHeight="1">
      <c r="A1151" s="45"/>
      <c r="B1151" s="45"/>
      <c r="V1151" s="45"/>
    </row>
    <row r="1152" spans="1:22" ht="14.25" customHeight="1">
      <c r="A1152" s="45"/>
      <c r="B1152" s="45"/>
      <c r="V1152" s="45"/>
    </row>
    <row r="1153" spans="1:22" ht="14.25" customHeight="1">
      <c r="A1153" s="45"/>
      <c r="B1153" s="45"/>
      <c r="V1153" s="45"/>
    </row>
    <row r="1154" spans="1:22" ht="14.25" customHeight="1">
      <c r="A1154" s="45"/>
      <c r="B1154" s="45"/>
      <c r="V1154" s="45"/>
    </row>
    <row r="1155" spans="1:22" ht="14.25" customHeight="1">
      <c r="A1155" s="45"/>
      <c r="B1155" s="45"/>
      <c r="V1155" s="45"/>
    </row>
    <row r="1156" spans="1:22" ht="14.25" customHeight="1">
      <c r="A1156" s="45"/>
      <c r="B1156" s="45"/>
      <c r="V1156" s="45"/>
    </row>
    <row r="1157" spans="1:22" ht="14.25" customHeight="1">
      <c r="A1157" s="45"/>
      <c r="B1157" s="45"/>
      <c r="V1157" s="45"/>
    </row>
    <row r="1158" spans="1:22" ht="14.25" customHeight="1">
      <c r="A1158" s="45"/>
      <c r="B1158" s="45"/>
      <c r="V1158" s="45"/>
    </row>
    <row r="1159" spans="1:22" ht="14.25" customHeight="1">
      <c r="A1159" s="45"/>
      <c r="B1159" s="45"/>
      <c r="V1159" s="45"/>
    </row>
    <row r="1160" spans="1:22" ht="14.25" customHeight="1">
      <c r="A1160" s="45"/>
      <c r="B1160" s="45"/>
      <c r="V1160" s="45"/>
    </row>
    <row r="1161" spans="1:22" ht="14.25" customHeight="1">
      <c r="A1161" s="45"/>
      <c r="B1161" s="45"/>
      <c r="V1161" s="45"/>
    </row>
    <row r="1162" spans="1:22" ht="14.25" customHeight="1">
      <c r="A1162" s="45"/>
      <c r="B1162" s="45"/>
      <c r="V1162" s="45"/>
    </row>
    <row r="1163" spans="1:22" ht="14.25" customHeight="1">
      <c r="A1163" s="45"/>
      <c r="B1163" s="45"/>
      <c r="V1163" s="45"/>
    </row>
    <row r="1164" spans="1:22" ht="14.25" customHeight="1">
      <c r="A1164" s="45"/>
      <c r="B1164" s="45"/>
      <c r="V1164" s="45"/>
    </row>
    <row r="1165" spans="1:22" ht="14.25" customHeight="1">
      <c r="A1165" s="45"/>
      <c r="B1165" s="45"/>
      <c r="V1165" s="45"/>
    </row>
    <row r="1166" spans="1:22" ht="14.25" customHeight="1">
      <c r="A1166" s="45"/>
      <c r="B1166" s="45"/>
      <c r="V1166" s="45"/>
    </row>
    <row r="1167" spans="1:22" ht="14.25" customHeight="1">
      <c r="A1167" s="45"/>
      <c r="B1167" s="45"/>
      <c r="V1167" s="45"/>
    </row>
    <row r="1168" spans="1:22" ht="14.25" customHeight="1">
      <c r="A1168" s="45"/>
      <c r="B1168" s="45"/>
      <c r="V1168" s="45"/>
    </row>
    <row r="1169" spans="1:22" ht="14.25" customHeight="1">
      <c r="A1169" s="45"/>
      <c r="B1169" s="45"/>
      <c r="V1169" s="45"/>
    </row>
    <row r="1170" spans="1:22" ht="14.25" customHeight="1">
      <c r="A1170" s="45"/>
      <c r="B1170" s="45"/>
      <c r="V1170" s="45"/>
    </row>
    <row r="1171" spans="1:22" ht="14.25" customHeight="1">
      <c r="A1171" s="45"/>
      <c r="B1171" s="45"/>
      <c r="V1171" s="45"/>
    </row>
    <row r="1172" spans="1:22" ht="14.25" customHeight="1">
      <c r="A1172" s="45"/>
      <c r="B1172" s="45"/>
      <c r="V1172" s="45"/>
    </row>
    <row r="1173" spans="1:22" ht="14.25" customHeight="1">
      <c r="A1173" s="45"/>
      <c r="B1173" s="45"/>
      <c r="V1173" s="45"/>
    </row>
    <row r="1174" spans="1:22" ht="14.25" customHeight="1">
      <c r="A1174" s="45"/>
      <c r="B1174" s="45"/>
      <c r="V1174" s="45"/>
    </row>
    <row r="1175" spans="1:22" ht="14.25" customHeight="1">
      <c r="A1175" s="45"/>
      <c r="B1175" s="45"/>
      <c r="V1175" s="45"/>
    </row>
    <row r="1176" spans="1:22" ht="14.25" customHeight="1">
      <c r="A1176" s="45"/>
      <c r="B1176" s="45"/>
      <c r="V1176" s="45"/>
    </row>
    <row r="1177" spans="1:22" ht="14.25" customHeight="1">
      <c r="A1177" s="45"/>
      <c r="B1177" s="45"/>
      <c r="V1177" s="45"/>
    </row>
    <row r="1178" spans="1:22" ht="14.25" customHeight="1">
      <c r="A1178" s="45"/>
      <c r="B1178" s="45"/>
      <c r="V1178" s="45"/>
    </row>
    <row r="1179" spans="1:22" ht="14.25" customHeight="1">
      <c r="A1179" s="45"/>
      <c r="B1179" s="45"/>
      <c r="V1179" s="45"/>
    </row>
    <row r="1180" spans="1:22" ht="14.25" customHeight="1">
      <c r="A1180" s="45"/>
      <c r="B1180" s="45"/>
      <c r="V1180" s="45"/>
    </row>
    <row r="1181" spans="1:22" ht="14.25" customHeight="1">
      <c r="A1181" s="45"/>
      <c r="B1181" s="45"/>
      <c r="V1181" s="45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198"/>
  <sheetViews>
    <sheetView topLeftCell="A26" zoomScaleNormal="100" workbookViewId="0">
      <selection activeCell="G49" sqref="G49"/>
    </sheetView>
  </sheetViews>
  <sheetFormatPr defaultColWidth="12.5703125" defaultRowHeight="12.75"/>
  <cols>
    <col min="1" max="1" width="7.5703125" bestFit="1" customWidth="1"/>
    <col min="2" max="2" width="13.5703125" customWidth="1"/>
    <col min="3" max="3" width="9.42578125" customWidth="1"/>
    <col min="4" max="4" width="11.85546875" customWidth="1"/>
    <col min="5" max="5" width="4.42578125" customWidth="1"/>
    <col min="6" max="6" width="12.85546875" customWidth="1"/>
    <col min="7" max="7" width="15.85546875" customWidth="1"/>
    <col min="8" max="8" width="26.140625" customWidth="1"/>
    <col min="9" max="11" width="9" style="135" bestFit="1" customWidth="1"/>
    <col min="12" max="12" width="6.85546875" customWidth="1"/>
    <col min="13" max="13" width="21.140625" customWidth="1"/>
    <col min="14" max="14" width="6.5703125" customWidth="1"/>
    <col min="15" max="15" width="4.140625" customWidth="1"/>
    <col min="16" max="16" width="5.5703125" customWidth="1"/>
    <col min="17" max="17" width="4.42578125" customWidth="1"/>
    <col min="18" max="18" width="5.7109375" customWidth="1"/>
    <col min="19" max="19" width="3.7109375" customWidth="1"/>
    <col min="20" max="20" width="3.85546875" customWidth="1"/>
    <col min="21" max="21" width="9.42578125" customWidth="1"/>
    <col min="22" max="22" width="5.28515625" customWidth="1"/>
    <col min="23" max="24" width="10.5703125" customWidth="1"/>
    <col min="25" max="25" width="14.7109375" customWidth="1"/>
    <col min="26" max="26" width="11.140625" customWidth="1"/>
    <col min="27" max="27" width="10" customWidth="1"/>
    <col min="28" max="37" width="9.42578125" customWidth="1"/>
  </cols>
  <sheetData>
    <row r="1" spans="1:37">
      <c r="U1" s="65"/>
    </row>
    <row r="2" spans="1:37" ht="14.25" customHeight="1">
      <c r="A2" s="48" t="s">
        <v>1423</v>
      </c>
      <c r="B2" s="48" t="s">
        <v>1424</v>
      </c>
      <c r="C2" s="40" t="s">
        <v>1425</v>
      </c>
      <c r="D2" s="40" t="s">
        <v>733</v>
      </c>
      <c r="E2" s="48" t="s">
        <v>1426</v>
      </c>
      <c r="F2" s="50" t="s">
        <v>1427</v>
      </c>
      <c r="G2" s="40" t="s">
        <v>1172</v>
      </c>
      <c r="H2" s="40" t="s">
        <v>1428</v>
      </c>
      <c r="I2" s="136" t="s">
        <v>1429</v>
      </c>
      <c r="J2" s="136" t="s">
        <v>1430</v>
      </c>
      <c r="K2" s="136" t="s">
        <v>1431</v>
      </c>
      <c r="L2" s="40" t="s">
        <v>1173</v>
      </c>
      <c r="M2" s="40" t="s">
        <v>1432</v>
      </c>
      <c r="N2" s="40" t="s">
        <v>1433</v>
      </c>
      <c r="O2" s="40" t="s">
        <v>1434</v>
      </c>
      <c r="P2" s="40" t="s">
        <v>1435</v>
      </c>
      <c r="Q2" s="40" t="s">
        <v>1436</v>
      </c>
      <c r="R2" s="40" t="s">
        <v>1437</v>
      </c>
      <c r="S2" s="40" t="s">
        <v>1438</v>
      </c>
      <c r="T2" s="40" t="s">
        <v>209</v>
      </c>
      <c r="U2" s="66" t="s">
        <v>1439</v>
      </c>
      <c r="V2" s="6" t="s">
        <v>1440</v>
      </c>
      <c r="W2" s="40" t="s">
        <v>1441</v>
      </c>
      <c r="X2" s="40" t="s">
        <v>1442</v>
      </c>
      <c r="Y2" s="67" t="s">
        <v>1443</v>
      </c>
      <c r="Z2" s="7" t="s">
        <v>1444</v>
      </c>
      <c r="AA2" s="6" t="s">
        <v>1445</v>
      </c>
      <c r="AB2" s="6" t="s">
        <v>1446</v>
      </c>
      <c r="AC2" s="6" t="s">
        <v>1447</v>
      </c>
      <c r="AD2" s="6" t="s">
        <v>1448</v>
      </c>
      <c r="AE2" s="6" t="s">
        <v>1449</v>
      </c>
      <c r="AF2" s="6" t="s">
        <v>1450</v>
      </c>
      <c r="AG2" s="6" t="s">
        <v>1451</v>
      </c>
      <c r="AH2" s="6" t="s">
        <v>1452</v>
      </c>
      <c r="AI2" s="6" t="s">
        <v>1453</v>
      </c>
      <c r="AJ2" s="6" t="s">
        <v>1454</v>
      </c>
      <c r="AK2" s="6" t="s">
        <v>1455</v>
      </c>
    </row>
    <row r="3" spans="1:37" ht="16.5" customHeight="1">
      <c r="A3" s="52">
        <v>10001</v>
      </c>
      <c r="B3" s="27" t="s">
        <v>1456</v>
      </c>
      <c r="C3" s="52" t="s">
        <v>75</v>
      </c>
      <c r="D3" s="52" t="s">
        <v>1457</v>
      </c>
      <c r="E3" s="52"/>
      <c r="F3" s="68" t="str">
        <f t="shared" ref="F3:F33" si="0">"1,1"</f>
        <v>1,1</v>
      </c>
      <c r="G3" s="31" t="str">
        <f>"56,58,17,13,3,6,18"</f>
        <v>56,58,17,13,3,6,18</v>
      </c>
      <c r="H3" s="52"/>
      <c r="I3" s="137">
        <v>110012</v>
      </c>
      <c r="J3" s="137">
        <f t="shared" ref="J3:J9" si="1">A3+200000</f>
        <v>210001</v>
      </c>
      <c r="K3" s="137">
        <f t="shared" ref="K3:K9" si="2">J3+100000</f>
        <v>310001</v>
      </c>
      <c r="L3" s="6">
        <v>2</v>
      </c>
      <c r="M3" s="52"/>
      <c r="N3" s="52">
        <v>660</v>
      </c>
      <c r="O3" s="52">
        <v>14</v>
      </c>
      <c r="P3" s="52">
        <v>97</v>
      </c>
      <c r="Q3" s="52">
        <v>32</v>
      </c>
      <c r="R3" s="52">
        <v>55</v>
      </c>
      <c r="S3" s="52">
        <v>179</v>
      </c>
      <c r="T3" s="52">
        <v>19</v>
      </c>
      <c r="U3" s="69"/>
      <c r="V3" s="70">
        <f t="shared" ref="V3:V33" si="3">N3*0.5+O3+P3+Q3+R3+S3+T3*5</f>
        <v>802</v>
      </c>
      <c r="W3" s="6"/>
      <c r="X3" s="6">
        <v>9101</v>
      </c>
      <c r="Y3" s="21">
        <f t="shared" ref="Y3:Y33" si="4">IF(C3="SSR",30,IF(C3="SR",10,IF(C3="R",5)))</f>
        <v>30</v>
      </c>
      <c r="Z3" s="6" t="str">
        <f t="shared" ref="Z3:Z33" si="5">IF(C3="SSR",IF(P3&gt;O3,"901","900"),IF(C3="SR",IF(P3&gt;O3,"902","903" ),IF(C3="R",IF(P3&gt;O3,"904","905" ))))</f>
        <v>901</v>
      </c>
      <c r="AA3" s="6">
        <v>900</v>
      </c>
      <c r="AB3" s="6">
        <f>J3+1000</f>
        <v>211001</v>
      </c>
      <c r="AC3" s="6">
        <f>AB3+1000</f>
        <v>212001</v>
      </c>
      <c r="AD3" s="6">
        <f>AC3+1000</f>
        <v>213001</v>
      </c>
      <c r="AE3" s="6">
        <f>AD3+1000</f>
        <v>214001</v>
      </c>
      <c r="AF3" s="6">
        <f>AE3+1000</f>
        <v>215001</v>
      </c>
      <c r="AG3" s="6">
        <f>K3+1000</f>
        <v>311001</v>
      </c>
      <c r="AH3" s="6">
        <f>AG3+1000</f>
        <v>312001</v>
      </c>
      <c r="AI3" s="6">
        <f>AH3+1000</f>
        <v>313001</v>
      </c>
      <c r="AJ3" s="6">
        <f>AI3+1000</f>
        <v>314001</v>
      </c>
      <c r="AK3" s="6">
        <f>AJ3+1000</f>
        <v>315001</v>
      </c>
    </row>
    <row r="4" spans="1:37" ht="16.5" customHeight="1">
      <c r="A4" s="52">
        <f t="shared" ref="A4:A9" si="6">A3+1</f>
        <v>10002</v>
      </c>
      <c r="B4" s="27" t="s">
        <v>301</v>
      </c>
      <c r="C4" s="52" t="s">
        <v>75</v>
      </c>
      <c r="D4" s="52" t="s">
        <v>1457</v>
      </c>
      <c r="E4" s="52"/>
      <c r="F4" s="68" t="str">
        <f t="shared" si="0"/>
        <v>1,1</v>
      </c>
      <c r="G4" s="31" t="str">
        <f>"56,58,17,13,2,23,24"</f>
        <v>56,58,17,13,2,23,24</v>
      </c>
      <c r="H4" s="52"/>
      <c r="I4" s="137">
        <v>110011</v>
      </c>
      <c r="J4" s="137">
        <f t="shared" si="1"/>
        <v>210002</v>
      </c>
      <c r="K4" s="137">
        <f t="shared" si="2"/>
        <v>310002</v>
      </c>
      <c r="L4" s="6">
        <v>1</v>
      </c>
      <c r="M4" s="52"/>
      <c r="N4" s="52">
        <v>700</v>
      </c>
      <c r="O4" s="52">
        <v>16</v>
      </c>
      <c r="P4" s="52">
        <v>85</v>
      </c>
      <c r="Q4" s="52">
        <v>37</v>
      </c>
      <c r="R4" s="52">
        <v>65</v>
      </c>
      <c r="S4" s="52">
        <v>248</v>
      </c>
      <c r="T4" s="52">
        <v>17</v>
      </c>
      <c r="U4" s="69"/>
      <c r="V4" s="70">
        <f t="shared" si="3"/>
        <v>886</v>
      </c>
      <c r="W4" s="6"/>
      <c r="X4" s="6">
        <v>9102</v>
      </c>
      <c r="Y4" s="21">
        <f t="shared" si="4"/>
        <v>30</v>
      </c>
      <c r="Z4" s="6" t="str">
        <f t="shared" si="5"/>
        <v>901</v>
      </c>
      <c r="AA4" s="6">
        <v>900</v>
      </c>
      <c r="AB4" s="6">
        <f t="shared" ref="AB4:AB14" si="7">AB3+1</f>
        <v>211002</v>
      </c>
      <c r="AC4" s="6">
        <f t="shared" ref="AC4:AC14" si="8">AC3+1</f>
        <v>212002</v>
      </c>
      <c r="AD4" s="6">
        <f t="shared" ref="AD4:AD14" si="9">AD3+1</f>
        <v>213002</v>
      </c>
      <c r="AE4" s="6">
        <f t="shared" ref="AE4:AE14" si="10">AE3+1</f>
        <v>214002</v>
      </c>
      <c r="AF4" s="6">
        <f t="shared" ref="AF4:AF14" si="11">AF3+1</f>
        <v>215002</v>
      </c>
      <c r="AG4" s="6">
        <f t="shared" ref="AG4:AG14" si="12">AG3+1</f>
        <v>311002</v>
      </c>
      <c r="AH4" s="6">
        <f t="shared" ref="AH4:AH14" si="13">AH3+1</f>
        <v>312002</v>
      </c>
      <c r="AI4" s="6">
        <f t="shared" ref="AI4:AI14" si="14">AI3+1</f>
        <v>313002</v>
      </c>
      <c r="AJ4" s="6">
        <f t="shared" ref="AJ4:AJ14" si="15">AJ3+1</f>
        <v>314002</v>
      </c>
      <c r="AK4" s="6">
        <f t="shared" ref="AK4:AK14" si="16">AK3+1</f>
        <v>315002</v>
      </c>
    </row>
    <row r="5" spans="1:37" ht="16.5" customHeight="1">
      <c r="A5" s="52">
        <f t="shared" si="6"/>
        <v>10003</v>
      </c>
      <c r="B5" s="27" t="s">
        <v>319</v>
      </c>
      <c r="C5" s="52" t="s">
        <v>75</v>
      </c>
      <c r="D5" s="52" t="s">
        <v>1457</v>
      </c>
      <c r="E5" s="52"/>
      <c r="F5" s="68" t="str">
        <f t="shared" si="0"/>
        <v>1,1</v>
      </c>
      <c r="G5" s="31" t="str">
        <f>"56,58,14,8,25,26"</f>
        <v>56,58,14,8,25,26</v>
      </c>
      <c r="H5" s="52"/>
      <c r="I5" s="137">
        <v>110011</v>
      </c>
      <c r="J5" s="137">
        <f t="shared" si="1"/>
        <v>210003</v>
      </c>
      <c r="K5" s="137">
        <f t="shared" si="2"/>
        <v>310003</v>
      </c>
      <c r="L5" s="6">
        <v>1</v>
      </c>
      <c r="M5" s="52"/>
      <c r="N5" s="52">
        <v>750</v>
      </c>
      <c r="O5" s="52">
        <v>22</v>
      </c>
      <c r="P5" s="52">
        <v>81</v>
      </c>
      <c r="Q5" s="52">
        <v>44</v>
      </c>
      <c r="R5" s="52">
        <v>43</v>
      </c>
      <c r="S5" s="52">
        <v>126</v>
      </c>
      <c r="T5" s="52">
        <v>16</v>
      </c>
      <c r="U5" s="69"/>
      <c r="V5" s="70">
        <f t="shared" si="3"/>
        <v>771</v>
      </c>
      <c r="W5" s="6"/>
      <c r="X5" s="6">
        <v>9103</v>
      </c>
      <c r="Y5" s="21">
        <f t="shared" si="4"/>
        <v>30</v>
      </c>
      <c r="Z5" s="6" t="str">
        <f t="shared" si="5"/>
        <v>901</v>
      </c>
      <c r="AA5" s="6">
        <v>900</v>
      </c>
      <c r="AB5" s="6">
        <f t="shared" si="7"/>
        <v>211003</v>
      </c>
      <c r="AC5" s="6">
        <f t="shared" si="8"/>
        <v>212003</v>
      </c>
      <c r="AD5" s="6">
        <f t="shared" si="9"/>
        <v>213003</v>
      </c>
      <c r="AE5" s="6">
        <f t="shared" si="10"/>
        <v>214003</v>
      </c>
      <c r="AF5" s="6">
        <f t="shared" si="11"/>
        <v>215003</v>
      </c>
      <c r="AG5" s="6">
        <f t="shared" si="12"/>
        <v>311003</v>
      </c>
      <c r="AH5" s="6">
        <f t="shared" si="13"/>
        <v>312003</v>
      </c>
      <c r="AI5" s="6">
        <f t="shared" si="14"/>
        <v>313003</v>
      </c>
      <c r="AJ5" s="6">
        <f t="shared" si="15"/>
        <v>314003</v>
      </c>
      <c r="AK5" s="6">
        <f t="shared" si="16"/>
        <v>315003</v>
      </c>
    </row>
    <row r="6" spans="1:37" ht="16.5" customHeight="1">
      <c r="A6" s="52">
        <f t="shared" si="6"/>
        <v>10004</v>
      </c>
      <c r="B6" s="27" t="s">
        <v>1458</v>
      </c>
      <c r="C6" s="52" t="s">
        <v>75</v>
      </c>
      <c r="D6" s="52" t="s">
        <v>1457</v>
      </c>
      <c r="E6" s="52"/>
      <c r="F6" s="68" t="str">
        <f t="shared" si="0"/>
        <v>1,1</v>
      </c>
      <c r="G6" s="31" t="s">
        <v>1459</v>
      </c>
      <c r="H6" s="52"/>
      <c r="I6" s="137">
        <v>110002</v>
      </c>
      <c r="J6" s="137">
        <f t="shared" si="1"/>
        <v>210004</v>
      </c>
      <c r="K6" s="137">
        <f t="shared" si="2"/>
        <v>310004</v>
      </c>
      <c r="L6" s="6">
        <v>3</v>
      </c>
      <c r="M6" s="52"/>
      <c r="N6" s="52">
        <v>680</v>
      </c>
      <c r="O6" s="52">
        <v>91</v>
      </c>
      <c r="P6" s="52">
        <v>12</v>
      </c>
      <c r="Q6" s="52">
        <v>58</v>
      </c>
      <c r="R6" s="52">
        <v>40</v>
      </c>
      <c r="S6" s="52">
        <v>124</v>
      </c>
      <c r="T6" s="52">
        <v>15</v>
      </c>
      <c r="U6" s="69"/>
      <c r="V6" s="70">
        <f t="shared" si="3"/>
        <v>740</v>
      </c>
      <c r="W6" s="6"/>
      <c r="X6" s="6">
        <v>9104</v>
      </c>
      <c r="Y6" s="21">
        <f t="shared" si="4"/>
        <v>30</v>
      </c>
      <c r="Z6" s="6" t="str">
        <f t="shared" si="5"/>
        <v>900</v>
      </c>
      <c r="AA6" s="6">
        <v>900</v>
      </c>
      <c r="AB6" s="6">
        <f t="shared" si="7"/>
        <v>211004</v>
      </c>
      <c r="AC6" s="6">
        <f t="shared" si="8"/>
        <v>212004</v>
      </c>
      <c r="AD6" s="6">
        <f t="shared" si="9"/>
        <v>213004</v>
      </c>
      <c r="AE6" s="6">
        <f t="shared" si="10"/>
        <v>214004</v>
      </c>
      <c r="AF6" s="6">
        <f t="shared" si="11"/>
        <v>215004</v>
      </c>
      <c r="AG6" s="6">
        <f t="shared" si="12"/>
        <v>311004</v>
      </c>
      <c r="AH6" s="6">
        <f t="shared" si="13"/>
        <v>312004</v>
      </c>
      <c r="AI6" s="6">
        <f t="shared" si="14"/>
        <v>313004</v>
      </c>
      <c r="AJ6" s="6">
        <f t="shared" si="15"/>
        <v>314004</v>
      </c>
      <c r="AK6" s="6">
        <f t="shared" si="16"/>
        <v>315004</v>
      </c>
    </row>
    <row r="7" spans="1:37" ht="16.5" customHeight="1">
      <c r="A7" s="52">
        <f t="shared" si="6"/>
        <v>10005</v>
      </c>
      <c r="B7" s="27" t="s">
        <v>352</v>
      </c>
      <c r="C7" s="52" t="s">
        <v>75</v>
      </c>
      <c r="D7" s="52" t="s">
        <v>1457</v>
      </c>
      <c r="E7" s="52"/>
      <c r="F7" s="68" t="str">
        <f t="shared" si="0"/>
        <v>1,1</v>
      </c>
      <c r="G7" s="31" t="str">
        <f>"56,58,12,13,3,1,2"</f>
        <v>56,58,12,13,3,1,2</v>
      </c>
      <c r="H7" s="52"/>
      <c r="I7" s="137">
        <v>110001</v>
      </c>
      <c r="J7" s="137">
        <f t="shared" si="1"/>
        <v>210005</v>
      </c>
      <c r="K7" s="137">
        <f t="shared" si="2"/>
        <v>310005</v>
      </c>
      <c r="L7" s="6">
        <v>2</v>
      </c>
      <c r="M7" s="52"/>
      <c r="N7" s="52">
        <v>690</v>
      </c>
      <c r="O7" s="52">
        <v>88</v>
      </c>
      <c r="P7" s="52">
        <v>21</v>
      </c>
      <c r="Q7" s="52">
        <v>62</v>
      </c>
      <c r="R7" s="52">
        <v>49</v>
      </c>
      <c r="S7" s="52">
        <v>126</v>
      </c>
      <c r="T7" s="52">
        <v>17</v>
      </c>
      <c r="U7" s="69"/>
      <c r="V7" s="70">
        <f t="shared" si="3"/>
        <v>776</v>
      </c>
      <c r="W7" s="6"/>
      <c r="X7" s="6">
        <v>9105</v>
      </c>
      <c r="Y7" s="21">
        <f t="shared" si="4"/>
        <v>30</v>
      </c>
      <c r="Z7" s="6" t="str">
        <f t="shared" si="5"/>
        <v>900</v>
      </c>
      <c r="AA7" s="6">
        <v>900</v>
      </c>
      <c r="AB7" s="6">
        <f t="shared" si="7"/>
        <v>211005</v>
      </c>
      <c r="AC7" s="6">
        <f t="shared" si="8"/>
        <v>212005</v>
      </c>
      <c r="AD7" s="6">
        <f t="shared" si="9"/>
        <v>213005</v>
      </c>
      <c r="AE7" s="6">
        <f t="shared" si="10"/>
        <v>214005</v>
      </c>
      <c r="AF7" s="6">
        <f t="shared" si="11"/>
        <v>215005</v>
      </c>
      <c r="AG7" s="6">
        <f t="shared" si="12"/>
        <v>311005</v>
      </c>
      <c r="AH7" s="6">
        <f t="shared" si="13"/>
        <v>312005</v>
      </c>
      <c r="AI7" s="6">
        <f t="shared" si="14"/>
        <v>313005</v>
      </c>
      <c r="AJ7" s="6">
        <f t="shared" si="15"/>
        <v>314005</v>
      </c>
      <c r="AK7" s="6">
        <f t="shared" si="16"/>
        <v>315005</v>
      </c>
    </row>
    <row r="8" spans="1:37" ht="16.5" customHeight="1">
      <c r="A8" s="52">
        <f t="shared" si="6"/>
        <v>10006</v>
      </c>
      <c r="B8" s="27" t="s">
        <v>368</v>
      </c>
      <c r="C8" s="52" t="s">
        <v>75</v>
      </c>
      <c r="D8" s="52" t="s">
        <v>1457</v>
      </c>
      <c r="E8" s="52"/>
      <c r="F8" s="68" t="str">
        <f t="shared" si="0"/>
        <v>1,1</v>
      </c>
      <c r="G8" s="31" t="str">
        <f>"56,58,18,5,8,15"</f>
        <v>56,58,18,5,8,15</v>
      </c>
      <c r="H8" s="52"/>
      <c r="I8" s="137">
        <v>110012</v>
      </c>
      <c r="J8" s="137">
        <f t="shared" si="1"/>
        <v>210006</v>
      </c>
      <c r="K8" s="137">
        <f t="shared" si="2"/>
        <v>310006</v>
      </c>
      <c r="L8" s="6">
        <v>1</v>
      </c>
      <c r="M8" s="52"/>
      <c r="N8" s="52">
        <v>930</v>
      </c>
      <c r="O8" s="52">
        <v>13</v>
      </c>
      <c r="P8" s="52">
        <v>59</v>
      </c>
      <c r="Q8" s="52">
        <v>59</v>
      </c>
      <c r="R8" s="52">
        <v>75</v>
      </c>
      <c r="S8" s="52">
        <v>231</v>
      </c>
      <c r="T8" s="52">
        <v>13</v>
      </c>
      <c r="U8" s="69"/>
      <c r="V8" s="70">
        <f t="shared" si="3"/>
        <v>967</v>
      </c>
      <c r="W8" s="6"/>
      <c r="X8" s="6">
        <v>9106</v>
      </c>
      <c r="Y8" s="21">
        <f t="shared" si="4"/>
        <v>30</v>
      </c>
      <c r="Z8" s="6" t="str">
        <f t="shared" si="5"/>
        <v>901</v>
      </c>
      <c r="AA8" s="6">
        <v>900</v>
      </c>
      <c r="AB8" s="6">
        <f t="shared" si="7"/>
        <v>211006</v>
      </c>
      <c r="AC8" s="6">
        <f t="shared" si="8"/>
        <v>212006</v>
      </c>
      <c r="AD8" s="6">
        <f t="shared" si="9"/>
        <v>213006</v>
      </c>
      <c r="AE8" s="6">
        <f t="shared" si="10"/>
        <v>214006</v>
      </c>
      <c r="AF8" s="6">
        <f t="shared" si="11"/>
        <v>215006</v>
      </c>
      <c r="AG8" s="6">
        <f t="shared" si="12"/>
        <v>311006</v>
      </c>
      <c r="AH8" s="6">
        <f t="shared" si="13"/>
        <v>312006</v>
      </c>
      <c r="AI8" s="6">
        <f t="shared" si="14"/>
        <v>313006</v>
      </c>
      <c r="AJ8" s="6">
        <f t="shared" si="15"/>
        <v>314006</v>
      </c>
      <c r="AK8" s="6">
        <f t="shared" si="16"/>
        <v>315006</v>
      </c>
    </row>
    <row r="9" spans="1:37" ht="16.5" customHeight="1">
      <c r="A9" s="52">
        <f t="shared" si="6"/>
        <v>10007</v>
      </c>
      <c r="B9" s="27" t="s">
        <v>385</v>
      </c>
      <c r="C9" s="52" t="s">
        <v>75</v>
      </c>
      <c r="D9" s="52" t="s">
        <v>1457</v>
      </c>
      <c r="E9" s="52"/>
      <c r="F9" s="68" t="str">
        <f t="shared" si="0"/>
        <v>1,1</v>
      </c>
      <c r="G9" s="31" t="str">
        <f>"58,12,11,20,1"</f>
        <v>58,12,11,20,1</v>
      </c>
      <c r="H9" s="52"/>
      <c r="I9" s="137">
        <v>110011</v>
      </c>
      <c r="J9" s="137">
        <f t="shared" si="1"/>
        <v>210007</v>
      </c>
      <c r="K9" s="137">
        <f t="shared" si="2"/>
        <v>310007</v>
      </c>
      <c r="L9" s="6">
        <v>3</v>
      </c>
      <c r="M9" s="52"/>
      <c r="N9" s="52">
        <v>820</v>
      </c>
      <c r="O9" s="52">
        <v>71</v>
      </c>
      <c r="P9" s="52">
        <v>22</v>
      </c>
      <c r="Q9" s="52">
        <v>66</v>
      </c>
      <c r="R9" s="52">
        <v>55</v>
      </c>
      <c r="S9" s="52">
        <v>199</v>
      </c>
      <c r="T9" s="52">
        <v>13</v>
      </c>
      <c r="U9" s="69"/>
      <c r="V9" s="70">
        <f t="shared" si="3"/>
        <v>888</v>
      </c>
      <c r="W9" s="6"/>
      <c r="X9" s="6">
        <v>9107</v>
      </c>
      <c r="Y9" s="21">
        <f t="shared" si="4"/>
        <v>30</v>
      </c>
      <c r="Z9" s="6" t="str">
        <f t="shared" si="5"/>
        <v>900</v>
      </c>
      <c r="AA9" s="6">
        <v>900</v>
      </c>
      <c r="AB9" s="6">
        <f t="shared" si="7"/>
        <v>211007</v>
      </c>
      <c r="AC9" s="6">
        <f t="shared" si="8"/>
        <v>212007</v>
      </c>
      <c r="AD9" s="6">
        <f t="shared" si="9"/>
        <v>213007</v>
      </c>
      <c r="AE9" s="6">
        <f t="shared" si="10"/>
        <v>214007</v>
      </c>
      <c r="AF9" s="6">
        <f t="shared" si="11"/>
        <v>215007</v>
      </c>
      <c r="AG9" s="6">
        <f t="shared" si="12"/>
        <v>311007</v>
      </c>
      <c r="AH9" s="6">
        <f t="shared" si="13"/>
        <v>312007</v>
      </c>
      <c r="AI9" s="6">
        <f t="shared" si="14"/>
        <v>313007</v>
      </c>
      <c r="AJ9" s="6">
        <f t="shared" si="15"/>
        <v>314007</v>
      </c>
      <c r="AK9" s="6">
        <f t="shared" si="16"/>
        <v>315007</v>
      </c>
    </row>
    <row r="10" spans="1:37" ht="16.5" customHeight="1">
      <c r="A10" s="52">
        <v>10008</v>
      </c>
      <c r="B10" s="27" t="s">
        <v>401</v>
      </c>
      <c r="C10" s="52" t="s">
        <v>75</v>
      </c>
      <c r="D10" s="52" t="s">
        <v>1457</v>
      </c>
      <c r="E10" s="52"/>
      <c r="F10" s="68" t="str">
        <f t="shared" si="0"/>
        <v>1,1</v>
      </c>
      <c r="G10" s="31" t="s">
        <v>1460</v>
      </c>
      <c r="H10" s="52"/>
      <c r="I10" s="137">
        <v>110012</v>
      </c>
      <c r="J10" s="137">
        <v>210008</v>
      </c>
      <c r="K10" s="137">
        <v>310008</v>
      </c>
      <c r="L10" s="55">
        <v>3</v>
      </c>
      <c r="M10" s="52"/>
      <c r="N10" s="52">
        <v>640</v>
      </c>
      <c r="O10" s="52">
        <v>19</v>
      </c>
      <c r="P10" s="52">
        <v>89</v>
      </c>
      <c r="Q10" s="52">
        <v>41</v>
      </c>
      <c r="R10" s="52">
        <v>55</v>
      </c>
      <c r="S10" s="52">
        <v>242</v>
      </c>
      <c r="T10" s="52">
        <v>14</v>
      </c>
      <c r="U10" s="69"/>
      <c r="V10" s="70">
        <f t="shared" si="3"/>
        <v>836</v>
      </c>
      <c r="W10" s="6"/>
      <c r="X10" s="6">
        <v>9108</v>
      </c>
      <c r="Y10" s="21">
        <f t="shared" si="4"/>
        <v>30</v>
      </c>
      <c r="Z10" s="6" t="str">
        <f t="shared" si="5"/>
        <v>901</v>
      </c>
      <c r="AA10" s="6">
        <v>900</v>
      </c>
      <c r="AB10" s="6">
        <f t="shared" si="7"/>
        <v>211008</v>
      </c>
      <c r="AC10" s="6">
        <f t="shared" si="8"/>
        <v>212008</v>
      </c>
      <c r="AD10" s="6">
        <f t="shared" si="9"/>
        <v>213008</v>
      </c>
      <c r="AE10" s="6">
        <f t="shared" si="10"/>
        <v>214008</v>
      </c>
      <c r="AF10" s="6">
        <f t="shared" si="11"/>
        <v>215008</v>
      </c>
      <c r="AG10" s="6">
        <f t="shared" si="12"/>
        <v>311008</v>
      </c>
      <c r="AH10" s="6">
        <f t="shared" si="13"/>
        <v>312008</v>
      </c>
      <c r="AI10" s="6">
        <f t="shared" si="14"/>
        <v>313008</v>
      </c>
      <c r="AJ10" s="6">
        <f t="shared" si="15"/>
        <v>314008</v>
      </c>
      <c r="AK10" s="6">
        <f t="shared" si="16"/>
        <v>315008</v>
      </c>
    </row>
    <row r="11" spans="1:37" ht="16.5" customHeight="1">
      <c r="A11" s="52">
        <v>10009</v>
      </c>
      <c r="B11" s="27" t="s">
        <v>415</v>
      </c>
      <c r="C11" s="52" t="s">
        <v>75</v>
      </c>
      <c r="D11" s="52" t="s">
        <v>1457</v>
      </c>
      <c r="E11" s="52"/>
      <c r="F11" s="68" t="str">
        <f t="shared" si="0"/>
        <v>1,1</v>
      </c>
      <c r="G11" s="31" t="str">
        <f>"56,60,18,15,25,26"</f>
        <v>56,60,18,15,25,26</v>
      </c>
      <c r="H11" s="52"/>
      <c r="I11" s="137">
        <v>110001</v>
      </c>
      <c r="J11" s="137">
        <v>210009</v>
      </c>
      <c r="K11" s="137">
        <v>310009</v>
      </c>
      <c r="L11" s="55">
        <v>1</v>
      </c>
      <c r="M11" s="52"/>
      <c r="N11" s="52">
        <v>655</v>
      </c>
      <c r="O11" s="52">
        <v>93</v>
      </c>
      <c r="P11" s="52">
        <v>13</v>
      </c>
      <c r="Q11" s="52">
        <v>58</v>
      </c>
      <c r="R11" s="52">
        <v>40</v>
      </c>
      <c r="S11" s="52">
        <v>155</v>
      </c>
      <c r="T11" s="52">
        <v>19</v>
      </c>
      <c r="U11" s="69"/>
      <c r="V11" s="70">
        <f t="shared" si="3"/>
        <v>781.5</v>
      </c>
      <c r="W11" s="6"/>
      <c r="X11" s="6">
        <v>9109</v>
      </c>
      <c r="Y11" s="21">
        <f t="shared" si="4"/>
        <v>30</v>
      </c>
      <c r="Z11" s="6" t="str">
        <f t="shared" si="5"/>
        <v>900</v>
      </c>
      <c r="AA11" s="6">
        <v>900</v>
      </c>
      <c r="AB11" s="6">
        <f t="shared" si="7"/>
        <v>211009</v>
      </c>
      <c r="AC11" s="6">
        <f t="shared" si="8"/>
        <v>212009</v>
      </c>
      <c r="AD11" s="6">
        <f t="shared" si="9"/>
        <v>213009</v>
      </c>
      <c r="AE11" s="6">
        <f t="shared" si="10"/>
        <v>214009</v>
      </c>
      <c r="AF11" s="6">
        <f t="shared" si="11"/>
        <v>215009</v>
      </c>
      <c r="AG11" s="6">
        <f t="shared" si="12"/>
        <v>311009</v>
      </c>
      <c r="AH11" s="6">
        <f t="shared" si="13"/>
        <v>312009</v>
      </c>
      <c r="AI11" s="6">
        <f t="shared" si="14"/>
        <v>313009</v>
      </c>
      <c r="AJ11" s="6">
        <f t="shared" si="15"/>
        <v>314009</v>
      </c>
      <c r="AK11" s="6">
        <f t="shared" si="16"/>
        <v>315009</v>
      </c>
    </row>
    <row r="12" spans="1:37" ht="16.5" customHeight="1">
      <c r="A12" s="52">
        <v>10010</v>
      </c>
      <c r="B12" s="27" t="s">
        <v>429</v>
      </c>
      <c r="C12" s="52" t="s">
        <v>75</v>
      </c>
      <c r="D12" s="52" t="s">
        <v>1457</v>
      </c>
      <c r="E12" s="52"/>
      <c r="F12" s="68" t="str">
        <f t="shared" si="0"/>
        <v>1,1</v>
      </c>
      <c r="G12" s="31" t="s">
        <v>1461</v>
      </c>
      <c r="H12" s="52"/>
      <c r="I12" s="137">
        <v>110001</v>
      </c>
      <c r="J12" s="137">
        <v>210010</v>
      </c>
      <c r="K12" s="137">
        <v>310010</v>
      </c>
      <c r="L12" s="55">
        <v>2</v>
      </c>
      <c r="M12" s="52"/>
      <c r="N12" s="52">
        <v>680</v>
      </c>
      <c r="O12" s="52">
        <v>87</v>
      </c>
      <c r="P12" s="52">
        <v>22</v>
      </c>
      <c r="Q12" s="52">
        <v>59</v>
      </c>
      <c r="R12" s="52">
        <v>48</v>
      </c>
      <c r="S12" s="52">
        <v>192</v>
      </c>
      <c r="T12" s="52">
        <v>12</v>
      </c>
      <c r="U12" s="69"/>
      <c r="V12" s="70">
        <f t="shared" si="3"/>
        <v>808</v>
      </c>
      <c r="W12" s="6"/>
      <c r="X12" s="6">
        <v>9110</v>
      </c>
      <c r="Y12" s="21">
        <f t="shared" si="4"/>
        <v>30</v>
      </c>
      <c r="Z12" s="6" t="str">
        <f t="shared" si="5"/>
        <v>900</v>
      </c>
      <c r="AA12" s="6">
        <v>900</v>
      </c>
      <c r="AB12" s="6">
        <f t="shared" si="7"/>
        <v>211010</v>
      </c>
      <c r="AC12" s="6">
        <f t="shared" si="8"/>
        <v>212010</v>
      </c>
      <c r="AD12" s="6">
        <f t="shared" si="9"/>
        <v>213010</v>
      </c>
      <c r="AE12" s="6">
        <f t="shared" si="10"/>
        <v>214010</v>
      </c>
      <c r="AF12" s="6">
        <f t="shared" si="11"/>
        <v>215010</v>
      </c>
      <c r="AG12" s="6">
        <f t="shared" si="12"/>
        <v>311010</v>
      </c>
      <c r="AH12" s="6">
        <f t="shared" si="13"/>
        <v>312010</v>
      </c>
      <c r="AI12" s="6">
        <f t="shared" si="14"/>
        <v>313010</v>
      </c>
      <c r="AJ12" s="6">
        <f t="shared" si="15"/>
        <v>314010</v>
      </c>
      <c r="AK12" s="6">
        <f t="shared" si="16"/>
        <v>315010</v>
      </c>
    </row>
    <row r="13" spans="1:37" ht="16.5" customHeight="1">
      <c r="A13" s="52">
        <v>10011</v>
      </c>
      <c r="B13" s="27" t="s">
        <v>444</v>
      </c>
      <c r="C13" s="52" t="s">
        <v>75</v>
      </c>
      <c r="D13" s="52" t="s">
        <v>1457</v>
      </c>
      <c r="E13" s="52"/>
      <c r="F13" s="68" t="str">
        <f t="shared" si="0"/>
        <v>1,1</v>
      </c>
      <c r="G13" s="31" t="s">
        <v>1462</v>
      </c>
      <c r="H13" s="52"/>
      <c r="I13" s="137">
        <v>110001</v>
      </c>
      <c r="J13" s="137">
        <v>210011</v>
      </c>
      <c r="K13" s="137">
        <v>310011</v>
      </c>
      <c r="L13" s="55">
        <v>1</v>
      </c>
      <c r="M13" s="52"/>
      <c r="N13" s="52">
        <v>930</v>
      </c>
      <c r="O13" s="52">
        <v>61</v>
      </c>
      <c r="P13" s="52">
        <v>13</v>
      </c>
      <c r="Q13" s="52">
        <v>77</v>
      </c>
      <c r="R13" s="52">
        <v>57</v>
      </c>
      <c r="S13" s="52">
        <v>120</v>
      </c>
      <c r="T13" s="52">
        <v>11</v>
      </c>
      <c r="U13" s="69">
        <v>3</v>
      </c>
      <c r="V13" s="70">
        <f t="shared" si="3"/>
        <v>848</v>
      </c>
      <c r="W13" s="6"/>
      <c r="X13" s="6">
        <v>9111</v>
      </c>
      <c r="Y13" s="21">
        <f t="shared" si="4"/>
        <v>30</v>
      </c>
      <c r="Z13" s="6" t="str">
        <f t="shared" si="5"/>
        <v>900</v>
      </c>
      <c r="AA13" s="6">
        <v>900</v>
      </c>
      <c r="AB13" s="6">
        <f t="shared" si="7"/>
        <v>211011</v>
      </c>
      <c r="AC13" s="6">
        <f t="shared" si="8"/>
        <v>212011</v>
      </c>
      <c r="AD13" s="6">
        <f t="shared" si="9"/>
        <v>213011</v>
      </c>
      <c r="AE13" s="6">
        <f t="shared" si="10"/>
        <v>214011</v>
      </c>
      <c r="AF13" s="6">
        <f t="shared" si="11"/>
        <v>215011</v>
      </c>
      <c r="AG13" s="6">
        <f t="shared" si="12"/>
        <v>311011</v>
      </c>
      <c r="AH13" s="6">
        <f t="shared" si="13"/>
        <v>312011</v>
      </c>
      <c r="AI13" s="6">
        <f t="shared" si="14"/>
        <v>313011</v>
      </c>
      <c r="AJ13" s="6">
        <f t="shared" si="15"/>
        <v>314011</v>
      </c>
      <c r="AK13" s="6">
        <f t="shared" si="16"/>
        <v>315011</v>
      </c>
    </row>
    <row r="14" spans="1:37" ht="16.5" customHeight="1">
      <c r="A14" s="52">
        <v>10012</v>
      </c>
      <c r="B14" s="27" t="s">
        <v>459</v>
      </c>
      <c r="C14" s="52" t="s">
        <v>75</v>
      </c>
      <c r="D14" s="52" t="s">
        <v>1457</v>
      </c>
      <c r="E14" s="52"/>
      <c r="F14" s="68" t="str">
        <f t="shared" si="0"/>
        <v>1,1</v>
      </c>
      <c r="G14" s="31" t="s">
        <v>1463</v>
      </c>
      <c r="H14" s="52"/>
      <c r="I14" s="137">
        <v>110012</v>
      </c>
      <c r="J14" s="137">
        <v>210012</v>
      </c>
      <c r="K14" s="137">
        <v>310012</v>
      </c>
      <c r="L14" s="55">
        <v>1</v>
      </c>
      <c r="M14" s="52"/>
      <c r="N14" s="52">
        <v>690</v>
      </c>
      <c r="O14" s="52">
        <v>16</v>
      </c>
      <c r="P14" s="52">
        <v>79</v>
      </c>
      <c r="Q14" s="52">
        <v>49</v>
      </c>
      <c r="R14" s="52">
        <v>57</v>
      </c>
      <c r="S14" s="52">
        <v>191</v>
      </c>
      <c r="T14" s="52">
        <v>13</v>
      </c>
      <c r="U14" s="69"/>
      <c r="V14" s="70">
        <f t="shared" si="3"/>
        <v>802</v>
      </c>
      <c r="W14" s="6"/>
      <c r="X14" s="6">
        <v>9112</v>
      </c>
      <c r="Y14" s="21">
        <f t="shared" si="4"/>
        <v>30</v>
      </c>
      <c r="Z14" s="6" t="str">
        <f t="shared" si="5"/>
        <v>901</v>
      </c>
      <c r="AA14" s="6">
        <v>900</v>
      </c>
      <c r="AB14" s="6">
        <f t="shared" si="7"/>
        <v>211012</v>
      </c>
      <c r="AC14" s="6">
        <f t="shared" si="8"/>
        <v>212012</v>
      </c>
      <c r="AD14" s="6">
        <f t="shared" si="9"/>
        <v>213012</v>
      </c>
      <c r="AE14" s="6">
        <f t="shared" si="10"/>
        <v>214012</v>
      </c>
      <c r="AF14" s="6">
        <f t="shared" si="11"/>
        <v>215012</v>
      </c>
      <c r="AG14" s="6">
        <f t="shared" si="12"/>
        <v>311012</v>
      </c>
      <c r="AH14" s="6">
        <f t="shared" si="13"/>
        <v>312012</v>
      </c>
      <c r="AI14" s="6">
        <f t="shared" si="14"/>
        <v>313012</v>
      </c>
      <c r="AJ14" s="6">
        <f t="shared" si="15"/>
        <v>314012</v>
      </c>
      <c r="AK14" s="6">
        <f t="shared" si="16"/>
        <v>315012</v>
      </c>
    </row>
    <row r="15" spans="1:37" ht="16.5" customHeight="1">
      <c r="A15" s="52">
        <v>10013</v>
      </c>
      <c r="B15" s="27" t="s">
        <v>490</v>
      </c>
      <c r="C15" s="52" t="s">
        <v>77</v>
      </c>
      <c r="D15" s="52" t="s">
        <v>1457</v>
      </c>
      <c r="E15" s="52"/>
      <c r="F15" s="68" t="str">
        <f t="shared" si="0"/>
        <v>1,1</v>
      </c>
      <c r="G15" s="31" t="s">
        <v>1464</v>
      </c>
      <c r="H15" s="52"/>
      <c r="I15" s="137">
        <v>110002</v>
      </c>
      <c r="J15" s="137">
        <v>210013</v>
      </c>
      <c r="K15" s="137">
        <v>310013</v>
      </c>
      <c r="L15" s="55">
        <v>2</v>
      </c>
      <c r="M15" s="52"/>
      <c r="N15" s="52">
        <v>555</v>
      </c>
      <c r="O15" s="52">
        <v>70</v>
      </c>
      <c r="P15" s="52">
        <v>17</v>
      </c>
      <c r="Q15" s="52">
        <v>50</v>
      </c>
      <c r="R15" s="52">
        <v>39</v>
      </c>
      <c r="S15" s="52">
        <v>84</v>
      </c>
      <c r="T15" s="52">
        <v>10</v>
      </c>
      <c r="U15" s="69"/>
      <c r="V15" s="70">
        <f t="shared" si="3"/>
        <v>587.5</v>
      </c>
      <c r="W15" s="6"/>
      <c r="X15" s="6">
        <v>9113</v>
      </c>
      <c r="Y15" s="21">
        <f t="shared" si="4"/>
        <v>10</v>
      </c>
      <c r="Z15" s="6" t="str">
        <f t="shared" si="5"/>
        <v>903</v>
      </c>
      <c r="AA15" s="6">
        <v>900</v>
      </c>
      <c r="AB15" s="6">
        <f t="shared" ref="AB15:AB33" si="17">J15</f>
        <v>210013</v>
      </c>
      <c r="AC15" s="6">
        <f t="shared" ref="AC15:AE33" si="18">AB15</f>
        <v>210013</v>
      </c>
      <c r="AD15" s="6">
        <f t="shared" si="18"/>
        <v>210013</v>
      </c>
      <c r="AE15" s="6">
        <f t="shared" si="18"/>
        <v>210013</v>
      </c>
      <c r="AF15" s="6">
        <f t="shared" ref="AF15:AF33" si="19">AD15</f>
        <v>210013</v>
      </c>
      <c r="AG15" s="6">
        <f t="shared" ref="AG15:AG33" si="20">K15</f>
        <v>310013</v>
      </c>
      <c r="AH15" s="6">
        <f t="shared" ref="AH15:AJ33" si="21">AG15</f>
        <v>310013</v>
      </c>
      <c r="AI15" s="6">
        <f t="shared" si="21"/>
        <v>310013</v>
      </c>
      <c r="AJ15" s="6">
        <f t="shared" si="21"/>
        <v>310013</v>
      </c>
      <c r="AK15" s="6">
        <f t="shared" ref="AK15:AK33" si="22">AI15</f>
        <v>310013</v>
      </c>
    </row>
    <row r="16" spans="1:37" ht="16.5" customHeight="1">
      <c r="A16" s="52">
        <v>10014</v>
      </c>
      <c r="B16" s="27" t="s">
        <v>500</v>
      </c>
      <c r="C16" s="52" t="s">
        <v>77</v>
      </c>
      <c r="D16" s="52" t="s">
        <v>1457</v>
      </c>
      <c r="E16" s="52"/>
      <c r="F16" s="68" t="str">
        <f t="shared" si="0"/>
        <v>1,1</v>
      </c>
      <c r="G16" s="31" t="s">
        <v>1465</v>
      </c>
      <c r="H16" s="52"/>
      <c r="I16" s="137">
        <v>110002</v>
      </c>
      <c r="J16" s="137">
        <v>210014</v>
      </c>
      <c r="K16" s="137">
        <v>310014</v>
      </c>
      <c r="L16" s="55">
        <v>3</v>
      </c>
      <c r="M16" s="52"/>
      <c r="N16" s="52">
        <v>570</v>
      </c>
      <c r="O16" s="52">
        <v>68</v>
      </c>
      <c r="P16" s="52">
        <v>16</v>
      </c>
      <c r="Q16" s="52">
        <v>53</v>
      </c>
      <c r="R16" s="52">
        <v>31</v>
      </c>
      <c r="S16" s="52">
        <v>85</v>
      </c>
      <c r="T16" s="52">
        <v>10</v>
      </c>
      <c r="U16" s="69"/>
      <c r="V16" s="70">
        <f t="shared" si="3"/>
        <v>588</v>
      </c>
      <c r="W16" s="6"/>
      <c r="X16" s="6">
        <v>9114</v>
      </c>
      <c r="Y16" s="21">
        <f t="shared" si="4"/>
        <v>10</v>
      </c>
      <c r="Z16" s="6" t="str">
        <f t="shared" si="5"/>
        <v>903</v>
      </c>
      <c r="AA16" s="6">
        <v>900</v>
      </c>
      <c r="AB16" s="6">
        <f t="shared" si="17"/>
        <v>210014</v>
      </c>
      <c r="AC16" s="6">
        <f t="shared" si="18"/>
        <v>210014</v>
      </c>
      <c r="AD16" s="6">
        <f t="shared" si="18"/>
        <v>210014</v>
      </c>
      <c r="AE16" s="6">
        <f t="shared" si="18"/>
        <v>210014</v>
      </c>
      <c r="AF16" s="6">
        <f t="shared" si="19"/>
        <v>210014</v>
      </c>
      <c r="AG16" s="6">
        <f t="shared" si="20"/>
        <v>310014</v>
      </c>
      <c r="AH16" s="6">
        <f t="shared" si="21"/>
        <v>310014</v>
      </c>
      <c r="AI16" s="6">
        <f t="shared" si="21"/>
        <v>310014</v>
      </c>
      <c r="AJ16" s="6">
        <f t="shared" si="21"/>
        <v>310014</v>
      </c>
      <c r="AK16" s="6">
        <f t="shared" si="22"/>
        <v>310014</v>
      </c>
    </row>
    <row r="17" spans="1:37" ht="16.5" customHeight="1">
      <c r="A17" s="52">
        <v>10015</v>
      </c>
      <c r="B17" s="27" t="s">
        <v>508</v>
      </c>
      <c r="C17" s="52" t="s">
        <v>77</v>
      </c>
      <c r="D17" s="52" t="s">
        <v>1457</v>
      </c>
      <c r="E17" s="52"/>
      <c r="F17" s="68" t="str">
        <f t="shared" si="0"/>
        <v>1,1</v>
      </c>
      <c r="G17" s="31" t="s">
        <v>1466</v>
      </c>
      <c r="H17" s="52"/>
      <c r="I17" s="137">
        <v>110011</v>
      </c>
      <c r="J17" s="137">
        <v>210015</v>
      </c>
      <c r="K17" s="137">
        <v>310015</v>
      </c>
      <c r="L17" s="55">
        <v>1</v>
      </c>
      <c r="M17" s="52"/>
      <c r="N17" s="52">
        <v>795</v>
      </c>
      <c r="O17" s="52">
        <v>55</v>
      </c>
      <c r="P17" s="52">
        <v>12</v>
      </c>
      <c r="Q17" s="52">
        <v>69</v>
      </c>
      <c r="R17" s="52">
        <v>51</v>
      </c>
      <c r="S17" s="52">
        <v>167</v>
      </c>
      <c r="T17" s="52">
        <v>9</v>
      </c>
      <c r="U17" s="69"/>
      <c r="V17" s="70">
        <f t="shared" si="3"/>
        <v>796.5</v>
      </c>
      <c r="W17" s="6"/>
      <c r="X17" s="6">
        <v>9115</v>
      </c>
      <c r="Y17" s="21">
        <f t="shared" si="4"/>
        <v>10</v>
      </c>
      <c r="Z17" s="6" t="str">
        <f t="shared" si="5"/>
        <v>903</v>
      </c>
      <c r="AA17" s="6">
        <v>900</v>
      </c>
      <c r="AB17" s="6">
        <f t="shared" si="17"/>
        <v>210015</v>
      </c>
      <c r="AC17" s="6">
        <f t="shared" si="18"/>
        <v>210015</v>
      </c>
      <c r="AD17" s="6">
        <f t="shared" si="18"/>
        <v>210015</v>
      </c>
      <c r="AE17" s="6">
        <f t="shared" si="18"/>
        <v>210015</v>
      </c>
      <c r="AF17" s="6">
        <f t="shared" si="19"/>
        <v>210015</v>
      </c>
      <c r="AG17" s="6">
        <f t="shared" si="20"/>
        <v>310015</v>
      </c>
      <c r="AH17" s="6">
        <f t="shared" si="21"/>
        <v>310015</v>
      </c>
      <c r="AI17" s="6">
        <f t="shared" si="21"/>
        <v>310015</v>
      </c>
      <c r="AJ17" s="6">
        <f t="shared" si="21"/>
        <v>310015</v>
      </c>
      <c r="AK17" s="6">
        <f t="shared" si="22"/>
        <v>310015</v>
      </c>
    </row>
    <row r="18" spans="1:37" ht="16.5" customHeight="1">
      <c r="A18" s="52">
        <v>10016</v>
      </c>
      <c r="B18" s="27" t="s">
        <v>515</v>
      </c>
      <c r="C18" s="52" t="s">
        <v>77</v>
      </c>
      <c r="D18" s="52" t="s">
        <v>1457</v>
      </c>
      <c r="E18" s="52"/>
      <c r="F18" s="68" t="str">
        <f t="shared" si="0"/>
        <v>1,1</v>
      </c>
      <c r="G18" s="31" t="s">
        <v>1467</v>
      </c>
      <c r="H18" s="52"/>
      <c r="I18" s="137">
        <v>110011</v>
      </c>
      <c r="J18" s="137">
        <f t="shared" ref="J18:J33" si="23">J17+1</f>
        <v>210016</v>
      </c>
      <c r="K18" s="137">
        <f t="shared" ref="K18:K33" si="24">K17+1</f>
        <v>310016</v>
      </c>
      <c r="L18" s="55">
        <v>3</v>
      </c>
      <c r="M18" s="52"/>
      <c r="N18" s="52">
        <v>510</v>
      </c>
      <c r="O18" s="52">
        <v>15</v>
      </c>
      <c r="P18" s="52">
        <v>69</v>
      </c>
      <c r="Q18" s="52">
        <v>32</v>
      </c>
      <c r="R18" s="52">
        <v>42</v>
      </c>
      <c r="S18" s="52">
        <v>174</v>
      </c>
      <c r="T18" s="52">
        <v>11</v>
      </c>
      <c r="U18" s="69"/>
      <c r="V18" s="70">
        <f t="shared" si="3"/>
        <v>642</v>
      </c>
      <c r="W18" s="6"/>
      <c r="X18" s="6">
        <v>9116</v>
      </c>
      <c r="Y18" s="21">
        <f t="shared" si="4"/>
        <v>10</v>
      </c>
      <c r="Z18" s="6" t="str">
        <f t="shared" si="5"/>
        <v>902</v>
      </c>
      <c r="AA18" s="6">
        <v>900</v>
      </c>
      <c r="AB18" s="6">
        <f t="shared" si="17"/>
        <v>210016</v>
      </c>
      <c r="AC18" s="6">
        <f t="shared" si="18"/>
        <v>210016</v>
      </c>
      <c r="AD18" s="6">
        <f t="shared" si="18"/>
        <v>210016</v>
      </c>
      <c r="AE18" s="6">
        <f t="shared" si="18"/>
        <v>210016</v>
      </c>
      <c r="AF18" s="6">
        <f t="shared" si="19"/>
        <v>210016</v>
      </c>
      <c r="AG18" s="6">
        <f t="shared" si="20"/>
        <v>310016</v>
      </c>
      <c r="AH18" s="6">
        <f t="shared" si="21"/>
        <v>310016</v>
      </c>
      <c r="AI18" s="6">
        <f t="shared" si="21"/>
        <v>310016</v>
      </c>
      <c r="AJ18" s="6">
        <f t="shared" si="21"/>
        <v>310016</v>
      </c>
      <c r="AK18" s="6">
        <f t="shared" si="22"/>
        <v>310016</v>
      </c>
    </row>
    <row r="19" spans="1:37" ht="16.5" customHeight="1">
      <c r="A19" s="52">
        <v>10017</v>
      </c>
      <c r="B19" s="27" t="s">
        <v>523</v>
      </c>
      <c r="C19" s="52" t="s">
        <v>77</v>
      </c>
      <c r="D19" s="52" t="s">
        <v>1457</v>
      </c>
      <c r="E19" s="52"/>
      <c r="F19" s="68" t="str">
        <f t="shared" si="0"/>
        <v>1,1</v>
      </c>
      <c r="G19" s="31" t="s">
        <v>1468</v>
      </c>
      <c r="H19" s="52"/>
      <c r="I19" s="137">
        <v>110012</v>
      </c>
      <c r="J19" s="137">
        <f t="shared" si="23"/>
        <v>210017</v>
      </c>
      <c r="K19" s="137">
        <f t="shared" si="24"/>
        <v>310017</v>
      </c>
      <c r="L19" s="55">
        <v>3</v>
      </c>
      <c r="M19" s="52"/>
      <c r="N19" s="52">
        <v>615</v>
      </c>
      <c r="O19" s="47">
        <v>12</v>
      </c>
      <c r="P19" s="52">
        <v>66</v>
      </c>
      <c r="Q19" s="52">
        <v>36</v>
      </c>
      <c r="R19" s="52">
        <v>35</v>
      </c>
      <c r="S19" s="52">
        <v>83</v>
      </c>
      <c r="T19" s="52">
        <v>12</v>
      </c>
      <c r="U19" s="69"/>
      <c r="V19" s="70">
        <f t="shared" si="3"/>
        <v>599.5</v>
      </c>
      <c r="W19" s="6"/>
      <c r="X19" s="6">
        <v>9117</v>
      </c>
      <c r="Y19" s="21">
        <f t="shared" si="4"/>
        <v>10</v>
      </c>
      <c r="Z19" s="6" t="str">
        <f t="shared" si="5"/>
        <v>902</v>
      </c>
      <c r="AA19" s="6">
        <v>900</v>
      </c>
      <c r="AB19" s="6">
        <f t="shared" si="17"/>
        <v>210017</v>
      </c>
      <c r="AC19" s="6">
        <f t="shared" si="18"/>
        <v>210017</v>
      </c>
      <c r="AD19" s="6">
        <f t="shared" si="18"/>
        <v>210017</v>
      </c>
      <c r="AE19" s="6">
        <f t="shared" si="18"/>
        <v>210017</v>
      </c>
      <c r="AF19" s="6">
        <f t="shared" si="19"/>
        <v>210017</v>
      </c>
      <c r="AG19" s="6">
        <f t="shared" si="20"/>
        <v>310017</v>
      </c>
      <c r="AH19" s="6">
        <f t="shared" si="21"/>
        <v>310017</v>
      </c>
      <c r="AI19" s="6">
        <f t="shared" si="21"/>
        <v>310017</v>
      </c>
      <c r="AJ19" s="6">
        <f t="shared" si="21"/>
        <v>310017</v>
      </c>
      <c r="AK19" s="6">
        <f t="shared" si="22"/>
        <v>310017</v>
      </c>
    </row>
    <row r="20" spans="1:37" ht="16.5" customHeight="1">
      <c r="A20" s="52">
        <v>10018</v>
      </c>
      <c r="B20" s="27" t="s">
        <v>531</v>
      </c>
      <c r="C20" s="52" t="s">
        <v>77</v>
      </c>
      <c r="D20" s="52" t="s">
        <v>1457</v>
      </c>
      <c r="E20" s="52"/>
      <c r="F20" s="68" t="str">
        <f t="shared" si="0"/>
        <v>1,1</v>
      </c>
      <c r="G20" s="31" t="s">
        <v>1469</v>
      </c>
      <c r="H20" s="52"/>
      <c r="I20" s="137">
        <v>110012</v>
      </c>
      <c r="J20" s="137">
        <f t="shared" si="23"/>
        <v>210018</v>
      </c>
      <c r="K20" s="137">
        <f t="shared" si="24"/>
        <v>310018</v>
      </c>
      <c r="L20" s="55">
        <v>2</v>
      </c>
      <c r="M20" s="52"/>
      <c r="N20" s="52">
        <v>530</v>
      </c>
      <c r="O20" s="52">
        <v>15</v>
      </c>
      <c r="P20" s="52">
        <v>57</v>
      </c>
      <c r="Q20" s="52">
        <v>32</v>
      </c>
      <c r="R20" s="52">
        <v>42</v>
      </c>
      <c r="S20" s="52">
        <v>174</v>
      </c>
      <c r="T20" s="52">
        <v>8</v>
      </c>
      <c r="U20" s="69"/>
      <c r="V20" s="70">
        <f t="shared" si="3"/>
        <v>625</v>
      </c>
      <c r="W20" s="6"/>
      <c r="X20" s="6">
        <v>9118</v>
      </c>
      <c r="Y20" s="21">
        <f t="shared" si="4"/>
        <v>10</v>
      </c>
      <c r="Z20" s="6" t="str">
        <f t="shared" si="5"/>
        <v>902</v>
      </c>
      <c r="AA20" s="6">
        <v>900</v>
      </c>
      <c r="AB20" s="6">
        <f t="shared" si="17"/>
        <v>210018</v>
      </c>
      <c r="AC20" s="6">
        <f t="shared" si="18"/>
        <v>210018</v>
      </c>
      <c r="AD20" s="6">
        <f t="shared" si="18"/>
        <v>210018</v>
      </c>
      <c r="AE20" s="6">
        <f t="shared" si="18"/>
        <v>210018</v>
      </c>
      <c r="AF20" s="6">
        <f t="shared" si="19"/>
        <v>210018</v>
      </c>
      <c r="AG20" s="6">
        <f t="shared" si="20"/>
        <v>310018</v>
      </c>
      <c r="AH20" s="6">
        <f t="shared" si="21"/>
        <v>310018</v>
      </c>
      <c r="AI20" s="6">
        <f t="shared" si="21"/>
        <v>310018</v>
      </c>
      <c r="AJ20" s="6">
        <f t="shared" si="21"/>
        <v>310018</v>
      </c>
      <c r="AK20" s="6">
        <f t="shared" si="22"/>
        <v>310018</v>
      </c>
    </row>
    <row r="21" spans="1:37" ht="16.5" customHeight="1">
      <c r="A21" s="52">
        <v>10019</v>
      </c>
      <c r="B21" s="27" t="s">
        <v>487</v>
      </c>
      <c r="C21" s="52" t="s">
        <v>77</v>
      </c>
      <c r="D21" s="52" t="s">
        <v>1457</v>
      </c>
      <c r="E21" s="52"/>
      <c r="F21" s="68" t="str">
        <f t="shared" si="0"/>
        <v>1,1</v>
      </c>
      <c r="G21" s="31" t="s">
        <v>1470</v>
      </c>
      <c r="H21" s="52"/>
      <c r="I21" s="137">
        <v>110011</v>
      </c>
      <c r="J21" s="137">
        <f t="shared" si="23"/>
        <v>210019</v>
      </c>
      <c r="K21" s="137">
        <f t="shared" si="24"/>
        <v>310019</v>
      </c>
      <c r="L21" s="55">
        <v>1</v>
      </c>
      <c r="M21" s="52"/>
      <c r="N21" s="52">
        <v>565</v>
      </c>
      <c r="O21" s="52">
        <v>18</v>
      </c>
      <c r="P21" s="52">
        <v>61</v>
      </c>
      <c r="Q21" s="52">
        <v>32</v>
      </c>
      <c r="R21" s="52">
        <v>42</v>
      </c>
      <c r="S21" s="52">
        <v>161</v>
      </c>
      <c r="T21" s="52">
        <v>9</v>
      </c>
      <c r="U21" s="69"/>
      <c r="V21" s="70">
        <f t="shared" si="3"/>
        <v>641.5</v>
      </c>
      <c r="W21" s="6"/>
      <c r="X21" s="6">
        <v>9119</v>
      </c>
      <c r="Y21" s="21">
        <f t="shared" si="4"/>
        <v>10</v>
      </c>
      <c r="Z21" s="6" t="str">
        <f t="shared" si="5"/>
        <v>902</v>
      </c>
      <c r="AA21" s="6">
        <v>900</v>
      </c>
      <c r="AB21" s="6">
        <f t="shared" si="17"/>
        <v>210019</v>
      </c>
      <c r="AC21" s="6">
        <f t="shared" si="18"/>
        <v>210019</v>
      </c>
      <c r="AD21" s="6">
        <f t="shared" si="18"/>
        <v>210019</v>
      </c>
      <c r="AE21" s="6">
        <f t="shared" si="18"/>
        <v>210019</v>
      </c>
      <c r="AF21" s="6">
        <f t="shared" si="19"/>
        <v>210019</v>
      </c>
      <c r="AG21" s="6">
        <f t="shared" si="20"/>
        <v>310019</v>
      </c>
      <c r="AH21" s="6">
        <f t="shared" si="21"/>
        <v>310019</v>
      </c>
      <c r="AI21" s="6">
        <f t="shared" si="21"/>
        <v>310019</v>
      </c>
      <c r="AJ21" s="6">
        <f t="shared" si="21"/>
        <v>310019</v>
      </c>
      <c r="AK21" s="6">
        <f t="shared" si="22"/>
        <v>310019</v>
      </c>
    </row>
    <row r="22" spans="1:37" ht="16.5" customHeight="1">
      <c r="A22" s="52">
        <v>10020</v>
      </c>
      <c r="B22" s="27" t="s">
        <v>542</v>
      </c>
      <c r="C22" s="52" t="s">
        <v>77</v>
      </c>
      <c r="D22" s="52" t="s">
        <v>1457</v>
      </c>
      <c r="E22" s="52"/>
      <c r="F22" s="68" t="str">
        <f t="shared" si="0"/>
        <v>1,1</v>
      </c>
      <c r="G22" s="31" t="s">
        <v>1471</v>
      </c>
      <c r="H22" s="52"/>
      <c r="I22" s="137">
        <v>110011</v>
      </c>
      <c r="J22" s="137">
        <f t="shared" si="23"/>
        <v>210020</v>
      </c>
      <c r="K22" s="137">
        <f t="shared" si="24"/>
        <v>310020</v>
      </c>
      <c r="L22" s="55">
        <v>3</v>
      </c>
      <c r="M22" s="52"/>
      <c r="N22" s="52">
        <v>730</v>
      </c>
      <c r="O22" s="52">
        <v>16</v>
      </c>
      <c r="P22" s="52">
        <v>49</v>
      </c>
      <c r="Q22" s="52">
        <v>53</v>
      </c>
      <c r="R22" s="52">
        <v>57</v>
      </c>
      <c r="S22" s="52">
        <v>153</v>
      </c>
      <c r="T22" s="52">
        <v>9</v>
      </c>
      <c r="U22" s="69"/>
      <c r="V22" s="70">
        <f t="shared" si="3"/>
        <v>738</v>
      </c>
      <c r="W22" s="6"/>
      <c r="X22" s="6">
        <v>9120</v>
      </c>
      <c r="Y22" s="21">
        <f t="shared" si="4"/>
        <v>10</v>
      </c>
      <c r="Z22" s="6" t="str">
        <f t="shared" si="5"/>
        <v>902</v>
      </c>
      <c r="AA22" s="6">
        <v>900</v>
      </c>
      <c r="AB22" s="6">
        <f t="shared" si="17"/>
        <v>210020</v>
      </c>
      <c r="AC22" s="6">
        <f t="shared" si="18"/>
        <v>210020</v>
      </c>
      <c r="AD22" s="6">
        <f t="shared" si="18"/>
        <v>210020</v>
      </c>
      <c r="AE22" s="6">
        <f t="shared" si="18"/>
        <v>210020</v>
      </c>
      <c r="AF22" s="6">
        <f t="shared" si="19"/>
        <v>210020</v>
      </c>
      <c r="AG22" s="6">
        <f t="shared" si="20"/>
        <v>310020</v>
      </c>
      <c r="AH22" s="6">
        <f t="shared" si="21"/>
        <v>310020</v>
      </c>
      <c r="AI22" s="6">
        <f t="shared" si="21"/>
        <v>310020</v>
      </c>
      <c r="AJ22" s="6">
        <f t="shared" si="21"/>
        <v>310020</v>
      </c>
      <c r="AK22" s="6">
        <f t="shared" si="22"/>
        <v>310020</v>
      </c>
    </row>
    <row r="23" spans="1:37" ht="16.5" customHeight="1">
      <c r="A23" s="52">
        <v>10021</v>
      </c>
      <c r="B23" s="27" t="s">
        <v>550</v>
      </c>
      <c r="C23" s="52" t="s">
        <v>77</v>
      </c>
      <c r="D23" s="52" t="s">
        <v>1457</v>
      </c>
      <c r="E23" s="52"/>
      <c r="F23" s="68" t="str">
        <f t="shared" si="0"/>
        <v>1,1</v>
      </c>
      <c r="G23" s="31" t="s">
        <v>1472</v>
      </c>
      <c r="H23" s="52"/>
      <c r="I23" s="137">
        <v>110002</v>
      </c>
      <c r="J23" s="137">
        <f t="shared" si="23"/>
        <v>210021</v>
      </c>
      <c r="K23" s="137">
        <f t="shared" si="24"/>
        <v>310021</v>
      </c>
      <c r="L23" s="55">
        <v>1</v>
      </c>
      <c r="M23" s="52"/>
      <c r="N23" s="52">
        <v>590</v>
      </c>
      <c r="O23" s="52">
        <v>57</v>
      </c>
      <c r="P23" s="52">
        <v>12</v>
      </c>
      <c r="Q23" s="52">
        <v>42</v>
      </c>
      <c r="R23" s="52">
        <v>27</v>
      </c>
      <c r="S23" s="52">
        <v>87</v>
      </c>
      <c r="T23" s="52">
        <v>10</v>
      </c>
      <c r="U23" s="69"/>
      <c r="V23" s="70">
        <f t="shared" si="3"/>
        <v>570</v>
      </c>
      <c r="W23" s="6"/>
      <c r="X23" s="6">
        <v>9121</v>
      </c>
      <c r="Y23" s="21">
        <f t="shared" si="4"/>
        <v>10</v>
      </c>
      <c r="Z23" s="6" t="str">
        <f t="shared" si="5"/>
        <v>903</v>
      </c>
      <c r="AA23" s="6">
        <v>900</v>
      </c>
      <c r="AB23" s="6">
        <f t="shared" si="17"/>
        <v>210021</v>
      </c>
      <c r="AC23" s="6">
        <f t="shared" si="18"/>
        <v>210021</v>
      </c>
      <c r="AD23" s="6">
        <f t="shared" si="18"/>
        <v>210021</v>
      </c>
      <c r="AE23" s="6">
        <f t="shared" si="18"/>
        <v>210021</v>
      </c>
      <c r="AF23" s="6">
        <f t="shared" si="19"/>
        <v>210021</v>
      </c>
      <c r="AG23" s="6">
        <f t="shared" si="20"/>
        <v>310021</v>
      </c>
      <c r="AH23" s="6">
        <f t="shared" si="21"/>
        <v>310021</v>
      </c>
      <c r="AI23" s="6">
        <f t="shared" si="21"/>
        <v>310021</v>
      </c>
      <c r="AJ23" s="6">
        <f t="shared" si="21"/>
        <v>310021</v>
      </c>
      <c r="AK23" s="6">
        <f t="shared" si="22"/>
        <v>310021</v>
      </c>
    </row>
    <row r="24" spans="1:37" ht="16.5" customHeight="1">
      <c r="A24" s="52">
        <v>10022</v>
      </c>
      <c r="B24" s="27" t="s">
        <v>567</v>
      </c>
      <c r="C24" s="52" t="s">
        <v>79</v>
      </c>
      <c r="D24" s="52" t="s">
        <v>1457</v>
      </c>
      <c r="E24" s="52"/>
      <c r="F24" s="68" t="str">
        <f t="shared" si="0"/>
        <v>1,1</v>
      </c>
      <c r="G24" s="31" t="s">
        <v>1473</v>
      </c>
      <c r="H24" s="52"/>
      <c r="I24" s="137">
        <v>110001</v>
      </c>
      <c r="J24" s="137">
        <f t="shared" si="23"/>
        <v>210022</v>
      </c>
      <c r="K24" s="137">
        <f t="shared" si="24"/>
        <v>310022</v>
      </c>
      <c r="L24" s="55">
        <v>2</v>
      </c>
      <c r="M24" s="52"/>
      <c r="N24" s="52">
        <v>500</v>
      </c>
      <c r="O24" s="52">
        <v>48</v>
      </c>
      <c r="P24" s="52">
        <v>10</v>
      </c>
      <c r="Q24" s="52">
        <v>36</v>
      </c>
      <c r="R24" s="52">
        <v>23</v>
      </c>
      <c r="S24" s="52">
        <v>48</v>
      </c>
      <c r="T24" s="52">
        <v>8</v>
      </c>
      <c r="U24" s="69"/>
      <c r="V24" s="70">
        <f t="shared" si="3"/>
        <v>455</v>
      </c>
      <c r="W24" s="6"/>
      <c r="X24" s="6">
        <v>9122</v>
      </c>
      <c r="Y24" s="21">
        <f t="shared" si="4"/>
        <v>5</v>
      </c>
      <c r="Z24" s="6" t="str">
        <f t="shared" si="5"/>
        <v>905</v>
      </c>
      <c r="AA24" s="6">
        <v>900</v>
      </c>
      <c r="AB24" s="6">
        <f t="shared" si="17"/>
        <v>210022</v>
      </c>
      <c r="AC24" s="6">
        <f t="shared" si="18"/>
        <v>210022</v>
      </c>
      <c r="AD24" s="6">
        <f t="shared" si="18"/>
        <v>210022</v>
      </c>
      <c r="AE24" s="6">
        <f t="shared" si="18"/>
        <v>210022</v>
      </c>
      <c r="AF24" s="6">
        <f t="shared" si="19"/>
        <v>210022</v>
      </c>
      <c r="AG24" s="6">
        <f t="shared" si="20"/>
        <v>310022</v>
      </c>
      <c r="AH24" s="6">
        <f t="shared" si="21"/>
        <v>310022</v>
      </c>
      <c r="AI24" s="6">
        <f t="shared" si="21"/>
        <v>310022</v>
      </c>
      <c r="AJ24" s="6">
        <f t="shared" si="21"/>
        <v>310022</v>
      </c>
      <c r="AK24" s="6">
        <f t="shared" si="22"/>
        <v>310022</v>
      </c>
    </row>
    <row r="25" spans="1:37" ht="16.5" customHeight="1">
      <c r="A25" s="52">
        <v>10023</v>
      </c>
      <c r="B25" s="27" t="s">
        <v>573</v>
      </c>
      <c r="C25" s="52" t="s">
        <v>79</v>
      </c>
      <c r="D25" s="52" t="s">
        <v>1457</v>
      </c>
      <c r="E25" s="52"/>
      <c r="F25" s="68" t="str">
        <f t="shared" si="0"/>
        <v>1,1</v>
      </c>
      <c r="G25" s="31" t="s">
        <v>1474</v>
      </c>
      <c r="H25" s="52"/>
      <c r="I25" s="137">
        <v>110002</v>
      </c>
      <c r="J25" s="137">
        <f t="shared" si="23"/>
        <v>210023</v>
      </c>
      <c r="K25" s="137">
        <f t="shared" si="24"/>
        <v>310023</v>
      </c>
      <c r="L25" s="55">
        <v>1</v>
      </c>
      <c r="M25" s="52"/>
      <c r="N25" s="52">
        <v>480</v>
      </c>
      <c r="O25" s="52">
        <v>51</v>
      </c>
      <c r="P25" s="52">
        <v>12</v>
      </c>
      <c r="Q25" s="52">
        <v>33</v>
      </c>
      <c r="R25" s="52">
        <v>27</v>
      </c>
      <c r="S25" s="52">
        <v>54</v>
      </c>
      <c r="T25" s="52">
        <v>9</v>
      </c>
      <c r="U25" s="69"/>
      <c r="V25" s="70">
        <f t="shared" si="3"/>
        <v>462</v>
      </c>
      <c r="W25" s="6"/>
      <c r="X25" s="6">
        <v>9123</v>
      </c>
      <c r="Y25" s="21">
        <f t="shared" si="4"/>
        <v>5</v>
      </c>
      <c r="Z25" s="6" t="str">
        <f t="shared" si="5"/>
        <v>905</v>
      </c>
      <c r="AA25" s="6">
        <v>900</v>
      </c>
      <c r="AB25" s="6">
        <f t="shared" si="17"/>
        <v>210023</v>
      </c>
      <c r="AC25" s="6">
        <f t="shared" si="18"/>
        <v>210023</v>
      </c>
      <c r="AD25" s="6">
        <f t="shared" si="18"/>
        <v>210023</v>
      </c>
      <c r="AE25" s="6">
        <f t="shared" si="18"/>
        <v>210023</v>
      </c>
      <c r="AF25" s="6">
        <f t="shared" si="19"/>
        <v>210023</v>
      </c>
      <c r="AG25" s="6">
        <f t="shared" si="20"/>
        <v>310023</v>
      </c>
      <c r="AH25" s="6">
        <f t="shared" si="21"/>
        <v>310023</v>
      </c>
      <c r="AI25" s="6">
        <f t="shared" si="21"/>
        <v>310023</v>
      </c>
      <c r="AJ25" s="6">
        <f t="shared" si="21"/>
        <v>310023</v>
      </c>
      <c r="AK25" s="6">
        <f t="shared" si="22"/>
        <v>310023</v>
      </c>
    </row>
    <row r="26" spans="1:37" ht="16.5" customHeight="1">
      <c r="A26" s="52">
        <v>10024</v>
      </c>
      <c r="B26" s="27" t="s">
        <v>581</v>
      </c>
      <c r="C26" s="52" t="s">
        <v>79</v>
      </c>
      <c r="D26" s="52" t="s">
        <v>1457</v>
      </c>
      <c r="E26" s="52"/>
      <c r="F26" s="68" t="str">
        <f t="shared" si="0"/>
        <v>1,1</v>
      </c>
      <c r="G26" s="31" t="s">
        <v>1475</v>
      </c>
      <c r="H26" s="52"/>
      <c r="I26" s="137">
        <v>110011</v>
      </c>
      <c r="J26" s="137">
        <f t="shared" si="23"/>
        <v>210024</v>
      </c>
      <c r="K26" s="137">
        <f t="shared" si="24"/>
        <v>310024</v>
      </c>
      <c r="L26" s="55">
        <v>3</v>
      </c>
      <c r="M26" s="52"/>
      <c r="N26" s="52">
        <v>460</v>
      </c>
      <c r="O26" s="52">
        <v>15</v>
      </c>
      <c r="P26" s="52">
        <v>55</v>
      </c>
      <c r="Q26" s="52">
        <v>19</v>
      </c>
      <c r="R26" s="52">
        <v>37</v>
      </c>
      <c r="S26" s="52">
        <v>110</v>
      </c>
      <c r="T26" s="52">
        <v>7</v>
      </c>
      <c r="U26" s="69"/>
      <c r="V26" s="70">
        <f t="shared" si="3"/>
        <v>501</v>
      </c>
      <c r="W26" s="6"/>
      <c r="X26" s="6">
        <v>9124</v>
      </c>
      <c r="Y26" s="21">
        <f t="shared" si="4"/>
        <v>5</v>
      </c>
      <c r="Z26" s="6" t="str">
        <f t="shared" si="5"/>
        <v>904</v>
      </c>
      <c r="AA26" s="6">
        <v>900</v>
      </c>
      <c r="AB26" s="6">
        <f t="shared" si="17"/>
        <v>210024</v>
      </c>
      <c r="AC26" s="6">
        <f t="shared" si="18"/>
        <v>210024</v>
      </c>
      <c r="AD26" s="6">
        <f t="shared" si="18"/>
        <v>210024</v>
      </c>
      <c r="AE26" s="6">
        <f t="shared" si="18"/>
        <v>210024</v>
      </c>
      <c r="AF26" s="6">
        <f t="shared" si="19"/>
        <v>210024</v>
      </c>
      <c r="AG26" s="6">
        <f t="shared" si="20"/>
        <v>310024</v>
      </c>
      <c r="AH26" s="6">
        <f t="shared" si="21"/>
        <v>310024</v>
      </c>
      <c r="AI26" s="6">
        <f t="shared" si="21"/>
        <v>310024</v>
      </c>
      <c r="AJ26" s="6">
        <f t="shared" si="21"/>
        <v>310024</v>
      </c>
      <c r="AK26" s="6">
        <f t="shared" si="22"/>
        <v>310024</v>
      </c>
    </row>
    <row r="27" spans="1:37" ht="16.5" customHeight="1">
      <c r="A27" s="52">
        <v>10025</v>
      </c>
      <c r="B27" s="27" t="s">
        <v>587</v>
      </c>
      <c r="C27" s="52" t="s">
        <v>79</v>
      </c>
      <c r="D27" s="52" t="s">
        <v>1457</v>
      </c>
      <c r="E27" s="52"/>
      <c r="F27" s="68" t="str">
        <f t="shared" si="0"/>
        <v>1,1</v>
      </c>
      <c r="G27" s="31" t="s">
        <v>1476</v>
      </c>
      <c r="H27" s="52"/>
      <c r="I27" s="137">
        <v>110011</v>
      </c>
      <c r="J27" s="137">
        <f t="shared" si="23"/>
        <v>210025</v>
      </c>
      <c r="K27" s="137">
        <f t="shared" si="24"/>
        <v>310025</v>
      </c>
      <c r="L27" s="55">
        <v>2</v>
      </c>
      <c r="M27" s="52"/>
      <c r="N27" s="52">
        <v>475</v>
      </c>
      <c r="O27" s="52">
        <v>15</v>
      </c>
      <c r="P27" s="52">
        <v>49</v>
      </c>
      <c r="Q27" s="52">
        <v>28</v>
      </c>
      <c r="R27" s="52">
        <v>39</v>
      </c>
      <c r="S27" s="52">
        <v>87</v>
      </c>
      <c r="T27" s="52">
        <v>7</v>
      </c>
      <c r="U27" s="69"/>
      <c r="V27" s="70">
        <f t="shared" si="3"/>
        <v>490.5</v>
      </c>
      <c r="W27" s="6"/>
      <c r="X27" s="6">
        <v>9125</v>
      </c>
      <c r="Y27" s="21">
        <f t="shared" si="4"/>
        <v>5</v>
      </c>
      <c r="Z27" s="6" t="str">
        <f t="shared" si="5"/>
        <v>904</v>
      </c>
      <c r="AA27" s="6">
        <v>900</v>
      </c>
      <c r="AB27" s="6">
        <f t="shared" si="17"/>
        <v>210025</v>
      </c>
      <c r="AC27" s="6">
        <f t="shared" si="18"/>
        <v>210025</v>
      </c>
      <c r="AD27" s="6">
        <f t="shared" si="18"/>
        <v>210025</v>
      </c>
      <c r="AE27" s="6">
        <f t="shared" si="18"/>
        <v>210025</v>
      </c>
      <c r="AF27" s="6">
        <f t="shared" si="19"/>
        <v>210025</v>
      </c>
      <c r="AG27" s="6">
        <f t="shared" si="20"/>
        <v>310025</v>
      </c>
      <c r="AH27" s="6">
        <f t="shared" si="21"/>
        <v>310025</v>
      </c>
      <c r="AI27" s="6">
        <f t="shared" si="21"/>
        <v>310025</v>
      </c>
      <c r="AJ27" s="6">
        <f t="shared" si="21"/>
        <v>310025</v>
      </c>
      <c r="AK27" s="6">
        <f t="shared" si="22"/>
        <v>310025</v>
      </c>
    </row>
    <row r="28" spans="1:37" ht="16.5" customHeight="1">
      <c r="A28" s="52">
        <v>10026</v>
      </c>
      <c r="B28" s="27" t="s">
        <v>593</v>
      </c>
      <c r="C28" s="52" t="s">
        <v>79</v>
      </c>
      <c r="D28" s="52" t="s">
        <v>1457</v>
      </c>
      <c r="E28" s="52"/>
      <c r="F28" s="68" t="str">
        <f t="shared" si="0"/>
        <v>1,1</v>
      </c>
      <c r="G28" s="31" t="s">
        <v>1477</v>
      </c>
      <c r="H28" s="52"/>
      <c r="I28" s="137">
        <v>110002</v>
      </c>
      <c r="J28" s="137">
        <f t="shared" si="23"/>
        <v>210026</v>
      </c>
      <c r="K28" s="137">
        <f t="shared" si="24"/>
        <v>310026</v>
      </c>
      <c r="L28" s="55">
        <v>1</v>
      </c>
      <c r="M28" s="52"/>
      <c r="N28" s="52">
        <v>680</v>
      </c>
      <c r="O28" s="52">
        <v>44</v>
      </c>
      <c r="P28" s="47">
        <v>11</v>
      </c>
      <c r="Q28" s="52">
        <v>55</v>
      </c>
      <c r="R28" s="52">
        <v>43</v>
      </c>
      <c r="S28" s="52">
        <v>56</v>
      </c>
      <c r="T28" s="52">
        <v>6</v>
      </c>
      <c r="U28" s="69"/>
      <c r="V28" s="70">
        <f t="shared" si="3"/>
        <v>579</v>
      </c>
      <c r="W28" s="6"/>
      <c r="X28" s="6">
        <v>9126</v>
      </c>
      <c r="Y28" s="21">
        <f t="shared" si="4"/>
        <v>5</v>
      </c>
      <c r="Z28" s="6" t="str">
        <f t="shared" si="5"/>
        <v>905</v>
      </c>
      <c r="AA28" s="6">
        <v>900</v>
      </c>
      <c r="AB28" s="6">
        <f t="shared" si="17"/>
        <v>210026</v>
      </c>
      <c r="AC28" s="6">
        <f t="shared" si="18"/>
        <v>210026</v>
      </c>
      <c r="AD28" s="6">
        <f t="shared" si="18"/>
        <v>210026</v>
      </c>
      <c r="AE28" s="6">
        <f t="shared" si="18"/>
        <v>210026</v>
      </c>
      <c r="AF28" s="6">
        <f t="shared" si="19"/>
        <v>210026</v>
      </c>
      <c r="AG28" s="6">
        <f t="shared" si="20"/>
        <v>310026</v>
      </c>
      <c r="AH28" s="6">
        <f t="shared" si="21"/>
        <v>310026</v>
      </c>
      <c r="AI28" s="6">
        <f t="shared" si="21"/>
        <v>310026</v>
      </c>
      <c r="AJ28" s="6">
        <f t="shared" si="21"/>
        <v>310026</v>
      </c>
      <c r="AK28" s="6">
        <f t="shared" si="22"/>
        <v>310026</v>
      </c>
    </row>
    <row r="29" spans="1:37" ht="16.5" customHeight="1">
      <c r="A29" s="52">
        <v>10027</v>
      </c>
      <c r="B29" s="27" t="s">
        <v>599</v>
      </c>
      <c r="C29" s="52" t="s">
        <v>79</v>
      </c>
      <c r="D29" s="52" t="s">
        <v>1457</v>
      </c>
      <c r="E29" s="52"/>
      <c r="F29" s="68" t="str">
        <f t="shared" si="0"/>
        <v>1,1</v>
      </c>
      <c r="G29" s="31" t="s">
        <v>1478</v>
      </c>
      <c r="H29" s="52"/>
      <c r="I29" s="137">
        <v>110001</v>
      </c>
      <c r="J29" s="137">
        <f t="shared" si="23"/>
        <v>210027</v>
      </c>
      <c r="K29" s="137">
        <f t="shared" si="24"/>
        <v>310027</v>
      </c>
      <c r="L29" s="55">
        <v>2</v>
      </c>
      <c r="M29" s="52"/>
      <c r="N29" s="52">
        <v>490</v>
      </c>
      <c r="O29" s="52">
        <v>51</v>
      </c>
      <c r="P29" s="52">
        <v>9</v>
      </c>
      <c r="Q29" s="52">
        <v>33</v>
      </c>
      <c r="R29" s="52">
        <v>29</v>
      </c>
      <c r="S29" s="52">
        <v>51</v>
      </c>
      <c r="T29" s="52">
        <v>10</v>
      </c>
      <c r="U29" s="69"/>
      <c r="V29" s="70">
        <f t="shared" si="3"/>
        <v>468</v>
      </c>
      <c r="W29" s="6"/>
      <c r="X29" s="6">
        <v>9127</v>
      </c>
      <c r="Y29" s="21">
        <f t="shared" si="4"/>
        <v>5</v>
      </c>
      <c r="Z29" s="6" t="str">
        <f t="shared" si="5"/>
        <v>905</v>
      </c>
      <c r="AA29" s="6">
        <v>900</v>
      </c>
      <c r="AB29" s="6">
        <f t="shared" si="17"/>
        <v>210027</v>
      </c>
      <c r="AC29" s="6">
        <f t="shared" si="18"/>
        <v>210027</v>
      </c>
      <c r="AD29" s="6">
        <f t="shared" si="18"/>
        <v>210027</v>
      </c>
      <c r="AE29" s="6">
        <f t="shared" si="18"/>
        <v>210027</v>
      </c>
      <c r="AF29" s="6">
        <f t="shared" si="19"/>
        <v>210027</v>
      </c>
      <c r="AG29" s="6">
        <f t="shared" si="20"/>
        <v>310027</v>
      </c>
      <c r="AH29" s="6">
        <f t="shared" si="21"/>
        <v>310027</v>
      </c>
      <c r="AI29" s="6">
        <f t="shared" si="21"/>
        <v>310027</v>
      </c>
      <c r="AJ29" s="6">
        <f t="shared" si="21"/>
        <v>310027</v>
      </c>
      <c r="AK29" s="6">
        <f t="shared" si="22"/>
        <v>310027</v>
      </c>
    </row>
    <row r="30" spans="1:37" ht="16.5" customHeight="1">
      <c r="A30" s="52">
        <v>10028</v>
      </c>
      <c r="B30" s="27" t="s">
        <v>606</v>
      </c>
      <c r="C30" s="52" t="s">
        <v>79</v>
      </c>
      <c r="D30" s="52" t="s">
        <v>1457</v>
      </c>
      <c r="E30" s="52"/>
      <c r="F30" s="68" t="str">
        <f t="shared" si="0"/>
        <v>1,1</v>
      </c>
      <c r="G30" s="31" t="s">
        <v>1479</v>
      </c>
      <c r="H30" s="52"/>
      <c r="I30" s="137">
        <v>110011</v>
      </c>
      <c r="J30" s="137">
        <f t="shared" si="23"/>
        <v>210028</v>
      </c>
      <c r="K30" s="137">
        <f t="shared" si="24"/>
        <v>310028</v>
      </c>
      <c r="L30" s="55">
        <v>1</v>
      </c>
      <c r="M30" s="52"/>
      <c r="N30" s="52">
        <v>475</v>
      </c>
      <c r="O30" s="52">
        <v>9</v>
      </c>
      <c r="P30" s="52">
        <v>52</v>
      </c>
      <c r="Q30" s="52">
        <v>29</v>
      </c>
      <c r="R30" s="52">
        <v>33</v>
      </c>
      <c r="S30" s="52">
        <v>94</v>
      </c>
      <c r="T30" s="52">
        <v>9</v>
      </c>
      <c r="U30" s="69"/>
      <c r="V30" s="70">
        <f t="shared" si="3"/>
        <v>499.5</v>
      </c>
      <c r="W30" s="6"/>
      <c r="X30" s="6">
        <v>9128</v>
      </c>
      <c r="Y30" s="21">
        <f t="shared" si="4"/>
        <v>5</v>
      </c>
      <c r="Z30" s="6" t="str">
        <f t="shared" si="5"/>
        <v>904</v>
      </c>
      <c r="AA30" s="6">
        <v>900</v>
      </c>
      <c r="AB30" s="6">
        <f t="shared" si="17"/>
        <v>210028</v>
      </c>
      <c r="AC30" s="6">
        <f t="shared" si="18"/>
        <v>210028</v>
      </c>
      <c r="AD30" s="6">
        <f t="shared" si="18"/>
        <v>210028</v>
      </c>
      <c r="AE30" s="6">
        <f t="shared" si="18"/>
        <v>210028</v>
      </c>
      <c r="AF30" s="6">
        <f t="shared" si="19"/>
        <v>210028</v>
      </c>
      <c r="AG30" s="6">
        <f t="shared" si="20"/>
        <v>310028</v>
      </c>
      <c r="AH30" s="6">
        <f t="shared" si="21"/>
        <v>310028</v>
      </c>
      <c r="AI30" s="6">
        <f t="shared" si="21"/>
        <v>310028</v>
      </c>
      <c r="AJ30" s="6">
        <f t="shared" si="21"/>
        <v>310028</v>
      </c>
      <c r="AK30" s="6">
        <f t="shared" si="22"/>
        <v>310028</v>
      </c>
    </row>
    <row r="31" spans="1:37" ht="16.5" customHeight="1">
      <c r="A31" s="52">
        <v>10029</v>
      </c>
      <c r="B31" s="27" t="s">
        <v>612</v>
      </c>
      <c r="C31" s="52" t="s">
        <v>79</v>
      </c>
      <c r="D31" s="52" t="s">
        <v>1457</v>
      </c>
      <c r="E31" s="52"/>
      <c r="F31" s="68" t="str">
        <f t="shared" si="0"/>
        <v>1,1</v>
      </c>
      <c r="G31" s="31" t="s">
        <v>1480</v>
      </c>
      <c r="H31" s="52"/>
      <c r="I31" s="137">
        <v>110001</v>
      </c>
      <c r="J31" s="137">
        <f t="shared" si="23"/>
        <v>210029</v>
      </c>
      <c r="K31" s="137">
        <f t="shared" si="24"/>
        <v>310029</v>
      </c>
      <c r="L31" s="55">
        <v>2</v>
      </c>
      <c r="M31" s="52"/>
      <c r="N31" s="52">
        <v>450</v>
      </c>
      <c r="O31" s="52">
        <v>53</v>
      </c>
      <c r="P31" s="52">
        <v>9</v>
      </c>
      <c r="Q31" s="52">
        <v>33</v>
      </c>
      <c r="R31" s="52">
        <v>21</v>
      </c>
      <c r="S31" s="52">
        <v>57</v>
      </c>
      <c r="T31" s="52">
        <v>8</v>
      </c>
      <c r="U31" s="69"/>
      <c r="V31" s="70">
        <f t="shared" si="3"/>
        <v>438</v>
      </c>
      <c r="W31" s="6"/>
      <c r="X31" s="6">
        <v>9129</v>
      </c>
      <c r="Y31" s="21">
        <f t="shared" si="4"/>
        <v>5</v>
      </c>
      <c r="Z31" s="6" t="str">
        <f t="shared" si="5"/>
        <v>905</v>
      </c>
      <c r="AA31" s="6">
        <v>900</v>
      </c>
      <c r="AB31" s="6">
        <f t="shared" si="17"/>
        <v>210029</v>
      </c>
      <c r="AC31" s="6">
        <f t="shared" si="18"/>
        <v>210029</v>
      </c>
      <c r="AD31" s="6">
        <f t="shared" si="18"/>
        <v>210029</v>
      </c>
      <c r="AE31" s="6">
        <f t="shared" si="18"/>
        <v>210029</v>
      </c>
      <c r="AF31" s="6">
        <f t="shared" si="19"/>
        <v>210029</v>
      </c>
      <c r="AG31" s="6">
        <f t="shared" si="20"/>
        <v>310029</v>
      </c>
      <c r="AH31" s="6">
        <f t="shared" si="21"/>
        <v>310029</v>
      </c>
      <c r="AI31" s="6">
        <f t="shared" si="21"/>
        <v>310029</v>
      </c>
      <c r="AJ31" s="6">
        <f t="shared" si="21"/>
        <v>310029</v>
      </c>
      <c r="AK31" s="6">
        <f t="shared" si="22"/>
        <v>310029</v>
      </c>
    </row>
    <row r="32" spans="1:37" ht="16.5" customHeight="1">
      <c r="A32" s="52">
        <v>10030</v>
      </c>
      <c r="B32" s="27" t="s">
        <v>617</v>
      </c>
      <c r="C32" s="52" t="s">
        <v>79</v>
      </c>
      <c r="D32" s="52" t="s">
        <v>1457</v>
      </c>
      <c r="E32" s="52"/>
      <c r="F32" s="68" t="str">
        <f t="shared" si="0"/>
        <v>1,1</v>
      </c>
      <c r="G32" s="31" t="s">
        <v>1481</v>
      </c>
      <c r="H32" s="52"/>
      <c r="I32" s="137">
        <v>110012</v>
      </c>
      <c r="J32" s="137">
        <f t="shared" si="23"/>
        <v>210030</v>
      </c>
      <c r="K32" s="137">
        <f t="shared" si="24"/>
        <v>310030</v>
      </c>
      <c r="L32" s="55">
        <v>1</v>
      </c>
      <c r="M32" s="52"/>
      <c r="N32" s="52">
        <v>665</v>
      </c>
      <c r="O32" s="52">
        <v>10</v>
      </c>
      <c r="P32" s="47">
        <v>41</v>
      </c>
      <c r="Q32" s="52">
        <v>37</v>
      </c>
      <c r="R32" s="52">
        <v>55</v>
      </c>
      <c r="S32" s="52">
        <v>82</v>
      </c>
      <c r="T32" s="52">
        <v>7</v>
      </c>
      <c r="U32" s="69"/>
      <c r="V32" s="70">
        <f t="shared" si="3"/>
        <v>592.5</v>
      </c>
      <c r="W32" s="6"/>
      <c r="X32" s="6">
        <v>9130</v>
      </c>
      <c r="Y32" s="21">
        <f t="shared" si="4"/>
        <v>5</v>
      </c>
      <c r="Z32" s="6" t="str">
        <f t="shared" si="5"/>
        <v>904</v>
      </c>
      <c r="AA32" s="6">
        <v>900</v>
      </c>
      <c r="AB32" s="6">
        <f t="shared" si="17"/>
        <v>210030</v>
      </c>
      <c r="AC32" s="6">
        <f t="shared" si="18"/>
        <v>210030</v>
      </c>
      <c r="AD32" s="6">
        <f t="shared" si="18"/>
        <v>210030</v>
      </c>
      <c r="AE32" s="6">
        <f t="shared" si="18"/>
        <v>210030</v>
      </c>
      <c r="AF32" s="6">
        <f t="shared" si="19"/>
        <v>210030</v>
      </c>
      <c r="AG32" s="6">
        <f t="shared" si="20"/>
        <v>310030</v>
      </c>
      <c r="AH32" s="6">
        <f t="shared" si="21"/>
        <v>310030</v>
      </c>
      <c r="AI32" s="6">
        <f t="shared" si="21"/>
        <v>310030</v>
      </c>
      <c r="AJ32" s="6">
        <f t="shared" si="21"/>
        <v>310030</v>
      </c>
      <c r="AK32" s="6">
        <f t="shared" si="22"/>
        <v>310030</v>
      </c>
    </row>
    <row r="33" spans="1:37" ht="16.5" customHeight="1">
      <c r="A33" s="52">
        <v>10031</v>
      </c>
      <c r="B33" s="27" t="s">
        <v>624</v>
      </c>
      <c r="C33" s="52" t="s">
        <v>79</v>
      </c>
      <c r="D33" s="52" t="s">
        <v>1457</v>
      </c>
      <c r="E33" s="52"/>
      <c r="F33" s="68" t="str">
        <f t="shared" si="0"/>
        <v>1,1</v>
      </c>
      <c r="G33" s="31" t="s">
        <v>1482</v>
      </c>
      <c r="H33" s="52"/>
      <c r="I33" s="137">
        <v>110001</v>
      </c>
      <c r="J33" s="137">
        <f t="shared" si="23"/>
        <v>210031</v>
      </c>
      <c r="K33" s="137">
        <f t="shared" si="24"/>
        <v>310031</v>
      </c>
      <c r="L33" s="55">
        <v>3</v>
      </c>
      <c r="M33" s="52"/>
      <c r="N33" s="52">
        <v>500</v>
      </c>
      <c r="O33" s="52">
        <v>49</v>
      </c>
      <c r="P33" s="52">
        <v>8</v>
      </c>
      <c r="Q33" s="52">
        <v>33</v>
      </c>
      <c r="R33" s="52">
        <v>21</v>
      </c>
      <c r="S33" s="52">
        <v>54</v>
      </c>
      <c r="T33" s="52">
        <v>9</v>
      </c>
      <c r="U33" s="69"/>
      <c r="V33" s="70">
        <f t="shared" si="3"/>
        <v>460</v>
      </c>
      <c r="W33" s="6"/>
      <c r="X33" s="6">
        <v>9127</v>
      </c>
      <c r="Y33" s="21">
        <f t="shared" si="4"/>
        <v>5</v>
      </c>
      <c r="Z33" s="6" t="str">
        <f t="shared" si="5"/>
        <v>905</v>
      </c>
      <c r="AA33" s="6">
        <v>900</v>
      </c>
      <c r="AB33" s="6">
        <f t="shared" si="17"/>
        <v>210031</v>
      </c>
      <c r="AC33" s="6">
        <f t="shared" si="18"/>
        <v>210031</v>
      </c>
      <c r="AD33" s="6">
        <f t="shared" si="18"/>
        <v>210031</v>
      </c>
      <c r="AE33" s="6">
        <f t="shared" si="18"/>
        <v>210031</v>
      </c>
      <c r="AF33" s="6">
        <f t="shared" si="19"/>
        <v>210031</v>
      </c>
      <c r="AG33" s="6">
        <f t="shared" si="20"/>
        <v>310031</v>
      </c>
      <c r="AH33" s="6">
        <f t="shared" si="21"/>
        <v>310031</v>
      </c>
      <c r="AI33" s="6">
        <f t="shared" si="21"/>
        <v>310031</v>
      </c>
      <c r="AJ33" s="6">
        <f t="shared" si="21"/>
        <v>310031</v>
      </c>
      <c r="AK33" s="6">
        <f t="shared" si="22"/>
        <v>310031</v>
      </c>
    </row>
    <row r="34" spans="1:37" ht="16.5" customHeight="1">
      <c r="F34" s="71"/>
      <c r="G34" s="30"/>
      <c r="U34" s="65"/>
      <c r="AB34" s="45"/>
    </row>
    <row r="35" spans="1:37" ht="14.25" customHeight="1">
      <c r="A35" s="48" t="s">
        <v>1423</v>
      </c>
      <c r="B35" s="48" t="s">
        <v>1424</v>
      </c>
      <c r="C35" s="40" t="s">
        <v>1425</v>
      </c>
      <c r="D35" s="40" t="s">
        <v>733</v>
      </c>
      <c r="E35" s="48" t="s">
        <v>1426</v>
      </c>
      <c r="F35" s="50" t="s">
        <v>1427</v>
      </c>
      <c r="G35" s="40" t="s">
        <v>1172</v>
      </c>
      <c r="H35" s="40" t="s">
        <v>1428</v>
      </c>
      <c r="I35" s="136" t="s">
        <v>1429</v>
      </c>
      <c r="J35" s="136" t="s">
        <v>1430</v>
      </c>
      <c r="K35" s="136" t="s">
        <v>1431</v>
      </c>
      <c r="L35" s="40" t="s">
        <v>1173</v>
      </c>
      <c r="M35" s="40" t="s">
        <v>1432</v>
      </c>
      <c r="N35" s="40" t="s">
        <v>37</v>
      </c>
      <c r="O35" s="40" t="s">
        <v>685</v>
      </c>
      <c r="P35" s="40" t="s">
        <v>686</v>
      </c>
      <c r="Q35" s="40" t="s">
        <v>687</v>
      </c>
      <c r="R35" s="40" t="s">
        <v>688</v>
      </c>
      <c r="S35" s="40" t="s">
        <v>39</v>
      </c>
      <c r="T35" s="40" t="s">
        <v>691</v>
      </c>
      <c r="U35" s="66" t="s">
        <v>1439</v>
      </c>
      <c r="V35" s="6" t="s">
        <v>1440</v>
      </c>
      <c r="W35" s="40" t="s">
        <v>1441</v>
      </c>
      <c r="X35" s="40" t="s">
        <v>1442</v>
      </c>
      <c r="Y35" s="67" t="s">
        <v>1443</v>
      </c>
      <c r="Z35" s="6" t="s">
        <v>1444</v>
      </c>
      <c r="AA35" s="6" t="s">
        <v>1445</v>
      </c>
      <c r="AB35" s="6" t="s">
        <v>1446</v>
      </c>
      <c r="AC35" s="6" t="s">
        <v>1447</v>
      </c>
      <c r="AD35" s="6" t="s">
        <v>1448</v>
      </c>
      <c r="AE35" s="6" t="s">
        <v>1449</v>
      </c>
      <c r="AF35" s="6" t="s">
        <v>1450</v>
      </c>
      <c r="AG35" s="6" t="s">
        <v>1451</v>
      </c>
      <c r="AH35" s="6" t="s">
        <v>1452</v>
      </c>
      <c r="AI35" s="6" t="s">
        <v>1453</v>
      </c>
      <c r="AJ35" s="6" t="s">
        <v>1454</v>
      </c>
      <c r="AK35" s="6" t="s">
        <v>1455</v>
      </c>
    </row>
    <row r="36" spans="1:37" ht="14.25" customHeight="1">
      <c r="A36" s="52">
        <v>90001</v>
      </c>
      <c r="B36" s="1" t="s">
        <v>80</v>
      </c>
      <c r="C36" s="52" t="s">
        <v>79</v>
      </c>
      <c r="D36" s="52" t="s">
        <v>1483</v>
      </c>
      <c r="E36" s="1" t="s">
        <v>1484</v>
      </c>
      <c r="F36" s="52" t="s">
        <v>1485</v>
      </c>
      <c r="G36" s="52">
        <v>21</v>
      </c>
      <c r="H36" s="72" t="str">
        <f t="shared" ref="H36:H48" si="25">"1001,1002,1003,1004,1005,2001,2002,2003,2004,2005,1997"</f>
        <v>1001,1002,1003,1004,1005,2001,2002,2003,2004,2005,1997</v>
      </c>
      <c r="I36" s="137">
        <v>110001</v>
      </c>
      <c r="J36" s="137">
        <f t="shared" ref="J36:J42" si="26">A36+800000</f>
        <v>890001</v>
      </c>
      <c r="K36" s="137">
        <f t="shared" ref="K36:K42" si="27">J36+100000</f>
        <v>990001</v>
      </c>
      <c r="L36" s="52"/>
      <c r="M36" s="52" t="str">
        <f>"{1.1},{1.1},{0.3},{1},{0.3}"</f>
        <v>{1.1},{1.1},{0.3},{1},{0.3}</v>
      </c>
      <c r="N36" s="52">
        <v>500</v>
      </c>
      <c r="O36" s="52">
        <v>99</v>
      </c>
      <c r="P36" s="52">
        <v>35</v>
      </c>
      <c r="Q36" s="52">
        <v>75</v>
      </c>
      <c r="R36" s="52">
        <v>47</v>
      </c>
      <c r="S36" s="52"/>
      <c r="T36" s="52">
        <v>11</v>
      </c>
      <c r="U36" s="69"/>
      <c r="V36" s="52"/>
      <c r="W36" s="52"/>
      <c r="X36" s="52"/>
      <c r="Y36" s="52"/>
      <c r="Z36" s="52"/>
      <c r="AA36" s="52"/>
      <c r="AB36" s="52"/>
      <c r="AC36" s="52"/>
      <c r="AD36" s="52"/>
      <c r="AE36" s="52"/>
      <c r="AF36" s="52"/>
      <c r="AG36" s="52"/>
      <c r="AH36" s="52"/>
      <c r="AI36" s="52"/>
      <c r="AJ36" s="52"/>
      <c r="AK36" s="52"/>
    </row>
    <row r="37" spans="1:37" ht="14.25" customHeight="1">
      <c r="A37" s="52">
        <v>90002</v>
      </c>
      <c r="B37" s="1" t="s">
        <v>93</v>
      </c>
      <c r="C37" s="52" t="s">
        <v>79</v>
      </c>
      <c r="D37" s="52" t="s">
        <v>1483</v>
      </c>
      <c r="E37" s="1" t="s">
        <v>1486</v>
      </c>
      <c r="F37" s="52" t="s">
        <v>1485</v>
      </c>
      <c r="G37" s="52">
        <v>21</v>
      </c>
      <c r="H37" s="72" t="str">
        <f t="shared" si="25"/>
        <v>1001,1002,1003,1004,1005,2001,2002,2003,2004,2005,1997</v>
      </c>
      <c r="I37" s="137">
        <v>110001</v>
      </c>
      <c r="J37" s="137">
        <f t="shared" si="26"/>
        <v>890002</v>
      </c>
      <c r="K37" s="137">
        <f t="shared" si="27"/>
        <v>990002</v>
      </c>
      <c r="L37" s="52"/>
      <c r="M37" s="52" t="str">
        <f>"{1.5},{0.7},{0.3},{1.2},{1}"</f>
        <v>{1.5},{0.7},{0.3},{1.2},{1}</v>
      </c>
      <c r="N37" s="52">
        <v>680</v>
      </c>
      <c r="O37" s="52">
        <v>80</v>
      </c>
      <c r="P37" s="52">
        <v>20</v>
      </c>
      <c r="Q37" s="52">
        <v>82</v>
      </c>
      <c r="R37" s="52">
        <v>77</v>
      </c>
      <c r="S37" s="52"/>
      <c r="T37" s="52">
        <v>10</v>
      </c>
      <c r="U37" s="69"/>
      <c r="V37" s="52"/>
      <c r="W37" s="52"/>
      <c r="X37" s="52"/>
      <c r="Y37" s="52"/>
      <c r="Z37" s="52"/>
      <c r="AA37" s="52"/>
      <c r="AB37" s="52"/>
      <c r="AC37" s="52"/>
      <c r="AD37" s="52"/>
      <c r="AE37" s="52"/>
      <c r="AF37" s="52"/>
      <c r="AG37" s="52"/>
      <c r="AH37" s="52"/>
      <c r="AI37" s="52"/>
      <c r="AJ37" s="52"/>
      <c r="AK37" s="52"/>
    </row>
    <row r="38" spans="1:37" ht="14.25" customHeight="1">
      <c r="A38" s="52">
        <v>90003</v>
      </c>
      <c r="B38" s="1" t="s">
        <v>105</v>
      </c>
      <c r="C38" s="52" t="s">
        <v>79</v>
      </c>
      <c r="D38" s="52" t="s">
        <v>1483</v>
      </c>
      <c r="E38" s="1" t="s">
        <v>1484</v>
      </c>
      <c r="F38" s="52" t="s">
        <v>1485</v>
      </c>
      <c r="G38" s="52">
        <v>21</v>
      </c>
      <c r="H38" s="72" t="str">
        <f t="shared" si="25"/>
        <v>1001,1002,1003,1004,1005,2001,2002,2003,2004,2005,1997</v>
      </c>
      <c r="I38" s="137">
        <v>110001</v>
      </c>
      <c r="J38" s="137">
        <f t="shared" si="26"/>
        <v>890003</v>
      </c>
      <c r="K38" s="137">
        <f t="shared" si="27"/>
        <v>990003</v>
      </c>
      <c r="L38" s="52"/>
      <c r="M38" s="52" t="str">
        <f>"{0.7},{1.4},{0.3},{0.3},{0.4}"</f>
        <v>{0.7},{1.4},{0.3},{0.3},{0.4}</v>
      </c>
      <c r="N38" s="52">
        <v>490</v>
      </c>
      <c r="O38" s="52">
        <v>99</v>
      </c>
      <c r="P38" s="52">
        <v>35</v>
      </c>
      <c r="Q38" s="52">
        <v>63</v>
      </c>
      <c r="R38" s="52">
        <v>56</v>
      </c>
      <c r="S38" s="52"/>
      <c r="T38" s="52">
        <v>12</v>
      </c>
      <c r="U38" s="69"/>
      <c r="V38" s="52"/>
      <c r="W38" s="52"/>
      <c r="X38" s="52"/>
      <c r="Y38" s="52"/>
      <c r="Z38" s="52"/>
      <c r="AA38" s="52"/>
      <c r="AB38" s="52"/>
      <c r="AC38" s="52"/>
      <c r="AD38" s="52"/>
      <c r="AE38" s="52"/>
      <c r="AF38" s="52"/>
      <c r="AG38" s="52"/>
      <c r="AH38" s="52"/>
      <c r="AI38" s="52"/>
      <c r="AJ38" s="52"/>
      <c r="AK38" s="52"/>
    </row>
    <row r="39" spans="1:37" ht="14.25" customHeight="1">
      <c r="A39" s="52">
        <v>90004</v>
      </c>
      <c r="B39" s="1" t="s">
        <v>124</v>
      </c>
      <c r="C39" s="52" t="s">
        <v>79</v>
      </c>
      <c r="D39" s="52" t="s">
        <v>1483</v>
      </c>
      <c r="E39" s="1" t="s">
        <v>220</v>
      </c>
      <c r="F39" s="52" t="s">
        <v>1485</v>
      </c>
      <c r="G39" s="52">
        <v>21</v>
      </c>
      <c r="H39" s="72" t="str">
        <f t="shared" si="25"/>
        <v>1001,1002,1003,1004,1005,2001,2002,2003,2004,2005,1997</v>
      </c>
      <c r="I39" s="137">
        <v>110001</v>
      </c>
      <c r="J39" s="137">
        <f t="shared" si="26"/>
        <v>890004</v>
      </c>
      <c r="K39" s="137">
        <f t="shared" si="27"/>
        <v>990004</v>
      </c>
      <c r="L39" s="52"/>
      <c r="M39" s="52" t="str">
        <f>"{0.8},{1.3},{0.3},{0.3},{0.3}"</f>
        <v>{0.8},{1.3},{0.3},{0.3},{0.3}</v>
      </c>
      <c r="N39" s="52">
        <v>475</v>
      </c>
      <c r="O39" s="52">
        <v>50</v>
      </c>
      <c r="P39" s="52">
        <v>97</v>
      </c>
      <c r="Q39" s="52">
        <v>54</v>
      </c>
      <c r="R39" s="52">
        <v>48</v>
      </c>
      <c r="S39" s="52"/>
      <c r="T39" s="52">
        <v>13</v>
      </c>
      <c r="U39" s="69"/>
      <c r="V39" s="52"/>
      <c r="W39" s="52"/>
      <c r="X39" s="52"/>
      <c r="Y39" s="52"/>
      <c r="Z39" s="52"/>
      <c r="AA39" s="52"/>
      <c r="AB39" s="52"/>
      <c r="AC39" s="52"/>
      <c r="AD39" s="52"/>
      <c r="AE39" s="52"/>
      <c r="AF39" s="52"/>
      <c r="AG39" s="52"/>
      <c r="AH39" s="52"/>
      <c r="AI39" s="52"/>
      <c r="AJ39" s="52"/>
      <c r="AK39" s="52"/>
    </row>
    <row r="40" spans="1:37" ht="14.25" customHeight="1">
      <c r="A40" s="52">
        <v>90005</v>
      </c>
      <c r="B40" s="1" t="s">
        <v>136</v>
      </c>
      <c r="C40" s="52" t="s">
        <v>79</v>
      </c>
      <c r="D40" s="52" t="s">
        <v>1483</v>
      </c>
      <c r="E40" s="1" t="s">
        <v>205</v>
      </c>
      <c r="F40" s="52" t="s">
        <v>1485</v>
      </c>
      <c r="G40" s="52">
        <v>21</v>
      </c>
      <c r="H40" s="72" t="str">
        <f t="shared" si="25"/>
        <v>1001,1002,1003,1004,1005,2001,2002,2003,2004,2005,1997</v>
      </c>
      <c r="I40" s="137">
        <v>110011</v>
      </c>
      <c r="J40" s="137">
        <f t="shared" si="26"/>
        <v>890005</v>
      </c>
      <c r="K40" s="137">
        <f t="shared" si="27"/>
        <v>990005</v>
      </c>
      <c r="L40" s="52"/>
      <c r="M40" s="52" t="str">
        <f>"{1},{0.3},{1.1},{1},{0.3}"</f>
        <v>{1},{0.3},{1.1},{1},{0.3}</v>
      </c>
      <c r="N40" s="52">
        <v>475</v>
      </c>
      <c r="O40" s="52">
        <v>20</v>
      </c>
      <c r="P40" s="52">
        <v>101</v>
      </c>
      <c r="Q40" s="52">
        <v>51</v>
      </c>
      <c r="R40" s="52">
        <v>72</v>
      </c>
      <c r="S40" s="52"/>
      <c r="T40" s="52">
        <v>11</v>
      </c>
      <c r="U40" s="69"/>
      <c r="V40" s="52"/>
      <c r="W40" s="52"/>
      <c r="X40" s="52"/>
      <c r="Y40" s="52"/>
      <c r="Z40" s="52"/>
      <c r="AA40" s="52"/>
      <c r="AB40" s="52"/>
      <c r="AC40" s="52"/>
      <c r="AD40" s="52"/>
      <c r="AE40" s="52"/>
      <c r="AF40" s="52"/>
      <c r="AG40" s="52"/>
      <c r="AH40" s="52"/>
      <c r="AI40" s="52"/>
      <c r="AJ40" s="52"/>
      <c r="AK40" s="52"/>
    </row>
    <row r="41" spans="1:37" ht="14.25" customHeight="1">
      <c r="A41" s="52">
        <v>90006</v>
      </c>
      <c r="B41" s="1" t="s">
        <v>153</v>
      </c>
      <c r="C41" s="52" t="s">
        <v>79</v>
      </c>
      <c r="D41" s="52" t="s">
        <v>1483</v>
      </c>
      <c r="E41" s="1" t="s">
        <v>205</v>
      </c>
      <c r="F41" s="52" t="s">
        <v>1485</v>
      </c>
      <c r="G41" s="52">
        <v>21</v>
      </c>
      <c r="H41" s="72" t="str">
        <f t="shared" si="25"/>
        <v>1001,1002,1003,1004,1005,2001,2002,2003,2004,2005,1997</v>
      </c>
      <c r="I41" s="137">
        <v>110011</v>
      </c>
      <c r="J41" s="137">
        <f t="shared" si="26"/>
        <v>890006</v>
      </c>
      <c r="K41" s="137">
        <f t="shared" si="27"/>
        <v>990006</v>
      </c>
      <c r="L41" s="52"/>
      <c r="M41" s="52" t="str">
        <f>"{1.2},{0.3},{1.1},{1},{0.3}"</f>
        <v>{1.2},{0.3},{1.1},{1},{0.3}</v>
      </c>
      <c r="N41" s="52">
        <v>530</v>
      </c>
      <c r="O41" s="52">
        <v>35</v>
      </c>
      <c r="P41" s="52">
        <v>99</v>
      </c>
      <c r="Q41" s="52">
        <v>67</v>
      </c>
      <c r="R41" s="52">
        <v>74</v>
      </c>
      <c r="S41" s="52"/>
      <c r="T41" s="52">
        <v>10</v>
      </c>
      <c r="U41" s="69"/>
      <c r="V41" s="52"/>
      <c r="W41" s="52"/>
      <c r="X41" s="52"/>
      <c r="Y41" s="52"/>
      <c r="Z41" s="52"/>
      <c r="AA41" s="52"/>
      <c r="AB41" s="52"/>
      <c r="AC41" s="52"/>
      <c r="AD41" s="52"/>
      <c r="AE41" s="52"/>
      <c r="AF41" s="52"/>
      <c r="AG41" s="52"/>
      <c r="AH41" s="52"/>
      <c r="AI41" s="52"/>
      <c r="AJ41" s="52"/>
      <c r="AK41" s="52"/>
    </row>
    <row r="42" spans="1:37" ht="14.25" customHeight="1">
      <c r="A42" s="73">
        <v>90007</v>
      </c>
      <c r="B42" s="74" t="s">
        <v>109</v>
      </c>
      <c r="C42" s="73" t="s">
        <v>75</v>
      </c>
      <c r="D42" s="73" t="s">
        <v>1483</v>
      </c>
      <c r="E42" s="74" t="s">
        <v>1484</v>
      </c>
      <c r="F42" s="73" t="s">
        <v>1485</v>
      </c>
      <c r="G42" s="73">
        <v>23</v>
      </c>
      <c r="H42" s="75" t="str">
        <f t="shared" si="25"/>
        <v>1001,1002,1003,1004,1005,2001,2002,2003,2004,2005,1997</v>
      </c>
      <c r="I42" s="138">
        <v>110004</v>
      </c>
      <c r="J42" s="138">
        <f t="shared" si="26"/>
        <v>890007</v>
      </c>
      <c r="K42" s="138">
        <f t="shared" si="27"/>
        <v>990007</v>
      </c>
      <c r="L42" s="73"/>
      <c r="M42" s="73" t="s">
        <v>1487</v>
      </c>
      <c r="N42" s="73">
        <f>ROUND(N43*1.7,0)</f>
        <v>1445</v>
      </c>
      <c r="O42" s="73">
        <f>ROUND(O43*1.7,0)</f>
        <v>286</v>
      </c>
      <c r="P42" s="73">
        <f>ROUND(P43*1.7,0)</f>
        <v>102</v>
      </c>
      <c r="Q42" s="73">
        <f>ROUND(Q43*1.7,0)</f>
        <v>218</v>
      </c>
      <c r="R42" s="73">
        <f>ROUND(R43*1.7,0)</f>
        <v>136</v>
      </c>
      <c r="S42" s="73"/>
      <c r="T42" s="73">
        <v>14</v>
      </c>
      <c r="U42" s="76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  <c r="AK42" s="73"/>
    </row>
    <row r="43" spans="1:37" ht="14.25" customHeight="1">
      <c r="A43" s="52">
        <f t="shared" ref="A43:A48" si="28">A42+1</f>
        <v>90008</v>
      </c>
      <c r="B43" s="1" t="s">
        <v>82</v>
      </c>
      <c r="C43" s="52" t="s">
        <v>77</v>
      </c>
      <c r="D43" s="52" t="s">
        <v>1483</v>
      </c>
      <c r="E43" s="1" t="s">
        <v>1484</v>
      </c>
      <c r="F43" s="52" t="s">
        <v>1485</v>
      </c>
      <c r="G43" s="52">
        <v>22</v>
      </c>
      <c r="H43" s="72" t="str">
        <f t="shared" si="25"/>
        <v>1001,1002,1003,1004,1005,2001,2002,2003,2004,2005,1997</v>
      </c>
      <c r="I43" s="137">
        <v>110001</v>
      </c>
      <c r="J43" s="137">
        <v>890001</v>
      </c>
      <c r="K43" s="137">
        <v>990001</v>
      </c>
      <c r="L43" s="52"/>
      <c r="M43" s="52" t="str">
        <f>"{1.3},{1.3},{0.5},{1.2},{0.5}"</f>
        <v>{1.3},{1.3},{0.5},{1.2},{0.5}</v>
      </c>
      <c r="N43" s="52">
        <f t="shared" ref="N43:R48" si="29">ROUND(N36*1.7,0)</f>
        <v>850</v>
      </c>
      <c r="O43" s="52">
        <f t="shared" si="29"/>
        <v>168</v>
      </c>
      <c r="P43" s="52">
        <f t="shared" si="29"/>
        <v>60</v>
      </c>
      <c r="Q43" s="52">
        <f t="shared" si="29"/>
        <v>128</v>
      </c>
      <c r="R43" s="52">
        <f t="shared" si="29"/>
        <v>80</v>
      </c>
      <c r="S43" s="52"/>
      <c r="T43" s="52">
        <f t="shared" ref="T43:T48" si="30">T36+1</f>
        <v>12</v>
      </c>
      <c r="U43" s="69"/>
      <c r="V43" s="52"/>
      <c r="W43" s="52"/>
      <c r="X43" s="52"/>
      <c r="Y43" s="52"/>
      <c r="Z43" s="52"/>
      <c r="AA43" s="52"/>
      <c r="AB43" s="52"/>
      <c r="AC43" s="52"/>
      <c r="AD43" s="52"/>
      <c r="AE43" s="52"/>
      <c r="AF43" s="52"/>
      <c r="AG43" s="52"/>
      <c r="AH43" s="52"/>
      <c r="AI43" s="52"/>
      <c r="AJ43" s="52"/>
      <c r="AK43" s="52"/>
    </row>
    <row r="44" spans="1:37" ht="14.25" customHeight="1">
      <c r="A44" s="52">
        <f t="shared" si="28"/>
        <v>90009</v>
      </c>
      <c r="B44" s="1" t="s">
        <v>86</v>
      </c>
      <c r="C44" s="52" t="s">
        <v>77</v>
      </c>
      <c r="D44" s="52" t="s">
        <v>1483</v>
      </c>
      <c r="E44" s="1" t="s">
        <v>1486</v>
      </c>
      <c r="F44" s="52" t="s">
        <v>1485</v>
      </c>
      <c r="G44" s="52">
        <v>22</v>
      </c>
      <c r="H44" s="72" t="str">
        <f t="shared" si="25"/>
        <v>1001,1002,1003,1004,1005,2001,2002,2003,2004,2005,1997</v>
      </c>
      <c r="I44" s="137">
        <v>110001</v>
      </c>
      <c r="J44" s="137">
        <v>890002</v>
      </c>
      <c r="K44" s="137">
        <v>990002</v>
      </c>
      <c r="L44" s="52"/>
      <c r="M44" s="52" t="str">
        <f>"{1.7},{0.9},{0.5},{1.5},{1.2}"</f>
        <v>{1.7},{0.9},{0.5},{1.5},{1.2}</v>
      </c>
      <c r="N44" s="52">
        <f t="shared" si="29"/>
        <v>1156</v>
      </c>
      <c r="O44" s="52">
        <f t="shared" si="29"/>
        <v>136</v>
      </c>
      <c r="P44" s="52">
        <f t="shared" si="29"/>
        <v>34</v>
      </c>
      <c r="Q44" s="52">
        <f t="shared" si="29"/>
        <v>139</v>
      </c>
      <c r="R44" s="52">
        <f t="shared" si="29"/>
        <v>131</v>
      </c>
      <c r="S44" s="52"/>
      <c r="T44" s="52">
        <f t="shared" si="30"/>
        <v>11</v>
      </c>
      <c r="U44" s="69"/>
      <c r="V44" s="52"/>
      <c r="W44" s="52"/>
      <c r="X44" s="52"/>
      <c r="Y44" s="52"/>
      <c r="Z44" s="52"/>
      <c r="AA44" s="52"/>
      <c r="AB44" s="52"/>
      <c r="AC44" s="52"/>
      <c r="AD44" s="52"/>
      <c r="AE44" s="52"/>
      <c r="AF44" s="52"/>
      <c r="AG44" s="52"/>
      <c r="AH44" s="52"/>
      <c r="AI44" s="52"/>
      <c r="AJ44" s="52"/>
      <c r="AK44" s="52"/>
    </row>
    <row r="45" spans="1:37" ht="14.25" customHeight="1">
      <c r="A45" s="52">
        <f t="shared" si="28"/>
        <v>90010</v>
      </c>
      <c r="B45" s="1" t="s">
        <v>90</v>
      </c>
      <c r="C45" s="52" t="s">
        <v>77</v>
      </c>
      <c r="D45" s="52" t="s">
        <v>1483</v>
      </c>
      <c r="E45" s="1" t="s">
        <v>1484</v>
      </c>
      <c r="F45" s="52" t="s">
        <v>1485</v>
      </c>
      <c r="G45" s="52">
        <v>22</v>
      </c>
      <c r="H45" s="72" t="str">
        <f t="shared" si="25"/>
        <v>1001,1002,1003,1004,1005,2001,2002,2003,2004,2005,1997</v>
      </c>
      <c r="I45" s="137">
        <v>110001</v>
      </c>
      <c r="J45" s="137">
        <v>890003</v>
      </c>
      <c r="K45" s="137">
        <v>990003</v>
      </c>
      <c r="L45" s="52"/>
      <c r="M45" s="52" t="str">
        <f>"{0.9},{1.6},{0.5},{0.5},{0.6}"</f>
        <v>{0.9},{1.6},{0.5},{0.5},{0.6}</v>
      </c>
      <c r="N45" s="52">
        <f t="shared" si="29"/>
        <v>833</v>
      </c>
      <c r="O45" s="52">
        <f t="shared" si="29"/>
        <v>168</v>
      </c>
      <c r="P45" s="52">
        <f t="shared" si="29"/>
        <v>60</v>
      </c>
      <c r="Q45" s="52">
        <f t="shared" si="29"/>
        <v>107</v>
      </c>
      <c r="R45" s="52">
        <f t="shared" si="29"/>
        <v>95</v>
      </c>
      <c r="S45" s="52"/>
      <c r="T45" s="52">
        <f t="shared" si="30"/>
        <v>13</v>
      </c>
      <c r="U45" s="69"/>
      <c r="V45" s="52"/>
      <c r="W45" s="52"/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</row>
    <row r="46" spans="1:37" ht="14.25" customHeight="1">
      <c r="A46" s="52">
        <f t="shared" si="28"/>
        <v>90011</v>
      </c>
      <c r="B46" s="1" t="s">
        <v>92</v>
      </c>
      <c r="C46" s="52" t="s">
        <v>77</v>
      </c>
      <c r="D46" s="52" t="s">
        <v>1483</v>
      </c>
      <c r="E46" s="1" t="s">
        <v>220</v>
      </c>
      <c r="F46" s="52" t="s">
        <v>1485</v>
      </c>
      <c r="G46" s="52">
        <v>22</v>
      </c>
      <c r="H46" s="72" t="str">
        <f t="shared" si="25"/>
        <v>1001,1002,1003,1004,1005,2001,2002,2003,2004,2005,1997</v>
      </c>
      <c r="I46" s="137">
        <v>110001</v>
      </c>
      <c r="J46" s="137">
        <v>890004</v>
      </c>
      <c r="K46" s="137">
        <v>990004</v>
      </c>
      <c r="L46" s="52"/>
      <c r="M46" s="52" t="str">
        <f>"{1},{1.5},{0.5},{0.5},{0.5}"</f>
        <v>{1},{1.5},{0.5},{0.5},{0.5}</v>
      </c>
      <c r="N46" s="52">
        <f t="shared" si="29"/>
        <v>808</v>
      </c>
      <c r="O46" s="52">
        <f t="shared" si="29"/>
        <v>85</v>
      </c>
      <c r="P46" s="52">
        <f t="shared" si="29"/>
        <v>165</v>
      </c>
      <c r="Q46" s="52">
        <f t="shared" si="29"/>
        <v>92</v>
      </c>
      <c r="R46" s="52">
        <f t="shared" si="29"/>
        <v>82</v>
      </c>
      <c r="S46" s="52"/>
      <c r="T46" s="52">
        <f t="shared" si="30"/>
        <v>14</v>
      </c>
      <c r="U46" s="69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</row>
    <row r="47" spans="1:37" ht="14.25" customHeight="1">
      <c r="A47" s="52">
        <f t="shared" si="28"/>
        <v>90012</v>
      </c>
      <c r="B47" s="1" t="s">
        <v>94</v>
      </c>
      <c r="C47" s="52" t="s">
        <v>77</v>
      </c>
      <c r="D47" s="52" t="s">
        <v>1483</v>
      </c>
      <c r="E47" s="1" t="s">
        <v>205</v>
      </c>
      <c r="F47" s="52" t="s">
        <v>1485</v>
      </c>
      <c r="G47" s="52">
        <v>22</v>
      </c>
      <c r="H47" s="72" t="str">
        <f t="shared" si="25"/>
        <v>1001,1002,1003,1004,1005,2001,2002,2003,2004,2005,1997</v>
      </c>
      <c r="I47" s="137">
        <v>110011</v>
      </c>
      <c r="J47" s="137">
        <v>890005</v>
      </c>
      <c r="K47" s="137">
        <v>990005</v>
      </c>
      <c r="L47" s="52"/>
      <c r="M47" s="52" t="str">
        <f>"{1.2},{0.5},{1.3},{1.2},{0.5}"</f>
        <v>{1.2},{0.5},{1.3},{1.2},{0.5}</v>
      </c>
      <c r="N47" s="52">
        <f t="shared" si="29"/>
        <v>808</v>
      </c>
      <c r="O47" s="52">
        <f t="shared" si="29"/>
        <v>34</v>
      </c>
      <c r="P47" s="52">
        <f t="shared" si="29"/>
        <v>172</v>
      </c>
      <c r="Q47" s="52">
        <f t="shared" si="29"/>
        <v>87</v>
      </c>
      <c r="R47" s="52">
        <f t="shared" si="29"/>
        <v>122</v>
      </c>
      <c r="S47" s="52"/>
      <c r="T47" s="52">
        <f t="shared" si="30"/>
        <v>12</v>
      </c>
      <c r="U47" s="69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</row>
    <row r="48" spans="1:37" ht="14.25" customHeight="1">
      <c r="A48" s="52">
        <f t="shared" si="28"/>
        <v>90013</v>
      </c>
      <c r="B48" s="1" t="s">
        <v>97</v>
      </c>
      <c r="C48" s="52" t="s">
        <v>77</v>
      </c>
      <c r="D48" s="52" t="s">
        <v>1483</v>
      </c>
      <c r="E48" s="1" t="s">
        <v>205</v>
      </c>
      <c r="F48" s="52" t="s">
        <v>1485</v>
      </c>
      <c r="G48" s="52">
        <v>22</v>
      </c>
      <c r="H48" s="72" t="str">
        <f t="shared" si="25"/>
        <v>1001,1002,1003,1004,1005,2001,2002,2003,2004,2005,1997</v>
      </c>
      <c r="I48" s="137">
        <v>110011</v>
      </c>
      <c r="J48" s="137">
        <v>890006</v>
      </c>
      <c r="K48" s="137">
        <v>990006</v>
      </c>
      <c r="L48" s="52"/>
      <c r="M48" s="52" t="str">
        <f>"{1.5},{0.5},{1.3},{1.2},{0.5}"</f>
        <v>{1.5},{0.5},{1.3},{1.2},{0.5}</v>
      </c>
      <c r="N48" s="52">
        <f t="shared" si="29"/>
        <v>901</v>
      </c>
      <c r="O48" s="52">
        <f t="shared" si="29"/>
        <v>60</v>
      </c>
      <c r="P48" s="52">
        <f t="shared" si="29"/>
        <v>168</v>
      </c>
      <c r="Q48" s="52">
        <f t="shared" si="29"/>
        <v>114</v>
      </c>
      <c r="R48" s="52">
        <f t="shared" si="29"/>
        <v>126</v>
      </c>
      <c r="S48" s="52"/>
      <c r="T48" s="52">
        <f t="shared" si="30"/>
        <v>11</v>
      </c>
      <c r="U48" s="69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</row>
    <row r="49" spans="1:37">
      <c r="U49" s="65"/>
    </row>
    <row r="50" spans="1:37">
      <c r="U50" s="65"/>
    </row>
    <row r="51" spans="1:37">
      <c r="U51" s="65"/>
    </row>
    <row r="52" spans="1:37">
      <c r="U52" s="65"/>
    </row>
    <row r="53" spans="1:37" ht="14.25" customHeight="1">
      <c r="A53" s="48" t="s">
        <v>1423</v>
      </c>
      <c r="B53" s="48" t="s">
        <v>1424</v>
      </c>
      <c r="C53" s="40" t="s">
        <v>1425</v>
      </c>
      <c r="D53" s="40" t="s">
        <v>733</v>
      </c>
      <c r="E53" s="48" t="s">
        <v>1426</v>
      </c>
      <c r="F53" s="50" t="s">
        <v>1427</v>
      </c>
      <c r="G53" s="40" t="s">
        <v>1172</v>
      </c>
      <c r="H53" s="40" t="s">
        <v>1428</v>
      </c>
      <c r="I53" s="136" t="s">
        <v>1429</v>
      </c>
      <c r="J53" s="136" t="s">
        <v>1430</v>
      </c>
      <c r="K53" s="136" t="s">
        <v>1431</v>
      </c>
      <c r="L53" s="40" t="s">
        <v>1173</v>
      </c>
      <c r="M53" s="40" t="s">
        <v>1432</v>
      </c>
      <c r="N53" s="40" t="s">
        <v>1433</v>
      </c>
      <c r="O53" s="40" t="s">
        <v>1434</v>
      </c>
      <c r="P53" s="40" t="s">
        <v>1435</v>
      </c>
      <c r="Q53" s="40" t="s">
        <v>1436</v>
      </c>
      <c r="R53" s="40" t="s">
        <v>1437</v>
      </c>
      <c r="S53" s="40" t="s">
        <v>1438</v>
      </c>
      <c r="T53" s="40" t="s">
        <v>209</v>
      </c>
      <c r="U53" s="66" t="s">
        <v>1439</v>
      </c>
      <c r="V53" s="6" t="s">
        <v>1440</v>
      </c>
      <c r="W53" s="40" t="s">
        <v>1441</v>
      </c>
      <c r="X53" s="40" t="s">
        <v>1442</v>
      </c>
      <c r="Y53" s="67" t="s">
        <v>1443</v>
      </c>
      <c r="Z53" s="6" t="s">
        <v>1444</v>
      </c>
      <c r="AA53" s="6" t="s">
        <v>1445</v>
      </c>
      <c r="AB53" s="6" t="s">
        <v>1446</v>
      </c>
      <c r="AC53" s="6" t="s">
        <v>1447</v>
      </c>
      <c r="AD53" s="6" t="s">
        <v>1448</v>
      </c>
      <c r="AE53" s="6" t="s">
        <v>1449</v>
      </c>
      <c r="AF53" s="6" t="s">
        <v>1450</v>
      </c>
      <c r="AG53" s="6" t="s">
        <v>1451</v>
      </c>
      <c r="AH53" s="6" t="s">
        <v>1452</v>
      </c>
      <c r="AI53" s="6" t="s">
        <v>1453</v>
      </c>
      <c r="AJ53" s="6" t="s">
        <v>1454</v>
      </c>
      <c r="AK53" s="6" t="s">
        <v>1455</v>
      </c>
    </row>
    <row r="54" spans="1:37" ht="16.5" customHeight="1">
      <c r="A54" s="52">
        <v>40001</v>
      </c>
      <c r="B54" s="27" t="s">
        <v>1488</v>
      </c>
      <c r="C54" s="52" t="s">
        <v>79</v>
      </c>
      <c r="D54" s="52" t="s">
        <v>1489</v>
      </c>
      <c r="E54" s="52" t="str">
        <f t="shared" ref="E54:E69" si="31">IF(O54&gt;P54,"物攻","魔攻")</f>
        <v>物攻</v>
      </c>
      <c r="F54" s="68" t="str">
        <f t="shared" ref="F54:F69" si="32">"1,1"</f>
        <v>1,1</v>
      </c>
      <c r="G54" s="27">
        <v>62</v>
      </c>
      <c r="H54" s="52"/>
      <c r="I54" s="137">
        <v>110002</v>
      </c>
      <c r="J54" s="137">
        <v>400001</v>
      </c>
      <c r="K54" s="137">
        <v>410001</v>
      </c>
      <c r="L54" s="55">
        <v>2</v>
      </c>
      <c r="M54" s="52"/>
      <c r="N54" s="52">
        <v>550</v>
      </c>
      <c r="O54" s="52">
        <v>53</v>
      </c>
      <c r="P54" s="52">
        <v>9</v>
      </c>
      <c r="Q54" s="52">
        <v>33</v>
      </c>
      <c r="R54" s="52">
        <v>21</v>
      </c>
      <c r="S54" s="52">
        <v>57</v>
      </c>
      <c r="T54" s="52">
        <v>8</v>
      </c>
      <c r="U54" s="69"/>
      <c r="V54" s="70">
        <f t="shared" ref="V54:V69" si="33">N54*0.5+O54+P54+Q54+R54+S54+T54*5</f>
        <v>488</v>
      </c>
      <c r="W54" s="6">
        <f t="shared" ref="W54:W69" si="34">IF(C54="R",0.08,IF(C54="SR",0.02,IF(C54="SSR",0.01)))</f>
        <v>0.08</v>
      </c>
      <c r="X54" s="6"/>
      <c r="Y54" s="21"/>
      <c r="Z54" s="6" t="str">
        <f t="shared" ref="Z54:Z69" si="35">IF(C54="SSR",IF(P54&gt;O54,"901","900"),IF(C54="SR",IF(P54&gt;O54,"902","903" ),IF(C54="R",IF(P54&gt;O54,"904","905" ))))</f>
        <v>905</v>
      </c>
      <c r="AA54" s="6">
        <v>910</v>
      </c>
      <c r="AB54" s="6"/>
      <c r="AC54" s="6"/>
      <c r="AD54" s="6"/>
      <c r="AE54" s="6"/>
      <c r="AF54" s="6"/>
      <c r="AG54" s="6"/>
      <c r="AH54" s="6"/>
      <c r="AI54" s="6"/>
      <c r="AJ54" s="6"/>
      <c r="AK54" s="6"/>
    </row>
    <row r="55" spans="1:37" ht="16.5" customHeight="1">
      <c r="A55" s="52">
        <v>40002</v>
      </c>
      <c r="B55" s="27" t="s">
        <v>1490</v>
      </c>
      <c r="C55" s="52" t="s">
        <v>79</v>
      </c>
      <c r="D55" s="52" t="s">
        <v>1489</v>
      </c>
      <c r="E55" s="52" t="str">
        <f t="shared" si="31"/>
        <v>物攻</v>
      </c>
      <c r="F55" s="68" t="str">
        <f t="shared" si="32"/>
        <v>1,1</v>
      </c>
      <c r="G55" s="27">
        <v>62</v>
      </c>
      <c r="H55" s="52"/>
      <c r="I55" s="137">
        <v>110002</v>
      </c>
      <c r="J55" s="137">
        <v>400002</v>
      </c>
      <c r="K55" s="137">
        <v>410002</v>
      </c>
      <c r="L55" s="55">
        <v>1</v>
      </c>
      <c r="M55" s="52"/>
      <c r="N55" s="52">
        <v>430</v>
      </c>
      <c r="O55" s="52">
        <v>49</v>
      </c>
      <c r="P55" s="52">
        <v>11</v>
      </c>
      <c r="Q55" s="52">
        <v>36</v>
      </c>
      <c r="R55" s="52">
        <v>27</v>
      </c>
      <c r="S55" s="52">
        <v>57</v>
      </c>
      <c r="T55" s="52">
        <v>8</v>
      </c>
      <c r="U55" s="69"/>
      <c r="V55" s="70">
        <f t="shared" si="33"/>
        <v>435</v>
      </c>
      <c r="W55" s="6">
        <f t="shared" si="34"/>
        <v>0.08</v>
      </c>
      <c r="X55" s="6"/>
      <c r="Y55" s="21"/>
      <c r="Z55" s="6" t="str">
        <f t="shared" si="35"/>
        <v>905</v>
      </c>
      <c r="AA55" s="6">
        <v>910</v>
      </c>
      <c r="AB55" s="6"/>
      <c r="AC55" s="6"/>
      <c r="AD55" s="6"/>
      <c r="AE55" s="6"/>
      <c r="AF55" s="6"/>
      <c r="AG55" s="6"/>
      <c r="AH55" s="6"/>
      <c r="AI55" s="6"/>
      <c r="AJ55" s="6"/>
      <c r="AK55" s="6"/>
    </row>
    <row r="56" spans="1:37" ht="16.5" customHeight="1">
      <c r="A56" s="52">
        <v>40003</v>
      </c>
      <c r="B56" s="27" t="s">
        <v>1491</v>
      </c>
      <c r="C56" s="52" t="s">
        <v>79</v>
      </c>
      <c r="D56" s="52" t="s">
        <v>1489</v>
      </c>
      <c r="E56" s="52" t="str">
        <f t="shared" si="31"/>
        <v>物攻</v>
      </c>
      <c r="F56" s="68" t="str">
        <f t="shared" si="32"/>
        <v>1,1</v>
      </c>
      <c r="G56" s="27">
        <v>67</v>
      </c>
      <c r="H56" s="52"/>
      <c r="I56" s="137">
        <v>110001</v>
      </c>
      <c r="J56" s="137">
        <v>400003</v>
      </c>
      <c r="K56" s="137">
        <v>410003</v>
      </c>
      <c r="L56" s="55">
        <v>2</v>
      </c>
      <c r="M56" s="52"/>
      <c r="N56" s="52">
        <v>690</v>
      </c>
      <c r="O56" s="52">
        <v>44</v>
      </c>
      <c r="P56" s="52">
        <v>9</v>
      </c>
      <c r="Q56" s="52">
        <v>41</v>
      </c>
      <c r="R56" s="52">
        <v>31</v>
      </c>
      <c r="S56" s="52">
        <v>57</v>
      </c>
      <c r="T56" s="52">
        <v>8</v>
      </c>
      <c r="U56" s="69"/>
      <c r="V56" s="70">
        <f t="shared" si="33"/>
        <v>567</v>
      </c>
      <c r="W56" s="6">
        <f t="shared" si="34"/>
        <v>0.08</v>
      </c>
      <c r="X56" s="6"/>
      <c r="Y56" s="21"/>
      <c r="Z56" s="6" t="str">
        <f t="shared" si="35"/>
        <v>905</v>
      </c>
      <c r="AA56" s="6">
        <v>910</v>
      </c>
      <c r="AB56" s="6"/>
      <c r="AC56" s="6"/>
      <c r="AD56" s="6"/>
      <c r="AE56" s="6"/>
      <c r="AF56" s="6"/>
      <c r="AG56" s="6"/>
      <c r="AH56" s="6"/>
      <c r="AI56" s="6"/>
      <c r="AJ56" s="6"/>
      <c r="AK56" s="6"/>
    </row>
    <row r="57" spans="1:37" ht="16.5" customHeight="1">
      <c r="A57" s="52">
        <v>40004</v>
      </c>
      <c r="B57" s="27" t="s">
        <v>1492</v>
      </c>
      <c r="C57" s="52" t="s">
        <v>79</v>
      </c>
      <c r="D57" s="52" t="s">
        <v>1489</v>
      </c>
      <c r="E57" s="52" t="str">
        <f t="shared" si="31"/>
        <v>物攻</v>
      </c>
      <c r="F57" s="68" t="str">
        <f t="shared" si="32"/>
        <v>1,1</v>
      </c>
      <c r="G57" s="27">
        <v>62</v>
      </c>
      <c r="H57" s="52"/>
      <c r="I57" s="137">
        <v>110002</v>
      </c>
      <c r="J57" s="137">
        <v>400004</v>
      </c>
      <c r="K57" s="137">
        <v>410004</v>
      </c>
      <c r="L57" s="55">
        <v>3</v>
      </c>
      <c r="M57" s="52"/>
      <c r="N57" s="52">
        <v>450</v>
      </c>
      <c r="O57" s="52">
        <v>57</v>
      </c>
      <c r="P57" s="52">
        <v>9</v>
      </c>
      <c r="Q57" s="52">
        <v>27</v>
      </c>
      <c r="R57" s="52">
        <v>23</v>
      </c>
      <c r="S57" s="52">
        <v>57</v>
      </c>
      <c r="T57" s="52">
        <v>8</v>
      </c>
      <c r="U57" s="69"/>
      <c r="V57" s="70">
        <f t="shared" si="33"/>
        <v>438</v>
      </c>
      <c r="W57" s="6">
        <f t="shared" si="34"/>
        <v>0.08</v>
      </c>
      <c r="X57" s="6"/>
      <c r="Y57" s="21"/>
      <c r="Z57" s="6" t="str">
        <f t="shared" si="35"/>
        <v>905</v>
      </c>
      <c r="AA57" s="6">
        <v>910</v>
      </c>
      <c r="AB57" s="6"/>
      <c r="AC57" s="6"/>
      <c r="AD57" s="6"/>
      <c r="AE57" s="6"/>
      <c r="AF57" s="6"/>
      <c r="AG57" s="6"/>
      <c r="AH57" s="6"/>
      <c r="AI57" s="6"/>
      <c r="AJ57" s="6"/>
      <c r="AK57" s="6"/>
    </row>
    <row r="58" spans="1:37" ht="16.5" customHeight="1">
      <c r="A58" s="52">
        <v>40005</v>
      </c>
      <c r="B58" s="27" t="s">
        <v>1493</v>
      </c>
      <c r="C58" s="52" t="s">
        <v>79</v>
      </c>
      <c r="D58" s="52" t="s">
        <v>1489</v>
      </c>
      <c r="E58" s="52" t="str">
        <f t="shared" si="31"/>
        <v>魔攻</v>
      </c>
      <c r="F58" s="68" t="str">
        <f t="shared" si="32"/>
        <v>1,1</v>
      </c>
      <c r="G58" s="27">
        <v>64</v>
      </c>
      <c r="H58" s="52"/>
      <c r="I58" s="137">
        <v>110011</v>
      </c>
      <c r="J58" s="137">
        <v>400005</v>
      </c>
      <c r="K58" s="137">
        <v>410005</v>
      </c>
      <c r="L58" s="55">
        <v>2</v>
      </c>
      <c r="M58" s="52"/>
      <c r="N58" s="52">
        <v>480</v>
      </c>
      <c r="O58" s="52">
        <v>7</v>
      </c>
      <c r="P58" s="52">
        <v>43</v>
      </c>
      <c r="Q58" s="52">
        <v>20</v>
      </c>
      <c r="R58" s="52">
        <v>35</v>
      </c>
      <c r="S58" s="52">
        <v>57</v>
      </c>
      <c r="T58" s="52">
        <v>8</v>
      </c>
      <c r="U58" s="69"/>
      <c r="V58" s="70">
        <f t="shared" si="33"/>
        <v>442</v>
      </c>
      <c r="W58" s="6">
        <f t="shared" si="34"/>
        <v>0.08</v>
      </c>
      <c r="X58" s="6"/>
      <c r="Y58" s="21"/>
      <c r="Z58" s="6" t="str">
        <f t="shared" si="35"/>
        <v>904</v>
      </c>
      <c r="AA58" s="6">
        <v>910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</row>
    <row r="59" spans="1:37" ht="16.5" customHeight="1">
      <c r="A59" s="52">
        <v>40006</v>
      </c>
      <c r="B59" s="27" t="s">
        <v>1494</v>
      </c>
      <c r="C59" s="52" t="s">
        <v>79</v>
      </c>
      <c r="D59" s="52" t="s">
        <v>1489</v>
      </c>
      <c r="E59" s="52" t="str">
        <f t="shared" si="31"/>
        <v>物攻</v>
      </c>
      <c r="F59" s="68" t="str">
        <f t="shared" si="32"/>
        <v>1,1</v>
      </c>
      <c r="G59" s="27">
        <v>62</v>
      </c>
      <c r="H59" s="52"/>
      <c r="I59" s="137">
        <v>110001</v>
      </c>
      <c r="J59" s="137">
        <v>400006</v>
      </c>
      <c r="K59" s="137">
        <v>410006</v>
      </c>
      <c r="L59" s="55">
        <v>3</v>
      </c>
      <c r="M59" s="52"/>
      <c r="N59" s="52">
        <v>450</v>
      </c>
      <c r="O59" s="52">
        <v>46</v>
      </c>
      <c r="P59" s="52">
        <v>9</v>
      </c>
      <c r="Q59" s="52">
        <v>19</v>
      </c>
      <c r="R59" s="52">
        <v>19</v>
      </c>
      <c r="S59" s="52">
        <v>57</v>
      </c>
      <c r="T59" s="52">
        <v>8</v>
      </c>
      <c r="U59" s="69"/>
      <c r="V59" s="70">
        <f t="shared" si="33"/>
        <v>415</v>
      </c>
      <c r="W59" s="6">
        <f t="shared" si="34"/>
        <v>0.08</v>
      </c>
      <c r="X59" s="6"/>
      <c r="Y59" s="21"/>
      <c r="Z59" s="6" t="str">
        <f t="shared" si="35"/>
        <v>905</v>
      </c>
      <c r="AA59" s="6">
        <v>910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</row>
    <row r="60" spans="1:37" ht="16.5" customHeight="1">
      <c r="A60" s="52">
        <v>40007</v>
      </c>
      <c r="B60" s="27" t="s">
        <v>1495</v>
      </c>
      <c r="C60" s="52" t="s">
        <v>79</v>
      </c>
      <c r="D60" s="52" t="s">
        <v>1489</v>
      </c>
      <c r="E60" s="52" t="str">
        <f t="shared" si="31"/>
        <v>魔攻</v>
      </c>
      <c r="F60" s="68" t="str">
        <f t="shared" si="32"/>
        <v>1,1</v>
      </c>
      <c r="G60" s="27">
        <v>67</v>
      </c>
      <c r="H60" s="52"/>
      <c r="I60" s="137">
        <v>110012</v>
      </c>
      <c r="J60" s="137">
        <v>400007</v>
      </c>
      <c r="K60" s="137">
        <v>410007</v>
      </c>
      <c r="L60" s="55">
        <v>1</v>
      </c>
      <c r="M60" s="52"/>
      <c r="N60" s="52">
        <v>500</v>
      </c>
      <c r="O60" s="52">
        <v>3</v>
      </c>
      <c r="P60" s="52">
        <v>55</v>
      </c>
      <c r="Q60" s="52">
        <v>21</v>
      </c>
      <c r="R60" s="52">
        <v>38</v>
      </c>
      <c r="S60" s="52">
        <v>57</v>
      </c>
      <c r="T60" s="52">
        <v>8</v>
      </c>
      <c r="U60" s="69"/>
      <c r="V60" s="70">
        <f t="shared" si="33"/>
        <v>464</v>
      </c>
      <c r="W60" s="6">
        <f t="shared" si="34"/>
        <v>0.08</v>
      </c>
      <c r="X60" s="6"/>
      <c r="Y60" s="21"/>
      <c r="Z60" s="6" t="str">
        <f t="shared" si="35"/>
        <v>904</v>
      </c>
      <c r="AA60" s="6">
        <v>910</v>
      </c>
      <c r="AB60" s="6"/>
      <c r="AC60" s="6"/>
      <c r="AD60" s="6"/>
      <c r="AE60" s="6"/>
      <c r="AF60" s="6"/>
      <c r="AG60" s="6"/>
      <c r="AH60" s="6"/>
      <c r="AI60" s="6"/>
      <c r="AJ60" s="6"/>
      <c r="AK60" s="6"/>
    </row>
    <row r="61" spans="1:37" ht="16.5" customHeight="1">
      <c r="A61" s="52">
        <v>40008</v>
      </c>
      <c r="B61" s="27" t="s">
        <v>1496</v>
      </c>
      <c r="C61" s="52" t="s">
        <v>79</v>
      </c>
      <c r="D61" s="52" t="s">
        <v>1489</v>
      </c>
      <c r="E61" s="52" t="str">
        <f t="shared" si="31"/>
        <v>物攻</v>
      </c>
      <c r="F61" s="68" t="str">
        <f t="shared" si="32"/>
        <v>1,1</v>
      </c>
      <c r="G61" s="27">
        <v>62</v>
      </c>
      <c r="H61" s="52"/>
      <c r="I61" s="137">
        <v>110002</v>
      </c>
      <c r="J61" s="137">
        <v>400008</v>
      </c>
      <c r="K61" s="137">
        <v>410008</v>
      </c>
      <c r="L61" s="55">
        <v>1</v>
      </c>
      <c r="M61" s="52"/>
      <c r="N61" s="52">
        <v>470</v>
      </c>
      <c r="O61" s="52">
        <v>53</v>
      </c>
      <c r="P61" s="52">
        <v>9</v>
      </c>
      <c r="Q61" s="52">
        <v>33</v>
      </c>
      <c r="R61" s="52">
        <v>29</v>
      </c>
      <c r="S61" s="52">
        <v>57</v>
      </c>
      <c r="T61" s="52">
        <v>8</v>
      </c>
      <c r="U61" s="69"/>
      <c r="V61" s="70">
        <f t="shared" si="33"/>
        <v>456</v>
      </c>
      <c r="W61" s="6">
        <f t="shared" si="34"/>
        <v>0.08</v>
      </c>
      <c r="X61" s="6"/>
      <c r="Y61" s="21"/>
      <c r="Z61" s="6" t="str">
        <f t="shared" si="35"/>
        <v>905</v>
      </c>
      <c r="AA61" s="6">
        <v>910</v>
      </c>
      <c r="AB61" s="6"/>
      <c r="AC61" s="6"/>
      <c r="AD61" s="6"/>
      <c r="AE61" s="6"/>
      <c r="AF61" s="6"/>
      <c r="AG61" s="6"/>
      <c r="AH61" s="6"/>
      <c r="AI61" s="6"/>
      <c r="AJ61" s="6"/>
      <c r="AK61" s="6"/>
    </row>
    <row r="62" spans="1:37" ht="16.5" customHeight="1">
      <c r="A62" s="52">
        <v>40009</v>
      </c>
      <c r="B62" s="27" t="s">
        <v>1497</v>
      </c>
      <c r="C62" s="52" t="s">
        <v>79</v>
      </c>
      <c r="D62" s="52" t="s">
        <v>1489</v>
      </c>
      <c r="E62" s="52" t="str">
        <f t="shared" si="31"/>
        <v>魔攻</v>
      </c>
      <c r="F62" s="68" t="str">
        <f t="shared" si="32"/>
        <v>1,1</v>
      </c>
      <c r="G62" s="27">
        <v>64</v>
      </c>
      <c r="H62" s="52"/>
      <c r="I62" s="137">
        <v>110011</v>
      </c>
      <c r="J62" s="137">
        <v>400009</v>
      </c>
      <c r="K62" s="137">
        <v>410009</v>
      </c>
      <c r="L62" s="55">
        <v>2</v>
      </c>
      <c r="M62" s="52"/>
      <c r="N62" s="52">
        <v>490</v>
      </c>
      <c r="O62" s="52">
        <v>12</v>
      </c>
      <c r="P62" s="52">
        <v>55</v>
      </c>
      <c r="Q62" s="52">
        <v>17</v>
      </c>
      <c r="R62" s="52">
        <v>37</v>
      </c>
      <c r="S62" s="52">
        <v>57</v>
      </c>
      <c r="T62" s="52">
        <v>8</v>
      </c>
      <c r="U62" s="69"/>
      <c r="V62" s="70">
        <f t="shared" si="33"/>
        <v>463</v>
      </c>
      <c r="W62" s="6">
        <f t="shared" si="34"/>
        <v>0.08</v>
      </c>
      <c r="X62" s="6"/>
      <c r="Y62" s="21"/>
      <c r="Z62" s="6" t="str">
        <f t="shared" si="35"/>
        <v>904</v>
      </c>
      <c r="AA62" s="6">
        <v>910</v>
      </c>
      <c r="AB62" s="6"/>
      <c r="AC62" s="6"/>
      <c r="AD62" s="6"/>
      <c r="AE62" s="6"/>
      <c r="AF62" s="6"/>
      <c r="AG62" s="6"/>
      <c r="AH62" s="6"/>
      <c r="AI62" s="6"/>
      <c r="AJ62" s="6"/>
      <c r="AK62" s="6"/>
    </row>
    <row r="63" spans="1:37" ht="16.5" customHeight="1">
      <c r="A63" s="52">
        <v>40010</v>
      </c>
      <c r="B63" s="27" t="s">
        <v>1498</v>
      </c>
      <c r="C63" s="52" t="s">
        <v>79</v>
      </c>
      <c r="D63" s="52" t="s">
        <v>1489</v>
      </c>
      <c r="E63" s="52" t="str">
        <f t="shared" si="31"/>
        <v>魔攻</v>
      </c>
      <c r="F63" s="68" t="str">
        <f t="shared" si="32"/>
        <v>1,1</v>
      </c>
      <c r="G63" s="27">
        <v>64</v>
      </c>
      <c r="H63" s="52"/>
      <c r="I63" s="137">
        <v>110012</v>
      </c>
      <c r="J63" s="137">
        <v>400010</v>
      </c>
      <c r="K63" s="137">
        <v>410010</v>
      </c>
      <c r="L63" s="55">
        <v>1</v>
      </c>
      <c r="M63" s="52"/>
      <c r="N63" s="52">
        <v>660</v>
      </c>
      <c r="O63" s="52">
        <v>15</v>
      </c>
      <c r="P63" s="52">
        <v>47</v>
      </c>
      <c r="Q63" s="52">
        <v>39</v>
      </c>
      <c r="R63" s="52">
        <v>27</v>
      </c>
      <c r="S63" s="52">
        <v>57</v>
      </c>
      <c r="T63" s="52">
        <v>8</v>
      </c>
      <c r="U63" s="69"/>
      <c r="V63" s="70">
        <f t="shared" si="33"/>
        <v>555</v>
      </c>
      <c r="W63" s="6">
        <f t="shared" si="34"/>
        <v>0.08</v>
      </c>
      <c r="X63" s="6"/>
      <c r="Y63" s="21"/>
      <c r="Z63" s="6" t="str">
        <f t="shared" si="35"/>
        <v>904</v>
      </c>
      <c r="AA63" s="6">
        <v>910</v>
      </c>
      <c r="AB63" s="6"/>
      <c r="AC63" s="6"/>
      <c r="AD63" s="6"/>
      <c r="AE63" s="6"/>
      <c r="AF63" s="6"/>
      <c r="AG63" s="6"/>
      <c r="AH63" s="6"/>
      <c r="AI63" s="6"/>
      <c r="AJ63" s="6"/>
      <c r="AK63" s="6"/>
    </row>
    <row r="64" spans="1:37" ht="16.5" customHeight="1">
      <c r="A64" s="52">
        <v>40011</v>
      </c>
      <c r="B64" s="4" t="s">
        <v>1499</v>
      </c>
      <c r="C64" s="52" t="s">
        <v>79</v>
      </c>
      <c r="D64" s="52" t="s">
        <v>1489</v>
      </c>
      <c r="E64" s="52" t="str">
        <f t="shared" si="31"/>
        <v>魔攻</v>
      </c>
      <c r="F64" s="68" t="str">
        <f t="shared" si="32"/>
        <v>1,1</v>
      </c>
      <c r="G64" s="27">
        <v>63</v>
      </c>
      <c r="H64" s="52"/>
      <c r="I64" s="137">
        <v>110012</v>
      </c>
      <c r="J64" s="137">
        <v>400011</v>
      </c>
      <c r="K64" s="137">
        <v>410011</v>
      </c>
      <c r="L64" s="55">
        <v>1</v>
      </c>
      <c r="M64" s="52"/>
      <c r="N64" s="52">
        <v>760</v>
      </c>
      <c r="O64" s="52">
        <v>15</v>
      </c>
      <c r="P64" s="52">
        <v>40</v>
      </c>
      <c r="Q64" s="52">
        <v>20</v>
      </c>
      <c r="R64" s="52">
        <v>19</v>
      </c>
      <c r="S64" s="52">
        <v>57</v>
      </c>
      <c r="T64" s="52">
        <v>8</v>
      </c>
      <c r="U64" s="77">
        <v>5</v>
      </c>
      <c r="V64" s="70">
        <f t="shared" si="33"/>
        <v>571</v>
      </c>
      <c r="W64" s="6">
        <f t="shared" si="34"/>
        <v>0.08</v>
      </c>
      <c r="X64" s="68"/>
      <c r="Y64" s="52"/>
      <c r="Z64" s="6" t="str">
        <f t="shared" si="35"/>
        <v>904</v>
      </c>
      <c r="AA64" s="6">
        <v>910</v>
      </c>
      <c r="AB64" s="68"/>
      <c r="AC64" s="52"/>
      <c r="AD64" s="68"/>
      <c r="AE64" s="52"/>
      <c r="AF64" s="68"/>
      <c r="AG64" s="52"/>
      <c r="AH64" s="68"/>
      <c r="AI64" s="52"/>
      <c r="AJ64" s="68"/>
      <c r="AK64" s="68"/>
    </row>
    <row r="65" spans="1:37" ht="16.5" customHeight="1">
      <c r="A65" s="52">
        <v>40012</v>
      </c>
      <c r="B65" s="4" t="s">
        <v>1500</v>
      </c>
      <c r="C65" s="52" t="s">
        <v>79</v>
      </c>
      <c r="D65" s="52" t="s">
        <v>1489</v>
      </c>
      <c r="E65" s="52" t="str">
        <f t="shared" si="31"/>
        <v>魔攻</v>
      </c>
      <c r="F65" s="68" t="str">
        <f t="shared" si="32"/>
        <v>1,1</v>
      </c>
      <c r="G65" s="27">
        <v>63</v>
      </c>
      <c r="H65" s="52"/>
      <c r="I65" s="137">
        <v>110012</v>
      </c>
      <c r="J65" s="137">
        <v>400011</v>
      </c>
      <c r="K65" s="137">
        <v>410011</v>
      </c>
      <c r="L65" s="55">
        <v>1</v>
      </c>
      <c r="M65" s="52"/>
      <c r="N65" s="52">
        <v>760</v>
      </c>
      <c r="O65" s="52">
        <v>15</v>
      </c>
      <c r="P65" s="52">
        <v>40</v>
      </c>
      <c r="Q65" s="52">
        <v>20</v>
      </c>
      <c r="R65" s="52">
        <v>19</v>
      </c>
      <c r="S65" s="52">
        <v>57</v>
      </c>
      <c r="T65" s="52">
        <v>8</v>
      </c>
      <c r="U65" s="77">
        <v>5</v>
      </c>
      <c r="V65" s="70">
        <f t="shared" si="33"/>
        <v>571</v>
      </c>
      <c r="W65" s="6">
        <f t="shared" si="34"/>
        <v>0.08</v>
      </c>
      <c r="X65" s="68"/>
      <c r="Y65" s="52"/>
      <c r="Z65" s="6" t="str">
        <f t="shared" si="35"/>
        <v>904</v>
      </c>
      <c r="AA65" s="6">
        <v>910</v>
      </c>
      <c r="AB65" s="68"/>
      <c r="AC65" s="52"/>
      <c r="AD65" s="68"/>
      <c r="AE65" s="52"/>
      <c r="AF65" s="68"/>
      <c r="AG65" s="52"/>
      <c r="AH65" s="68"/>
      <c r="AI65" s="52"/>
      <c r="AJ65" s="68"/>
      <c r="AK65" s="68"/>
    </row>
    <row r="66" spans="1:37" ht="16.5" customHeight="1">
      <c r="A66" s="52">
        <v>40013</v>
      </c>
      <c r="B66" s="4" t="s">
        <v>1501</v>
      </c>
      <c r="C66" s="52" t="s">
        <v>79</v>
      </c>
      <c r="D66" s="52" t="s">
        <v>1489</v>
      </c>
      <c r="E66" s="52" t="str">
        <f t="shared" si="31"/>
        <v>魔攻</v>
      </c>
      <c r="F66" s="68" t="str">
        <f t="shared" si="32"/>
        <v>1,1</v>
      </c>
      <c r="G66" s="27">
        <v>63</v>
      </c>
      <c r="H66" s="52"/>
      <c r="I66" s="137">
        <v>110012</v>
      </c>
      <c r="J66" s="137">
        <v>400013</v>
      </c>
      <c r="K66" s="137">
        <v>410011</v>
      </c>
      <c r="L66" s="55">
        <v>1</v>
      </c>
      <c r="M66" s="52"/>
      <c r="N66" s="52">
        <v>710</v>
      </c>
      <c r="O66" s="52">
        <v>15</v>
      </c>
      <c r="P66" s="52">
        <v>44</v>
      </c>
      <c r="Q66" s="52">
        <v>18</v>
      </c>
      <c r="R66" s="52">
        <v>22</v>
      </c>
      <c r="S66" s="52">
        <v>57</v>
      </c>
      <c r="T66" s="52">
        <v>8</v>
      </c>
      <c r="U66" s="77">
        <v>5</v>
      </c>
      <c r="V66" s="70">
        <f t="shared" si="33"/>
        <v>551</v>
      </c>
      <c r="W66" s="6">
        <f t="shared" si="34"/>
        <v>0.08</v>
      </c>
      <c r="X66" s="68"/>
      <c r="Y66" s="52"/>
      <c r="Z66" s="6" t="str">
        <f t="shared" si="35"/>
        <v>904</v>
      </c>
      <c r="AA66" s="6">
        <v>910</v>
      </c>
      <c r="AB66" s="68"/>
      <c r="AC66" s="52"/>
      <c r="AD66" s="68"/>
      <c r="AE66" s="52"/>
      <c r="AF66" s="68"/>
      <c r="AG66" s="52"/>
      <c r="AH66" s="68"/>
      <c r="AI66" s="52"/>
      <c r="AJ66" s="68"/>
      <c r="AK66" s="68"/>
    </row>
    <row r="67" spans="1:37" ht="16.5" customHeight="1">
      <c r="A67" s="52">
        <v>40014</v>
      </c>
      <c r="B67" s="4" t="s">
        <v>1502</v>
      </c>
      <c r="C67" s="52" t="s">
        <v>79</v>
      </c>
      <c r="D67" s="52" t="s">
        <v>1489</v>
      </c>
      <c r="E67" s="52" t="str">
        <f t="shared" si="31"/>
        <v>魔攻</v>
      </c>
      <c r="F67" s="68" t="str">
        <f t="shared" si="32"/>
        <v>1,1</v>
      </c>
      <c r="G67" s="27">
        <v>63</v>
      </c>
      <c r="H67" s="52"/>
      <c r="I67" s="137">
        <v>110012</v>
      </c>
      <c r="J67" s="137">
        <v>400012</v>
      </c>
      <c r="K67" s="137">
        <v>410009</v>
      </c>
      <c r="L67" s="55">
        <v>2</v>
      </c>
      <c r="M67" s="52"/>
      <c r="N67" s="52">
        <v>720</v>
      </c>
      <c r="O67" s="52">
        <v>15</v>
      </c>
      <c r="P67" s="52">
        <v>48</v>
      </c>
      <c r="Q67" s="52">
        <v>22</v>
      </c>
      <c r="R67" s="52">
        <v>19</v>
      </c>
      <c r="S67" s="52">
        <v>57</v>
      </c>
      <c r="T67" s="52">
        <v>8</v>
      </c>
      <c r="U67" s="77">
        <v>5</v>
      </c>
      <c r="V67" s="70">
        <f t="shared" si="33"/>
        <v>561</v>
      </c>
      <c r="W67" s="6">
        <f t="shared" si="34"/>
        <v>0.08</v>
      </c>
      <c r="X67" s="68"/>
      <c r="Y67" s="52"/>
      <c r="Z67" s="6" t="str">
        <f t="shared" si="35"/>
        <v>904</v>
      </c>
      <c r="AA67" s="6">
        <v>910</v>
      </c>
      <c r="AB67" s="68"/>
      <c r="AC67" s="52"/>
      <c r="AD67" s="68"/>
      <c r="AE67" s="52"/>
      <c r="AF67" s="68"/>
      <c r="AG67" s="52"/>
      <c r="AH67" s="68"/>
      <c r="AI67" s="52"/>
      <c r="AJ67" s="68"/>
      <c r="AK67" s="68"/>
    </row>
    <row r="68" spans="1:37" ht="16.5" customHeight="1">
      <c r="A68" s="52">
        <v>40015</v>
      </c>
      <c r="B68" s="4" t="s">
        <v>1503</v>
      </c>
      <c r="C68" s="52" t="s">
        <v>79</v>
      </c>
      <c r="D68" s="52" t="s">
        <v>1489</v>
      </c>
      <c r="E68" s="52" t="str">
        <f t="shared" si="31"/>
        <v>物攻</v>
      </c>
      <c r="F68" s="68" t="str">
        <f t="shared" si="32"/>
        <v>1,1</v>
      </c>
      <c r="G68" s="27">
        <v>63</v>
      </c>
      <c r="H68" s="52"/>
      <c r="I68" s="137">
        <v>110011</v>
      </c>
      <c r="J68" s="137">
        <v>400014</v>
      </c>
      <c r="K68" s="137">
        <v>410006</v>
      </c>
      <c r="L68" s="55">
        <v>3</v>
      </c>
      <c r="M68" s="52"/>
      <c r="N68" s="52">
        <v>670</v>
      </c>
      <c r="O68" s="52">
        <v>49</v>
      </c>
      <c r="P68" s="52">
        <v>12</v>
      </c>
      <c r="Q68" s="52">
        <v>20</v>
      </c>
      <c r="R68" s="52">
        <v>19</v>
      </c>
      <c r="S68" s="52">
        <v>57</v>
      </c>
      <c r="T68" s="52">
        <v>8</v>
      </c>
      <c r="U68" s="77">
        <v>5</v>
      </c>
      <c r="V68" s="70">
        <f t="shared" si="33"/>
        <v>532</v>
      </c>
      <c r="W68" s="6">
        <f t="shared" si="34"/>
        <v>0.08</v>
      </c>
      <c r="X68" s="68"/>
      <c r="Y68" s="52"/>
      <c r="Z68" s="6" t="str">
        <f t="shared" si="35"/>
        <v>905</v>
      </c>
      <c r="AA68" s="6">
        <v>910</v>
      </c>
      <c r="AB68" s="68"/>
      <c r="AC68" s="52"/>
      <c r="AD68" s="68"/>
      <c r="AE68" s="52"/>
      <c r="AF68" s="68"/>
      <c r="AG68" s="52"/>
      <c r="AH68" s="68"/>
      <c r="AI68" s="52"/>
      <c r="AJ68" s="68"/>
      <c r="AK68" s="68"/>
    </row>
    <row r="69" spans="1:37" ht="16.5" customHeight="1">
      <c r="A69" s="52">
        <v>40016</v>
      </c>
      <c r="B69" s="4" t="s">
        <v>1504</v>
      </c>
      <c r="C69" s="52" t="s">
        <v>79</v>
      </c>
      <c r="D69" s="52" t="s">
        <v>1489</v>
      </c>
      <c r="E69" s="52" t="str">
        <f t="shared" si="31"/>
        <v>物攻</v>
      </c>
      <c r="F69" s="68" t="str">
        <f t="shared" si="32"/>
        <v>1,1</v>
      </c>
      <c r="G69" s="27">
        <v>63</v>
      </c>
      <c r="H69" s="52"/>
      <c r="I69" s="137">
        <v>110001</v>
      </c>
      <c r="J69" s="137">
        <v>400015</v>
      </c>
      <c r="K69" s="137">
        <v>410012</v>
      </c>
      <c r="L69" s="55">
        <v>1</v>
      </c>
      <c r="M69" s="52"/>
      <c r="N69" s="52">
        <v>790</v>
      </c>
      <c r="O69" s="52">
        <v>45</v>
      </c>
      <c r="P69" s="52">
        <v>11</v>
      </c>
      <c r="Q69" s="52">
        <v>40</v>
      </c>
      <c r="R69" s="52">
        <v>32</v>
      </c>
      <c r="S69" s="52">
        <v>57</v>
      </c>
      <c r="T69" s="52">
        <v>8</v>
      </c>
      <c r="U69" s="77"/>
      <c r="V69" s="70">
        <f t="shared" si="33"/>
        <v>620</v>
      </c>
      <c r="W69" s="6">
        <f t="shared" si="34"/>
        <v>0.08</v>
      </c>
      <c r="X69" s="68"/>
      <c r="Y69" s="52"/>
      <c r="Z69" s="6" t="str">
        <f t="shared" si="35"/>
        <v>905</v>
      </c>
      <c r="AA69" s="6">
        <v>910</v>
      </c>
      <c r="AB69" s="68"/>
      <c r="AC69" s="52"/>
      <c r="AD69" s="68"/>
      <c r="AE69" s="52"/>
      <c r="AF69" s="68"/>
      <c r="AG69" s="52"/>
      <c r="AH69" s="68"/>
      <c r="AI69" s="52"/>
      <c r="AJ69" s="68"/>
      <c r="AK69" s="68"/>
    </row>
    <row r="70" spans="1:37" ht="16.5" customHeight="1">
      <c r="A70" s="52">
        <v>40017</v>
      </c>
      <c r="B70" s="27" t="s">
        <v>1505</v>
      </c>
      <c r="C70" s="52" t="s">
        <v>79</v>
      </c>
      <c r="D70" s="52" t="s">
        <v>1489</v>
      </c>
      <c r="E70" s="1" t="s">
        <v>205</v>
      </c>
      <c r="F70" s="68" t="s">
        <v>1506</v>
      </c>
      <c r="G70" s="27">
        <v>67</v>
      </c>
      <c r="H70" s="52"/>
      <c r="I70" s="137">
        <v>110011</v>
      </c>
      <c r="J70" s="137">
        <v>400011</v>
      </c>
      <c r="K70" s="137">
        <v>410019</v>
      </c>
      <c r="L70" s="6">
        <v>1</v>
      </c>
      <c r="M70" s="52"/>
      <c r="N70" s="52">
        <v>450</v>
      </c>
      <c r="O70" s="52">
        <v>9</v>
      </c>
      <c r="P70" s="52">
        <v>52</v>
      </c>
      <c r="Q70" s="52">
        <v>19</v>
      </c>
      <c r="R70" s="52">
        <v>33</v>
      </c>
      <c r="S70" s="52">
        <v>57</v>
      </c>
      <c r="T70" s="52">
        <v>8</v>
      </c>
      <c r="U70" s="77"/>
      <c r="V70" s="70">
        <v>435</v>
      </c>
      <c r="W70" s="6">
        <v>0.08</v>
      </c>
      <c r="X70" s="68"/>
      <c r="Y70" s="52"/>
      <c r="Z70" s="6" t="s">
        <v>1507</v>
      </c>
      <c r="AA70" s="6">
        <v>910</v>
      </c>
      <c r="AB70" s="68"/>
      <c r="AC70" s="52"/>
      <c r="AD70" s="68"/>
      <c r="AE70" s="52"/>
      <c r="AF70" s="68"/>
      <c r="AG70" s="52"/>
      <c r="AH70" s="68"/>
      <c r="AI70" s="52"/>
      <c r="AJ70" s="68"/>
      <c r="AK70" s="68"/>
    </row>
    <row r="71" spans="1:37" ht="16.5" customHeight="1">
      <c r="A71" s="52">
        <v>40018</v>
      </c>
      <c r="B71" s="27" t="s">
        <v>1508</v>
      </c>
      <c r="C71" s="52" t="s">
        <v>79</v>
      </c>
      <c r="D71" s="52" t="s">
        <v>1489</v>
      </c>
      <c r="E71" s="1" t="s">
        <v>205</v>
      </c>
      <c r="F71" s="68" t="s">
        <v>1506</v>
      </c>
      <c r="G71" s="27">
        <v>67</v>
      </c>
      <c r="H71" s="52"/>
      <c r="I71" s="137">
        <v>110012</v>
      </c>
      <c r="J71" s="137">
        <v>400012</v>
      </c>
      <c r="K71" s="137">
        <v>410021</v>
      </c>
      <c r="L71" s="6">
        <v>2</v>
      </c>
      <c r="M71" s="52"/>
      <c r="N71" s="52">
        <v>510</v>
      </c>
      <c r="O71" s="52">
        <v>11</v>
      </c>
      <c r="P71" s="52">
        <v>48</v>
      </c>
      <c r="Q71" s="52">
        <v>21</v>
      </c>
      <c r="R71" s="52">
        <v>29</v>
      </c>
      <c r="S71" s="52">
        <v>57</v>
      </c>
      <c r="T71" s="52">
        <v>8</v>
      </c>
      <c r="U71" s="77"/>
      <c r="V71" s="70">
        <v>461</v>
      </c>
      <c r="W71" s="6">
        <v>0.08</v>
      </c>
      <c r="X71" s="68"/>
      <c r="Y71" s="52"/>
      <c r="Z71" s="6" t="s">
        <v>1507</v>
      </c>
      <c r="AA71" s="6">
        <v>910</v>
      </c>
      <c r="AB71" s="68"/>
      <c r="AC71" s="52"/>
      <c r="AD71" s="68"/>
      <c r="AE71" s="52"/>
      <c r="AF71" s="68"/>
      <c r="AG71" s="52"/>
      <c r="AH71" s="68"/>
      <c r="AI71" s="52"/>
      <c r="AJ71" s="68"/>
      <c r="AK71" s="68"/>
    </row>
    <row r="72" spans="1:37" ht="16.5" customHeight="1">
      <c r="A72" s="52">
        <v>40019</v>
      </c>
      <c r="B72" s="27" t="s">
        <v>1509</v>
      </c>
      <c r="C72" s="52" t="s">
        <v>79</v>
      </c>
      <c r="D72" s="52" t="s">
        <v>1489</v>
      </c>
      <c r="E72" s="1" t="s">
        <v>205</v>
      </c>
      <c r="F72" s="68" t="s">
        <v>1506</v>
      </c>
      <c r="G72" s="27">
        <v>67</v>
      </c>
      <c r="H72" s="52"/>
      <c r="I72" s="137">
        <v>110011</v>
      </c>
      <c r="J72" s="137">
        <v>400013</v>
      </c>
      <c r="K72" s="137">
        <v>410001</v>
      </c>
      <c r="L72" s="6">
        <v>2</v>
      </c>
      <c r="M72" s="52"/>
      <c r="N72" s="52">
        <v>620</v>
      </c>
      <c r="O72" s="52">
        <v>14</v>
      </c>
      <c r="P72" s="52">
        <v>45</v>
      </c>
      <c r="Q72" s="52">
        <v>28</v>
      </c>
      <c r="R72" s="52">
        <v>36</v>
      </c>
      <c r="S72" s="52">
        <v>57</v>
      </c>
      <c r="T72" s="52">
        <v>8</v>
      </c>
      <c r="U72" s="77"/>
      <c r="V72" s="70">
        <v>530</v>
      </c>
      <c r="W72" s="6">
        <v>0.08</v>
      </c>
      <c r="X72" s="68"/>
      <c r="Y72" s="52"/>
      <c r="Z72" s="6" t="s">
        <v>1507</v>
      </c>
      <c r="AA72" s="6">
        <v>910</v>
      </c>
      <c r="AB72" s="68"/>
      <c r="AC72" s="52"/>
      <c r="AD72" s="68"/>
      <c r="AE72" s="52"/>
      <c r="AF72" s="68"/>
      <c r="AG72" s="52"/>
      <c r="AH72" s="68"/>
      <c r="AI72" s="52"/>
      <c r="AJ72" s="68"/>
      <c r="AK72" s="68"/>
    </row>
    <row r="73" spans="1:37" ht="16.5" customHeight="1">
      <c r="A73" s="52">
        <v>40020</v>
      </c>
      <c r="B73" s="27" t="s">
        <v>1510</v>
      </c>
      <c r="C73" s="52" t="s">
        <v>79</v>
      </c>
      <c r="D73" s="52" t="s">
        <v>1489</v>
      </c>
      <c r="E73" s="1" t="s">
        <v>205</v>
      </c>
      <c r="F73" s="68" t="s">
        <v>1506</v>
      </c>
      <c r="G73" s="27">
        <v>66</v>
      </c>
      <c r="H73" s="52"/>
      <c r="I73" s="137">
        <v>110012</v>
      </c>
      <c r="J73" s="137">
        <v>400019</v>
      </c>
      <c r="K73" s="137">
        <v>410019</v>
      </c>
      <c r="L73" s="6">
        <v>1</v>
      </c>
      <c r="M73" s="52"/>
      <c r="N73" s="52">
        <v>480</v>
      </c>
      <c r="O73" s="52">
        <v>12</v>
      </c>
      <c r="P73" s="52">
        <v>50</v>
      </c>
      <c r="Q73" s="52">
        <v>18</v>
      </c>
      <c r="R73" s="52">
        <v>28</v>
      </c>
      <c r="S73" s="52">
        <v>57</v>
      </c>
      <c r="T73" s="52">
        <v>8</v>
      </c>
      <c r="U73" s="77"/>
      <c r="V73" s="70">
        <v>445</v>
      </c>
      <c r="W73" s="6">
        <v>0.08</v>
      </c>
      <c r="X73" s="68"/>
      <c r="Y73" s="52"/>
      <c r="Z73" s="6" t="s">
        <v>1507</v>
      </c>
      <c r="AA73" s="6">
        <v>910</v>
      </c>
      <c r="AB73" s="68"/>
      <c r="AC73" s="52"/>
      <c r="AD73" s="68"/>
      <c r="AE73" s="52"/>
      <c r="AF73" s="68"/>
      <c r="AG73" s="52"/>
      <c r="AH73" s="68"/>
      <c r="AI73" s="52"/>
      <c r="AJ73" s="68"/>
      <c r="AK73" s="68"/>
    </row>
    <row r="74" spans="1:37" ht="16.5" customHeight="1">
      <c r="A74" s="52">
        <v>40021</v>
      </c>
      <c r="B74" s="27" t="s">
        <v>1511</v>
      </c>
      <c r="C74" s="52" t="s">
        <v>79</v>
      </c>
      <c r="D74" s="52" t="s">
        <v>1489</v>
      </c>
      <c r="E74" s="1" t="s">
        <v>1484</v>
      </c>
      <c r="F74" s="68" t="s">
        <v>1506</v>
      </c>
      <c r="G74" s="27">
        <v>67</v>
      </c>
      <c r="H74" s="52"/>
      <c r="I74" s="137">
        <v>110001</v>
      </c>
      <c r="J74" s="137">
        <v>400001</v>
      </c>
      <c r="K74" s="137">
        <v>410020</v>
      </c>
      <c r="L74" s="6">
        <v>1</v>
      </c>
      <c r="M74" s="52"/>
      <c r="N74" s="52">
        <v>750</v>
      </c>
      <c r="O74" s="52">
        <v>46</v>
      </c>
      <c r="P74" s="52">
        <v>8</v>
      </c>
      <c r="Q74" s="52">
        <v>42</v>
      </c>
      <c r="R74" s="52">
        <v>22</v>
      </c>
      <c r="S74" s="52">
        <v>57</v>
      </c>
      <c r="T74" s="52">
        <v>8</v>
      </c>
      <c r="U74" s="77">
        <v>3</v>
      </c>
      <c r="V74" s="70">
        <v>590</v>
      </c>
      <c r="W74" s="6">
        <v>0.08</v>
      </c>
      <c r="X74" s="68"/>
      <c r="Y74" s="52"/>
      <c r="Z74" s="6" t="s">
        <v>1512</v>
      </c>
      <c r="AA74" s="6">
        <v>910</v>
      </c>
      <c r="AB74" s="68"/>
      <c r="AC74" s="52"/>
      <c r="AD74" s="68"/>
      <c r="AE74" s="52"/>
      <c r="AF74" s="68"/>
      <c r="AG74" s="52"/>
      <c r="AH74" s="68"/>
      <c r="AI74" s="52"/>
      <c r="AJ74" s="68"/>
      <c r="AK74" s="68"/>
    </row>
    <row r="75" spans="1:37" ht="16.5" customHeight="1">
      <c r="A75" s="52">
        <v>40022</v>
      </c>
      <c r="B75" s="27" t="s">
        <v>1513</v>
      </c>
      <c r="C75" s="52" t="s">
        <v>79</v>
      </c>
      <c r="D75" s="52" t="s">
        <v>1489</v>
      </c>
      <c r="E75" s="1" t="s">
        <v>1484</v>
      </c>
      <c r="F75" s="68" t="s">
        <v>1506</v>
      </c>
      <c r="G75" s="27">
        <v>68</v>
      </c>
      <c r="H75" s="52"/>
      <c r="I75" s="137">
        <v>110001</v>
      </c>
      <c r="J75" s="137">
        <v>400004</v>
      </c>
      <c r="K75" s="137">
        <v>410013</v>
      </c>
      <c r="L75" s="6">
        <v>3</v>
      </c>
      <c r="M75" s="52"/>
      <c r="N75" s="52">
        <v>550</v>
      </c>
      <c r="O75" s="52">
        <v>50</v>
      </c>
      <c r="P75" s="52">
        <v>10</v>
      </c>
      <c r="Q75" s="52">
        <v>32</v>
      </c>
      <c r="R75" s="52">
        <v>24</v>
      </c>
      <c r="S75" s="52">
        <v>57</v>
      </c>
      <c r="T75" s="52">
        <v>8</v>
      </c>
      <c r="U75" s="77"/>
      <c r="V75" s="70">
        <v>488</v>
      </c>
      <c r="W75" s="6">
        <v>0.08</v>
      </c>
      <c r="X75" s="68"/>
      <c r="Y75" s="52"/>
      <c r="Z75" s="6" t="s">
        <v>1512</v>
      </c>
      <c r="AA75" s="6">
        <v>910</v>
      </c>
      <c r="AB75" s="68"/>
      <c r="AC75" s="52"/>
      <c r="AD75" s="68"/>
      <c r="AE75" s="52"/>
      <c r="AF75" s="68"/>
      <c r="AG75" s="52"/>
      <c r="AH75" s="68"/>
      <c r="AI75" s="52"/>
      <c r="AJ75" s="68"/>
      <c r="AK75" s="68"/>
    </row>
    <row r="76" spans="1:37" ht="16.5" customHeight="1">
      <c r="A76" s="52">
        <v>40023</v>
      </c>
      <c r="B76" s="78" t="s">
        <v>1514</v>
      </c>
      <c r="C76" s="52" t="s">
        <v>79</v>
      </c>
      <c r="D76" s="52" t="s">
        <v>1489</v>
      </c>
      <c r="E76" s="1" t="s">
        <v>1484</v>
      </c>
      <c r="F76" s="68" t="s">
        <v>1506</v>
      </c>
      <c r="G76" s="27">
        <v>65</v>
      </c>
      <c r="H76" s="52"/>
      <c r="I76" s="137">
        <v>110001</v>
      </c>
      <c r="J76" s="137">
        <v>400008</v>
      </c>
      <c r="K76" s="137">
        <v>410006</v>
      </c>
      <c r="L76" s="6">
        <v>1</v>
      </c>
      <c r="M76" s="52"/>
      <c r="N76" s="52">
        <v>580</v>
      </c>
      <c r="O76" s="52">
        <v>48</v>
      </c>
      <c r="P76" s="52">
        <v>9</v>
      </c>
      <c r="Q76" s="52">
        <v>30</v>
      </c>
      <c r="R76" s="52">
        <v>22</v>
      </c>
      <c r="S76" s="52">
        <v>57</v>
      </c>
      <c r="T76" s="52">
        <v>8</v>
      </c>
      <c r="U76" s="77"/>
      <c r="V76" s="70">
        <v>496</v>
      </c>
      <c r="W76" s="6">
        <v>0.08</v>
      </c>
      <c r="X76" s="68"/>
      <c r="Y76" s="52"/>
      <c r="Z76" s="6" t="s">
        <v>1512</v>
      </c>
      <c r="AA76" s="6">
        <v>910</v>
      </c>
      <c r="AB76" s="68"/>
      <c r="AC76" s="52"/>
      <c r="AD76" s="68"/>
      <c r="AE76" s="52"/>
      <c r="AF76" s="68"/>
      <c r="AG76" s="52"/>
      <c r="AH76" s="68"/>
      <c r="AI76" s="52"/>
      <c r="AJ76" s="68"/>
      <c r="AK76" s="68"/>
    </row>
    <row r="77" spans="1:37" ht="16.5" customHeight="1">
      <c r="A77" s="52">
        <v>40024</v>
      </c>
      <c r="B77" s="27" t="s">
        <v>1515</v>
      </c>
      <c r="C77" s="52" t="s">
        <v>79</v>
      </c>
      <c r="D77" s="52" t="s">
        <v>1489</v>
      </c>
      <c r="E77" s="1" t="s">
        <v>1484</v>
      </c>
      <c r="F77" s="68" t="s">
        <v>1506</v>
      </c>
      <c r="G77" s="27">
        <v>62</v>
      </c>
      <c r="H77" s="52"/>
      <c r="I77" s="137">
        <v>110002</v>
      </c>
      <c r="J77" s="137">
        <v>400008</v>
      </c>
      <c r="K77" s="137">
        <v>410017</v>
      </c>
      <c r="L77" s="6">
        <v>1</v>
      </c>
      <c r="M77" s="52"/>
      <c r="N77" s="52">
        <v>460</v>
      </c>
      <c r="O77" s="52">
        <v>52</v>
      </c>
      <c r="P77" s="52">
        <v>9</v>
      </c>
      <c r="Q77" s="52">
        <v>26</v>
      </c>
      <c r="R77" s="52">
        <v>21</v>
      </c>
      <c r="S77" s="52">
        <v>57</v>
      </c>
      <c r="T77" s="52">
        <v>8</v>
      </c>
      <c r="U77" s="77"/>
      <c r="V77" s="70">
        <v>435</v>
      </c>
      <c r="W77" s="6">
        <v>0.08</v>
      </c>
      <c r="X77" s="68"/>
      <c r="Y77" s="52"/>
      <c r="Z77" s="6" t="s">
        <v>1512</v>
      </c>
      <c r="AA77" s="6">
        <v>910</v>
      </c>
      <c r="AB77" s="68"/>
      <c r="AC77" s="52"/>
      <c r="AD77" s="68"/>
      <c r="AE77" s="52"/>
      <c r="AF77" s="68"/>
      <c r="AG77" s="52"/>
      <c r="AH77" s="68"/>
      <c r="AI77" s="52"/>
      <c r="AJ77" s="68"/>
      <c r="AK77" s="68"/>
    </row>
    <row r="78" spans="1:37" ht="16.5" customHeight="1">
      <c r="A78" s="52">
        <v>40025</v>
      </c>
      <c r="B78" s="27" t="s">
        <v>1516</v>
      </c>
      <c r="C78" s="52" t="s">
        <v>79</v>
      </c>
      <c r="D78" s="52" t="s">
        <v>1489</v>
      </c>
      <c r="E78" s="1" t="s">
        <v>1484</v>
      </c>
      <c r="F78" s="68" t="s">
        <v>1506</v>
      </c>
      <c r="G78" s="27">
        <v>68</v>
      </c>
      <c r="H78" s="52"/>
      <c r="I78" s="137">
        <v>110002</v>
      </c>
      <c r="J78" s="137">
        <v>400002</v>
      </c>
      <c r="K78" s="137">
        <v>410013</v>
      </c>
      <c r="L78" s="6">
        <v>3</v>
      </c>
      <c r="M78" s="52"/>
      <c r="N78" s="52">
        <v>430</v>
      </c>
      <c r="O78" s="52">
        <v>54</v>
      </c>
      <c r="P78" s="52">
        <v>11</v>
      </c>
      <c r="Q78" s="52">
        <v>24</v>
      </c>
      <c r="R78" s="52">
        <v>19</v>
      </c>
      <c r="S78" s="52">
        <v>57</v>
      </c>
      <c r="T78" s="52">
        <v>8</v>
      </c>
      <c r="U78" s="77"/>
      <c r="V78" s="70">
        <v>420</v>
      </c>
      <c r="W78" s="6">
        <v>0.08</v>
      </c>
      <c r="X78" s="68"/>
      <c r="Y78" s="52"/>
      <c r="Z78" s="6" t="s">
        <v>1512</v>
      </c>
      <c r="AA78" s="6">
        <v>910</v>
      </c>
      <c r="AB78" s="68"/>
      <c r="AC78" s="52"/>
      <c r="AD78" s="68"/>
      <c r="AE78" s="52"/>
      <c r="AF78" s="68"/>
      <c r="AG78" s="52"/>
      <c r="AH78" s="68"/>
      <c r="AI78" s="52"/>
      <c r="AJ78" s="68"/>
      <c r="AK78" s="68"/>
    </row>
    <row r="79" spans="1:37" ht="16.5" customHeight="1">
      <c r="A79" s="52">
        <v>40026</v>
      </c>
      <c r="B79" s="27" t="s">
        <v>1517</v>
      </c>
      <c r="C79" s="52" t="s">
        <v>79</v>
      </c>
      <c r="D79" s="52" t="s">
        <v>1489</v>
      </c>
      <c r="E79" s="1" t="s">
        <v>1484</v>
      </c>
      <c r="F79" s="68" t="s">
        <v>1506</v>
      </c>
      <c r="G79" s="27">
        <v>62</v>
      </c>
      <c r="H79" s="52"/>
      <c r="I79" s="137">
        <v>110002</v>
      </c>
      <c r="J79" s="137">
        <v>400008</v>
      </c>
      <c r="K79" s="137">
        <v>410006</v>
      </c>
      <c r="L79" s="6">
        <v>1</v>
      </c>
      <c r="M79" s="52"/>
      <c r="N79" s="52">
        <v>480</v>
      </c>
      <c r="O79" s="52">
        <v>53</v>
      </c>
      <c r="P79" s="52">
        <v>12</v>
      </c>
      <c r="Q79" s="52">
        <v>27</v>
      </c>
      <c r="R79" s="52">
        <v>23</v>
      </c>
      <c r="S79" s="52">
        <v>57</v>
      </c>
      <c r="T79" s="52">
        <v>8</v>
      </c>
      <c r="U79" s="77"/>
      <c r="V79" s="70">
        <v>452</v>
      </c>
      <c r="W79" s="6">
        <v>0.08</v>
      </c>
      <c r="X79" s="68"/>
      <c r="Y79" s="52"/>
      <c r="Z79" s="6" t="s">
        <v>1512</v>
      </c>
      <c r="AA79" s="6">
        <v>910</v>
      </c>
      <c r="AB79" s="68"/>
      <c r="AC79" s="52"/>
      <c r="AD79" s="68"/>
      <c r="AE79" s="52"/>
      <c r="AF79" s="68"/>
      <c r="AG79" s="52"/>
      <c r="AH79" s="68"/>
      <c r="AI79" s="52"/>
      <c r="AJ79" s="68"/>
      <c r="AK79" s="68"/>
    </row>
    <row r="80" spans="1:37" ht="16.5" customHeight="1">
      <c r="A80" s="52">
        <v>40027</v>
      </c>
      <c r="B80" s="27" t="s">
        <v>1518</v>
      </c>
      <c r="C80" s="52" t="s">
        <v>79</v>
      </c>
      <c r="D80" s="52" t="s">
        <v>1489</v>
      </c>
      <c r="E80" s="1" t="s">
        <v>205</v>
      </c>
      <c r="F80" s="68" t="s">
        <v>1506</v>
      </c>
      <c r="G80" s="27">
        <v>68</v>
      </c>
      <c r="H80" s="52"/>
      <c r="I80" s="137">
        <v>110011</v>
      </c>
      <c r="J80" s="137">
        <v>400011</v>
      </c>
      <c r="K80" s="137">
        <v>410019</v>
      </c>
      <c r="L80" s="6">
        <v>3</v>
      </c>
      <c r="M80" s="52"/>
      <c r="N80" s="52">
        <v>490</v>
      </c>
      <c r="O80" s="52">
        <v>8</v>
      </c>
      <c r="P80" s="52">
        <v>51</v>
      </c>
      <c r="Q80" s="52">
        <v>18</v>
      </c>
      <c r="R80" s="52">
        <v>32</v>
      </c>
      <c r="S80" s="52">
        <v>57</v>
      </c>
      <c r="T80" s="52">
        <v>8</v>
      </c>
      <c r="U80" s="77"/>
      <c r="V80" s="70">
        <v>451</v>
      </c>
      <c r="W80" s="6">
        <v>0.08</v>
      </c>
      <c r="X80" s="68"/>
      <c r="Y80" s="52"/>
      <c r="Z80" s="6" t="s">
        <v>1507</v>
      </c>
      <c r="AA80" s="6">
        <v>910</v>
      </c>
      <c r="AB80" s="68"/>
      <c r="AC80" s="52"/>
      <c r="AD80" s="68"/>
      <c r="AE80" s="52"/>
      <c r="AF80" s="68"/>
      <c r="AG80" s="52"/>
      <c r="AH80" s="68"/>
      <c r="AI80" s="52"/>
      <c r="AJ80" s="68"/>
      <c r="AK80" s="68"/>
    </row>
    <row r="81" spans="1:37" ht="16.5" customHeight="1">
      <c r="A81" s="52">
        <v>40028</v>
      </c>
      <c r="B81" s="27" t="s">
        <v>1519</v>
      </c>
      <c r="C81" s="52" t="s">
        <v>79</v>
      </c>
      <c r="D81" s="52" t="s">
        <v>1489</v>
      </c>
      <c r="E81" s="1" t="s">
        <v>205</v>
      </c>
      <c r="F81" s="68" t="s">
        <v>1506</v>
      </c>
      <c r="G81" s="27">
        <v>64</v>
      </c>
      <c r="H81" s="52"/>
      <c r="I81" s="137">
        <v>110012</v>
      </c>
      <c r="J81" s="137">
        <v>400005</v>
      </c>
      <c r="K81" s="137">
        <v>410016</v>
      </c>
      <c r="L81" s="6">
        <v>1</v>
      </c>
      <c r="M81" s="52"/>
      <c r="N81" s="52">
        <v>450</v>
      </c>
      <c r="O81" s="52">
        <v>10</v>
      </c>
      <c r="P81" s="52">
        <v>46</v>
      </c>
      <c r="Q81" s="52">
        <v>17</v>
      </c>
      <c r="R81" s="52">
        <v>34</v>
      </c>
      <c r="S81" s="52">
        <v>57</v>
      </c>
      <c r="T81" s="52">
        <v>8</v>
      </c>
      <c r="U81" s="77"/>
      <c r="V81" s="70">
        <v>429</v>
      </c>
      <c r="W81" s="6">
        <v>0.08</v>
      </c>
      <c r="X81" s="68"/>
      <c r="Y81" s="52"/>
      <c r="Z81" s="6" t="s">
        <v>1507</v>
      </c>
      <c r="AA81" s="6">
        <v>910</v>
      </c>
      <c r="AB81" s="68"/>
      <c r="AC81" s="52"/>
      <c r="AD81" s="68"/>
      <c r="AE81" s="52"/>
      <c r="AF81" s="68"/>
      <c r="AG81" s="52"/>
      <c r="AH81" s="68"/>
      <c r="AI81" s="52"/>
      <c r="AJ81" s="68"/>
      <c r="AK81" s="68"/>
    </row>
    <row r="82" spans="1:37" ht="16.5" customHeight="1">
      <c r="A82" s="52">
        <v>40029</v>
      </c>
      <c r="B82" s="27" t="s">
        <v>1520</v>
      </c>
      <c r="C82" s="52" t="s">
        <v>79</v>
      </c>
      <c r="D82" s="52" t="s">
        <v>1489</v>
      </c>
      <c r="E82" s="1" t="s">
        <v>1484</v>
      </c>
      <c r="F82" s="68" t="s">
        <v>1506</v>
      </c>
      <c r="G82" s="27">
        <v>64</v>
      </c>
      <c r="H82" s="52"/>
      <c r="I82" s="137">
        <v>110002</v>
      </c>
      <c r="J82" s="137">
        <v>400014</v>
      </c>
      <c r="K82" s="137">
        <v>410006</v>
      </c>
      <c r="L82" s="6">
        <v>2</v>
      </c>
      <c r="M82" s="52"/>
      <c r="N82" s="52">
        <v>680</v>
      </c>
      <c r="O82" s="52">
        <v>48</v>
      </c>
      <c r="P82" s="52">
        <v>11</v>
      </c>
      <c r="Q82" s="52">
        <v>35</v>
      </c>
      <c r="R82" s="52">
        <v>27</v>
      </c>
      <c r="S82" s="52">
        <v>57</v>
      </c>
      <c r="T82" s="52">
        <v>8</v>
      </c>
      <c r="U82" s="77"/>
      <c r="V82" s="70">
        <v>558</v>
      </c>
      <c r="W82" s="6">
        <v>0.08</v>
      </c>
      <c r="X82" s="68"/>
      <c r="Y82" s="52"/>
      <c r="Z82" s="6" t="s">
        <v>1512</v>
      </c>
      <c r="AA82" s="6">
        <v>910</v>
      </c>
      <c r="AB82" s="68"/>
      <c r="AC82" s="52"/>
      <c r="AD82" s="68"/>
      <c r="AE82" s="52"/>
      <c r="AF82" s="68"/>
      <c r="AG82" s="52"/>
      <c r="AH82" s="68"/>
      <c r="AI82" s="52"/>
      <c r="AJ82" s="68"/>
      <c r="AK82" s="68"/>
    </row>
    <row r="83" spans="1:37" ht="16.5" customHeight="1">
      <c r="A83" s="52">
        <v>40030</v>
      </c>
      <c r="B83" s="27" t="s">
        <v>1521</v>
      </c>
      <c r="C83" s="52" t="s">
        <v>79</v>
      </c>
      <c r="D83" s="52" t="s">
        <v>1489</v>
      </c>
      <c r="E83" s="1" t="s">
        <v>205</v>
      </c>
      <c r="F83" s="68" t="s">
        <v>1506</v>
      </c>
      <c r="G83" s="27">
        <v>64</v>
      </c>
      <c r="H83" s="52"/>
      <c r="I83" s="137">
        <v>110011</v>
      </c>
      <c r="J83" s="137">
        <v>400007</v>
      </c>
      <c r="K83" s="137">
        <v>410016</v>
      </c>
      <c r="L83" s="6">
        <v>1</v>
      </c>
      <c r="M83" s="52"/>
      <c r="N83" s="52">
        <v>520</v>
      </c>
      <c r="O83" s="52">
        <v>9</v>
      </c>
      <c r="P83" s="52">
        <v>43</v>
      </c>
      <c r="Q83" s="52">
        <v>22</v>
      </c>
      <c r="R83" s="52">
        <v>30</v>
      </c>
      <c r="S83" s="52">
        <v>57</v>
      </c>
      <c r="T83" s="52">
        <v>8</v>
      </c>
      <c r="U83" s="77"/>
      <c r="V83" s="70">
        <v>461</v>
      </c>
      <c r="W83" s="6">
        <v>0.08</v>
      </c>
      <c r="X83" s="68"/>
      <c r="Y83" s="52"/>
      <c r="Z83" s="6" t="s">
        <v>1507</v>
      </c>
      <c r="AA83" s="6">
        <v>910</v>
      </c>
      <c r="AB83" s="68"/>
      <c r="AC83" s="52"/>
      <c r="AD83" s="68"/>
      <c r="AE83" s="52"/>
      <c r="AF83" s="68"/>
      <c r="AG83" s="52"/>
      <c r="AH83" s="68"/>
      <c r="AI83" s="52"/>
      <c r="AJ83" s="68"/>
      <c r="AK83" s="68"/>
    </row>
    <row r="84" spans="1:37" ht="16.5" customHeight="1">
      <c r="A84" s="52">
        <v>40031</v>
      </c>
      <c r="B84" s="27" t="s">
        <v>1522</v>
      </c>
      <c r="C84" s="52" t="s">
        <v>79</v>
      </c>
      <c r="D84" s="52" t="s">
        <v>1489</v>
      </c>
      <c r="E84" s="1" t="s">
        <v>1484</v>
      </c>
      <c r="F84" s="68" t="s">
        <v>1506</v>
      </c>
      <c r="G84" s="27">
        <v>62</v>
      </c>
      <c r="H84" s="52"/>
      <c r="I84" s="137">
        <v>110002</v>
      </c>
      <c r="J84" s="137">
        <v>400004</v>
      </c>
      <c r="K84" s="137">
        <v>410013</v>
      </c>
      <c r="L84" s="6">
        <v>3</v>
      </c>
      <c r="M84" s="52"/>
      <c r="N84" s="52">
        <v>470</v>
      </c>
      <c r="O84" s="52">
        <v>51</v>
      </c>
      <c r="P84" s="52">
        <v>9</v>
      </c>
      <c r="Q84" s="52">
        <v>28</v>
      </c>
      <c r="R84" s="52">
        <v>20</v>
      </c>
      <c r="S84" s="52">
        <v>57</v>
      </c>
      <c r="T84" s="52">
        <v>8</v>
      </c>
      <c r="U84" s="77">
        <v>3</v>
      </c>
      <c r="V84" s="70">
        <v>440</v>
      </c>
      <c r="W84" s="6">
        <v>0.08</v>
      </c>
      <c r="X84" s="68"/>
      <c r="Y84" s="52"/>
      <c r="Z84" s="6" t="s">
        <v>1512</v>
      </c>
      <c r="AA84" s="6">
        <v>910</v>
      </c>
      <c r="AB84" s="68"/>
      <c r="AC84" s="52"/>
      <c r="AD84" s="68"/>
      <c r="AE84" s="52"/>
      <c r="AF84" s="68"/>
      <c r="AG84" s="52"/>
      <c r="AH84" s="68"/>
      <c r="AI84" s="52"/>
      <c r="AJ84" s="68"/>
      <c r="AK84" s="68"/>
    </row>
    <row r="85" spans="1:37" ht="16.5" customHeight="1">
      <c r="A85" s="52">
        <v>40032</v>
      </c>
      <c r="B85" s="79" t="s">
        <v>1523</v>
      </c>
      <c r="C85" s="52" t="s">
        <v>79</v>
      </c>
      <c r="D85" s="52" t="s">
        <v>1489</v>
      </c>
      <c r="E85" s="1" t="s">
        <v>1484</v>
      </c>
      <c r="F85" s="68" t="s">
        <v>1506</v>
      </c>
      <c r="G85" s="27">
        <v>68</v>
      </c>
      <c r="H85" s="52"/>
      <c r="I85" s="137">
        <v>110001</v>
      </c>
      <c r="J85" s="137">
        <v>400002</v>
      </c>
      <c r="K85" s="137">
        <v>410002</v>
      </c>
      <c r="L85" s="6">
        <v>1</v>
      </c>
      <c r="M85" s="52"/>
      <c r="N85" s="52">
        <v>450</v>
      </c>
      <c r="O85" s="52">
        <v>54</v>
      </c>
      <c r="P85" s="52">
        <v>10</v>
      </c>
      <c r="Q85" s="52">
        <v>24</v>
      </c>
      <c r="R85" s="52">
        <v>18</v>
      </c>
      <c r="S85" s="52">
        <v>57</v>
      </c>
      <c r="T85" s="52">
        <v>8</v>
      </c>
      <c r="U85" s="77"/>
      <c r="V85" s="70">
        <v>428</v>
      </c>
      <c r="W85" s="6">
        <v>0.08</v>
      </c>
      <c r="X85" s="68"/>
      <c r="Y85" s="52"/>
      <c r="Z85" s="6" t="s">
        <v>1512</v>
      </c>
      <c r="AA85" s="6">
        <v>910</v>
      </c>
      <c r="AB85" s="68"/>
      <c r="AC85" s="52"/>
      <c r="AD85" s="68"/>
      <c r="AE85" s="52"/>
      <c r="AF85" s="68"/>
      <c r="AG85" s="52"/>
      <c r="AH85" s="68"/>
      <c r="AI85" s="52"/>
      <c r="AJ85" s="68"/>
      <c r="AK85" s="68"/>
    </row>
    <row r="86" spans="1:37" ht="16.5" customHeight="1">
      <c r="A86" s="52">
        <v>40033</v>
      </c>
      <c r="B86" s="27" t="s">
        <v>1524</v>
      </c>
      <c r="C86" s="52" t="s">
        <v>79</v>
      </c>
      <c r="D86" s="52" t="s">
        <v>1489</v>
      </c>
      <c r="E86" s="1" t="s">
        <v>1484</v>
      </c>
      <c r="F86" s="68" t="s">
        <v>1506</v>
      </c>
      <c r="G86" s="27">
        <v>64</v>
      </c>
      <c r="H86" s="52"/>
      <c r="I86" s="137">
        <v>110001</v>
      </c>
      <c r="J86" s="137">
        <v>400001</v>
      </c>
      <c r="K86" s="137">
        <v>410005</v>
      </c>
      <c r="L86" s="6">
        <v>1</v>
      </c>
      <c r="M86" s="52"/>
      <c r="N86" s="52">
        <v>710</v>
      </c>
      <c r="O86" s="52">
        <v>45</v>
      </c>
      <c r="P86" s="52">
        <v>10</v>
      </c>
      <c r="Q86" s="52">
        <v>38</v>
      </c>
      <c r="R86" s="52">
        <v>25</v>
      </c>
      <c r="S86" s="52">
        <v>57</v>
      </c>
      <c r="T86" s="52">
        <v>8</v>
      </c>
      <c r="U86" s="77">
        <v>5</v>
      </c>
      <c r="V86" s="70">
        <v>570</v>
      </c>
      <c r="W86" s="6">
        <v>0.08</v>
      </c>
      <c r="X86" s="68"/>
      <c r="Y86" s="52"/>
      <c r="Z86" s="6" t="s">
        <v>1512</v>
      </c>
      <c r="AA86" s="6">
        <v>910</v>
      </c>
      <c r="AB86" s="68"/>
      <c r="AC86" s="52"/>
      <c r="AD86" s="68"/>
      <c r="AE86" s="52"/>
      <c r="AF86" s="68"/>
      <c r="AG86" s="52"/>
      <c r="AH86" s="68"/>
      <c r="AI86" s="52"/>
      <c r="AJ86" s="68"/>
      <c r="AK86" s="68"/>
    </row>
    <row r="87" spans="1:37" ht="16.5" customHeight="1">
      <c r="A87" s="52">
        <v>40034</v>
      </c>
      <c r="B87" s="27" t="s">
        <v>1525</v>
      </c>
      <c r="C87" s="52" t="s">
        <v>79</v>
      </c>
      <c r="D87" s="52" t="s">
        <v>1489</v>
      </c>
      <c r="E87" s="1" t="s">
        <v>205</v>
      </c>
      <c r="F87" s="68" t="s">
        <v>1506</v>
      </c>
      <c r="G87" s="27">
        <v>67</v>
      </c>
      <c r="H87" s="52"/>
      <c r="I87" s="137">
        <v>110012</v>
      </c>
      <c r="J87" s="137">
        <v>400012</v>
      </c>
      <c r="K87" s="137">
        <v>410021</v>
      </c>
      <c r="L87" s="6">
        <v>2</v>
      </c>
      <c r="M87" s="52"/>
      <c r="N87" s="52">
        <v>460</v>
      </c>
      <c r="O87" s="52">
        <v>8</v>
      </c>
      <c r="P87" s="52">
        <v>54</v>
      </c>
      <c r="Q87" s="52">
        <v>19</v>
      </c>
      <c r="R87" s="52">
        <v>35</v>
      </c>
      <c r="S87" s="52">
        <v>57</v>
      </c>
      <c r="T87" s="52">
        <v>8</v>
      </c>
      <c r="U87" s="77"/>
      <c r="V87" s="70">
        <v>443</v>
      </c>
      <c r="W87" s="6">
        <v>0.08</v>
      </c>
      <c r="X87" s="68"/>
      <c r="Y87" s="52"/>
      <c r="Z87" s="6" t="s">
        <v>1507</v>
      </c>
      <c r="AA87" s="6">
        <v>910</v>
      </c>
      <c r="AB87" s="68"/>
      <c r="AC87" s="52"/>
      <c r="AD87" s="68"/>
      <c r="AE87" s="52"/>
      <c r="AF87" s="68"/>
      <c r="AG87" s="52"/>
      <c r="AH87" s="68"/>
      <c r="AI87" s="52"/>
      <c r="AJ87" s="68"/>
      <c r="AK87" s="68"/>
    </row>
    <row r="88" spans="1:37" ht="16.5" customHeight="1">
      <c r="A88" s="52">
        <v>40035</v>
      </c>
      <c r="B88" s="27" t="s">
        <v>1526</v>
      </c>
      <c r="C88" s="52" t="s">
        <v>79</v>
      </c>
      <c r="D88" s="52" t="s">
        <v>1489</v>
      </c>
      <c r="E88" s="1" t="s">
        <v>205</v>
      </c>
      <c r="F88" s="68" t="s">
        <v>1506</v>
      </c>
      <c r="G88" s="27">
        <v>66</v>
      </c>
      <c r="H88" s="52"/>
      <c r="I88" s="137">
        <v>110011</v>
      </c>
      <c r="J88" s="137">
        <v>400019</v>
      </c>
      <c r="K88" s="137">
        <v>410022</v>
      </c>
      <c r="L88" s="6">
        <v>1</v>
      </c>
      <c r="M88" s="52"/>
      <c r="N88" s="52">
        <v>440</v>
      </c>
      <c r="O88" s="52">
        <v>11</v>
      </c>
      <c r="P88" s="52">
        <v>49</v>
      </c>
      <c r="Q88" s="52">
        <v>17</v>
      </c>
      <c r="R88" s="52">
        <v>31</v>
      </c>
      <c r="S88" s="52">
        <v>57</v>
      </c>
      <c r="T88" s="52">
        <v>8</v>
      </c>
      <c r="U88" s="77"/>
      <c r="V88" s="70">
        <v>425</v>
      </c>
      <c r="W88" s="6">
        <v>0.08</v>
      </c>
      <c r="X88" s="68"/>
      <c r="Y88" s="52"/>
      <c r="Z88" s="6" t="s">
        <v>1507</v>
      </c>
      <c r="AA88" s="6">
        <v>910</v>
      </c>
      <c r="AB88" s="68"/>
      <c r="AC88" s="52"/>
      <c r="AD88" s="68"/>
      <c r="AE88" s="52"/>
      <c r="AF88" s="68"/>
      <c r="AG88" s="52"/>
      <c r="AH88" s="68"/>
      <c r="AI88" s="52"/>
      <c r="AJ88" s="68"/>
      <c r="AK88" s="68"/>
    </row>
    <row r="89" spans="1:37" ht="16.5" customHeight="1">
      <c r="A89" s="52">
        <v>40036</v>
      </c>
      <c r="B89" s="27" t="s">
        <v>1527</v>
      </c>
      <c r="C89" s="52" t="s">
        <v>79</v>
      </c>
      <c r="D89" s="52" t="s">
        <v>1489</v>
      </c>
      <c r="E89" s="1" t="s">
        <v>1484</v>
      </c>
      <c r="F89" s="68" t="s">
        <v>1506</v>
      </c>
      <c r="G89" s="27">
        <v>67</v>
      </c>
      <c r="H89" s="52"/>
      <c r="I89" s="137">
        <v>110001</v>
      </c>
      <c r="J89" s="137">
        <v>400001</v>
      </c>
      <c r="K89" s="137">
        <v>410001</v>
      </c>
      <c r="L89" s="6">
        <v>2</v>
      </c>
      <c r="M89" s="52"/>
      <c r="N89" s="52">
        <v>730</v>
      </c>
      <c r="O89" s="52">
        <v>47</v>
      </c>
      <c r="P89" s="52">
        <v>8</v>
      </c>
      <c r="Q89" s="52">
        <v>40</v>
      </c>
      <c r="R89" s="52">
        <v>30</v>
      </c>
      <c r="S89" s="52">
        <v>57</v>
      </c>
      <c r="T89" s="52">
        <v>8</v>
      </c>
      <c r="U89" s="77"/>
      <c r="V89" s="70">
        <v>587</v>
      </c>
      <c r="W89" s="6">
        <v>0.08</v>
      </c>
      <c r="X89" s="68"/>
      <c r="Y89" s="52"/>
      <c r="Z89" s="6" t="s">
        <v>1512</v>
      </c>
      <c r="AA89" s="6">
        <v>910</v>
      </c>
      <c r="AB89" s="68"/>
      <c r="AC89" s="52"/>
      <c r="AD89" s="68"/>
      <c r="AE89" s="52"/>
      <c r="AF89" s="68"/>
      <c r="AG89" s="52"/>
      <c r="AH89" s="68"/>
      <c r="AI89" s="52"/>
      <c r="AJ89" s="68"/>
      <c r="AK89" s="68"/>
    </row>
    <row r="90" spans="1:37" ht="16.5" customHeight="1">
      <c r="A90" s="52">
        <v>40037</v>
      </c>
      <c r="B90" s="27" t="s">
        <v>1528</v>
      </c>
      <c r="C90" s="52" t="s">
        <v>79</v>
      </c>
      <c r="D90" s="52" t="s">
        <v>1489</v>
      </c>
      <c r="E90" s="1" t="s">
        <v>205</v>
      </c>
      <c r="F90" s="68" t="s">
        <v>1506</v>
      </c>
      <c r="G90" s="27">
        <v>68</v>
      </c>
      <c r="H90" s="52"/>
      <c r="I90" s="137">
        <v>110012</v>
      </c>
      <c r="J90" s="137">
        <v>400019</v>
      </c>
      <c r="K90" s="137">
        <v>410019</v>
      </c>
      <c r="L90" s="6">
        <v>3</v>
      </c>
      <c r="M90" s="52"/>
      <c r="N90" s="52">
        <v>440</v>
      </c>
      <c r="O90" s="52">
        <v>11</v>
      </c>
      <c r="P90" s="52">
        <v>49</v>
      </c>
      <c r="Q90" s="52">
        <v>17</v>
      </c>
      <c r="R90" s="52">
        <v>31</v>
      </c>
      <c r="S90" s="52">
        <v>57</v>
      </c>
      <c r="T90" s="52">
        <v>8</v>
      </c>
      <c r="U90" s="77"/>
      <c r="V90" s="70">
        <v>425</v>
      </c>
      <c r="W90" s="6">
        <v>0.08</v>
      </c>
      <c r="X90" s="68"/>
      <c r="Y90" s="52"/>
      <c r="Z90" s="6" t="s">
        <v>1507</v>
      </c>
      <c r="AA90" s="6">
        <v>910</v>
      </c>
      <c r="AB90" s="68"/>
      <c r="AC90" s="52"/>
      <c r="AD90" s="68"/>
      <c r="AE90" s="52"/>
      <c r="AF90" s="68"/>
      <c r="AG90" s="52"/>
      <c r="AH90" s="68"/>
      <c r="AI90" s="52"/>
      <c r="AJ90" s="68"/>
      <c r="AK90" s="68"/>
    </row>
    <row r="91" spans="1:37" ht="16.5" customHeight="1">
      <c r="A91" s="52">
        <v>40038</v>
      </c>
      <c r="B91" s="27" t="s">
        <v>1529</v>
      </c>
      <c r="C91" s="52" t="s">
        <v>79</v>
      </c>
      <c r="D91" s="52" t="s">
        <v>1489</v>
      </c>
      <c r="E91" s="1" t="s">
        <v>205</v>
      </c>
      <c r="F91" s="68" t="s">
        <v>1506</v>
      </c>
      <c r="G91" s="27">
        <v>68</v>
      </c>
      <c r="H91" s="52"/>
      <c r="I91" s="137">
        <v>110011</v>
      </c>
      <c r="J91" s="137">
        <v>400012</v>
      </c>
      <c r="K91" s="137">
        <v>410021</v>
      </c>
      <c r="L91" s="6">
        <v>2</v>
      </c>
      <c r="M91" s="52"/>
      <c r="N91" s="52">
        <v>500</v>
      </c>
      <c r="O91" s="52">
        <v>10</v>
      </c>
      <c r="P91" s="52">
        <v>53</v>
      </c>
      <c r="Q91" s="52">
        <v>19</v>
      </c>
      <c r="R91" s="52">
        <v>28</v>
      </c>
      <c r="S91" s="52">
        <v>57</v>
      </c>
      <c r="T91" s="52">
        <v>8</v>
      </c>
      <c r="U91" s="77"/>
      <c r="V91" s="70">
        <v>457</v>
      </c>
      <c r="W91" s="6">
        <v>0.08</v>
      </c>
      <c r="X91" s="68"/>
      <c r="Y91" s="52"/>
      <c r="Z91" s="6" t="s">
        <v>1507</v>
      </c>
      <c r="AA91" s="6">
        <v>910</v>
      </c>
      <c r="AB91" s="68"/>
      <c r="AC91" s="52"/>
      <c r="AD91" s="68"/>
      <c r="AE91" s="52"/>
      <c r="AF91" s="68"/>
      <c r="AG91" s="52"/>
      <c r="AH91" s="68"/>
      <c r="AI91" s="52"/>
      <c r="AJ91" s="68"/>
      <c r="AK91" s="68"/>
    </row>
    <row r="92" spans="1:37" ht="16.5" customHeight="1">
      <c r="A92" s="52">
        <v>40039</v>
      </c>
      <c r="B92" s="27" t="s">
        <v>1530</v>
      </c>
      <c r="C92" s="52" t="s">
        <v>79</v>
      </c>
      <c r="D92" s="52" t="s">
        <v>1489</v>
      </c>
      <c r="E92" s="1" t="s">
        <v>205</v>
      </c>
      <c r="F92" s="68" t="s">
        <v>1506</v>
      </c>
      <c r="G92" s="27">
        <v>64</v>
      </c>
      <c r="H92" s="52"/>
      <c r="I92" s="137">
        <v>110012</v>
      </c>
      <c r="J92" s="137">
        <v>400013</v>
      </c>
      <c r="K92" s="137">
        <v>410021</v>
      </c>
      <c r="L92" s="6">
        <v>2</v>
      </c>
      <c r="M92" s="52"/>
      <c r="N92" s="52">
        <v>480</v>
      </c>
      <c r="O92" s="52">
        <v>9</v>
      </c>
      <c r="P92" s="52">
        <v>50</v>
      </c>
      <c r="Q92" s="52">
        <v>18</v>
      </c>
      <c r="R92" s="52">
        <v>33</v>
      </c>
      <c r="S92" s="52">
        <v>57</v>
      </c>
      <c r="T92" s="52">
        <v>8</v>
      </c>
      <c r="U92" s="77"/>
      <c r="V92" s="70">
        <v>447</v>
      </c>
      <c r="W92" s="6">
        <v>0.08</v>
      </c>
      <c r="X92" s="68"/>
      <c r="Y92" s="52"/>
      <c r="Z92" s="6" t="s">
        <v>1507</v>
      </c>
      <c r="AA92" s="6">
        <v>910</v>
      </c>
      <c r="AB92" s="68"/>
      <c r="AC92" s="52"/>
      <c r="AD92" s="68"/>
      <c r="AE92" s="52"/>
      <c r="AF92" s="68"/>
      <c r="AG92" s="52"/>
      <c r="AH92" s="68"/>
      <c r="AI92" s="52"/>
      <c r="AJ92" s="68"/>
      <c r="AK92" s="68"/>
    </row>
    <row r="93" spans="1:37" ht="16.5" customHeight="1">
      <c r="A93" s="52">
        <v>40040</v>
      </c>
      <c r="B93" s="27" t="s">
        <v>1531</v>
      </c>
      <c r="C93" s="52" t="s">
        <v>77</v>
      </c>
      <c r="D93" s="52" t="s">
        <v>1489</v>
      </c>
      <c r="E93" s="1" t="s">
        <v>205</v>
      </c>
      <c r="F93" s="68" t="s">
        <v>1506</v>
      </c>
      <c r="G93" s="27">
        <v>67</v>
      </c>
      <c r="H93" s="52"/>
      <c r="I93" s="137">
        <v>110011</v>
      </c>
      <c r="J93" s="137">
        <v>400015</v>
      </c>
      <c r="K93" s="137">
        <v>410020</v>
      </c>
      <c r="L93" s="6">
        <v>3</v>
      </c>
      <c r="M93" s="52"/>
      <c r="N93" s="52">
        <v>980</v>
      </c>
      <c r="O93" s="52">
        <v>15</v>
      </c>
      <c r="P93" s="52">
        <v>65</v>
      </c>
      <c r="Q93" s="52">
        <v>45</v>
      </c>
      <c r="R93" s="52">
        <v>52</v>
      </c>
      <c r="S93" s="52">
        <v>75</v>
      </c>
      <c r="T93" s="52">
        <v>10</v>
      </c>
      <c r="U93" s="77"/>
      <c r="V93" s="70">
        <v>792</v>
      </c>
      <c r="W93" s="6">
        <v>0.02</v>
      </c>
      <c r="X93" s="68"/>
      <c r="Y93" s="52"/>
      <c r="Z93" s="6" t="s">
        <v>1532</v>
      </c>
      <c r="AA93" s="6">
        <v>910</v>
      </c>
      <c r="AB93" s="68"/>
      <c r="AC93" s="52"/>
      <c r="AD93" s="68"/>
      <c r="AE93" s="52"/>
      <c r="AF93" s="68"/>
      <c r="AG93" s="52"/>
      <c r="AH93" s="68"/>
      <c r="AI93" s="52"/>
      <c r="AJ93" s="68"/>
      <c r="AK93" s="68"/>
    </row>
    <row r="94" spans="1:37" ht="16.5" customHeight="1">
      <c r="A94" s="52">
        <v>40041</v>
      </c>
      <c r="B94" s="27" t="s">
        <v>1533</v>
      </c>
      <c r="C94" s="52" t="s">
        <v>77</v>
      </c>
      <c r="D94" s="52" t="s">
        <v>1489</v>
      </c>
      <c r="E94" s="1" t="s">
        <v>205</v>
      </c>
      <c r="F94" s="68" t="s">
        <v>1506</v>
      </c>
      <c r="G94" s="27">
        <v>68</v>
      </c>
      <c r="H94" s="52"/>
      <c r="I94" s="137">
        <v>110012</v>
      </c>
      <c r="J94" s="137">
        <v>400018</v>
      </c>
      <c r="K94" s="137">
        <v>410024</v>
      </c>
      <c r="L94" s="6">
        <v>1</v>
      </c>
      <c r="M94" s="52"/>
      <c r="N94" s="52">
        <v>720</v>
      </c>
      <c r="O94" s="52">
        <v>14</v>
      </c>
      <c r="P94" s="52">
        <v>78</v>
      </c>
      <c r="Q94" s="52">
        <v>26</v>
      </c>
      <c r="R94" s="52">
        <v>46</v>
      </c>
      <c r="S94" s="52">
        <v>75</v>
      </c>
      <c r="T94" s="52">
        <v>10</v>
      </c>
      <c r="U94" s="77"/>
      <c r="V94" s="70">
        <v>649</v>
      </c>
      <c r="W94" s="6">
        <v>0.02</v>
      </c>
      <c r="X94" s="68"/>
      <c r="Y94" s="52"/>
      <c r="Z94" s="6" t="s">
        <v>1532</v>
      </c>
      <c r="AA94" s="6">
        <v>910</v>
      </c>
      <c r="AB94" s="68"/>
      <c r="AC94" s="52"/>
      <c r="AD94" s="68"/>
      <c r="AE94" s="52"/>
      <c r="AF94" s="68"/>
      <c r="AG94" s="52"/>
      <c r="AH94" s="68"/>
      <c r="AI94" s="52"/>
      <c r="AJ94" s="68"/>
      <c r="AK94" s="68"/>
    </row>
    <row r="95" spans="1:37" ht="16.5" customHeight="1">
      <c r="A95" s="52">
        <v>40042</v>
      </c>
      <c r="B95" s="27" t="s">
        <v>1534</v>
      </c>
      <c r="C95" s="52" t="s">
        <v>77</v>
      </c>
      <c r="D95" s="52" t="s">
        <v>1489</v>
      </c>
      <c r="E95" s="1" t="s">
        <v>205</v>
      </c>
      <c r="F95" s="68" t="s">
        <v>1506</v>
      </c>
      <c r="G95" s="27">
        <v>64</v>
      </c>
      <c r="H95" s="52"/>
      <c r="I95" s="137">
        <v>110011</v>
      </c>
      <c r="J95" s="137">
        <v>400020</v>
      </c>
      <c r="K95" s="137">
        <v>410021</v>
      </c>
      <c r="L95" s="6">
        <v>3</v>
      </c>
      <c r="M95" s="52"/>
      <c r="N95" s="52">
        <v>680</v>
      </c>
      <c r="O95" s="52">
        <v>16</v>
      </c>
      <c r="P95" s="52">
        <v>74</v>
      </c>
      <c r="Q95" s="52">
        <v>24</v>
      </c>
      <c r="R95" s="52">
        <v>42</v>
      </c>
      <c r="S95" s="52">
        <v>75</v>
      </c>
      <c r="T95" s="52">
        <v>10</v>
      </c>
      <c r="U95" s="77"/>
      <c r="V95" s="70">
        <v>621</v>
      </c>
      <c r="W95" s="6">
        <v>0.02</v>
      </c>
      <c r="X95" s="68"/>
      <c r="Y95" s="52"/>
      <c r="Z95" s="6" t="s">
        <v>1532</v>
      </c>
      <c r="AA95" s="6">
        <v>910</v>
      </c>
      <c r="AB95" s="68"/>
      <c r="AC95" s="52"/>
      <c r="AD95" s="68"/>
      <c r="AE95" s="52"/>
      <c r="AF95" s="68"/>
      <c r="AG95" s="52"/>
      <c r="AH95" s="68"/>
      <c r="AI95" s="52"/>
      <c r="AJ95" s="68"/>
      <c r="AK95" s="68"/>
    </row>
    <row r="96" spans="1:37" ht="16.5" customHeight="1">
      <c r="A96" s="52">
        <v>40043</v>
      </c>
      <c r="B96" s="27" t="s">
        <v>1535</v>
      </c>
      <c r="C96" s="52" t="s">
        <v>77</v>
      </c>
      <c r="D96" s="52" t="s">
        <v>1489</v>
      </c>
      <c r="E96" s="1" t="s">
        <v>205</v>
      </c>
      <c r="F96" s="68" t="s">
        <v>1506</v>
      </c>
      <c r="G96" s="27">
        <v>65</v>
      </c>
      <c r="H96" s="52"/>
      <c r="I96" s="137">
        <v>110012</v>
      </c>
      <c r="J96" s="137">
        <v>400018</v>
      </c>
      <c r="K96" s="137">
        <v>410024</v>
      </c>
      <c r="L96" s="6">
        <v>3</v>
      </c>
      <c r="M96" s="52"/>
      <c r="N96" s="52">
        <v>650</v>
      </c>
      <c r="O96" s="52">
        <v>13</v>
      </c>
      <c r="P96" s="52">
        <v>76</v>
      </c>
      <c r="Q96" s="52">
        <v>22</v>
      </c>
      <c r="R96" s="52">
        <v>48</v>
      </c>
      <c r="S96" s="52">
        <v>75</v>
      </c>
      <c r="T96" s="52">
        <v>10</v>
      </c>
      <c r="U96" s="77"/>
      <c r="V96" s="70">
        <v>609</v>
      </c>
      <c r="W96" s="6">
        <v>0.02</v>
      </c>
      <c r="X96" s="68"/>
      <c r="Y96" s="52"/>
      <c r="Z96" s="6" t="s">
        <v>1532</v>
      </c>
      <c r="AA96" s="6">
        <v>910</v>
      </c>
      <c r="AB96" s="68"/>
      <c r="AC96" s="52"/>
      <c r="AD96" s="68"/>
      <c r="AE96" s="52"/>
      <c r="AF96" s="68"/>
      <c r="AG96" s="52"/>
      <c r="AH96" s="68"/>
      <c r="AI96" s="52"/>
      <c r="AJ96" s="68"/>
      <c r="AK96" s="68"/>
    </row>
    <row r="97" spans="1:37" ht="16.5" customHeight="1">
      <c r="A97" s="52">
        <v>40044</v>
      </c>
      <c r="B97" s="27" t="s">
        <v>1536</v>
      </c>
      <c r="C97" s="52" t="s">
        <v>77</v>
      </c>
      <c r="D97" s="52" t="s">
        <v>1489</v>
      </c>
      <c r="E97" s="1" t="s">
        <v>1484</v>
      </c>
      <c r="F97" s="68" t="s">
        <v>1506</v>
      </c>
      <c r="G97" s="27">
        <v>66</v>
      </c>
      <c r="H97" s="52"/>
      <c r="I97" s="137">
        <v>110001</v>
      </c>
      <c r="J97" s="137">
        <v>400023</v>
      </c>
      <c r="K97" s="137">
        <v>410025</v>
      </c>
      <c r="L97" s="6">
        <v>2</v>
      </c>
      <c r="M97" s="52"/>
      <c r="N97" s="52">
        <v>880</v>
      </c>
      <c r="O97" s="52">
        <v>72</v>
      </c>
      <c r="P97" s="52">
        <v>16</v>
      </c>
      <c r="Q97" s="52">
        <v>45</v>
      </c>
      <c r="R97" s="52">
        <v>38</v>
      </c>
      <c r="S97" s="52">
        <v>75</v>
      </c>
      <c r="T97" s="52">
        <v>10</v>
      </c>
      <c r="U97" s="77">
        <v>4</v>
      </c>
      <c r="V97" s="70">
        <v>736</v>
      </c>
      <c r="W97" s="6">
        <v>0.02</v>
      </c>
      <c r="X97" s="68"/>
      <c r="Y97" s="52"/>
      <c r="Z97" s="6" t="s">
        <v>1537</v>
      </c>
      <c r="AA97" s="6">
        <v>910</v>
      </c>
      <c r="AB97" s="68"/>
      <c r="AC97" s="52"/>
      <c r="AD97" s="68"/>
      <c r="AE97" s="52"/>
      <c r="AF97" s="68"/>
      <c r="AG97" s="52"/>
      <c r="AH97" s="68"/>
      <c r="AI97" s="52"/>
      <c r="AJ97" s="68"/>
      <c r="AK97" s="68"/>
    </row>
    <row r="98" spans="1:37" ht="16.5" customHeight="1">
      <c r="A98" s="52">
        <v>40045</v>
      </c>
      <c r="B98" s="3" t="s">
        <v>1538</v>
      </c>
      <c r="C98" s="52" t="s">
        <v>77</v>
      </c>
      <c r="D98" s="52" t="s">
        <v>1489</v>
      </c>
      <c r="E98" s="1" t="s">
        <v>1484</v>
      </c>
      <c r="F98" s="68" t="s">
        <v>1506</v>
      </c>
      <c r="G98" s="27">
        <v>68</v>
      </c>
      <c r="H98" s="52"/>
      <c r="I98" s="137">
        <v>110002</v>
      </c>
      <c r="J98" s="137">
        <v>400022</v>
      </c>
      <c r="K98" s="137">
        <v>410026</v>
      </c>
      <c r="L98" s="6">
        <v>2</v>
      </c>
      <c r="M98" s="52"/>
      <c r="N98" s="52">
        <v>920</v>
      </c>
      <c r="O98" s="52">
        <v>70</v>
      </c>
      <c r="P98" s="52">
        <v>12</v>
      </c>
      <c r="Q98" s="52">
        <v>52</v>
      </c>
      <c r="R98" s="52">
        <v>42</v>
      </c>
      <c r="S98" s="52">
        <v>75</v>
      </c>
      <c r="T98" s="52">
        <v>10</v>
      </c>
      <c r="U98" s="77"/>
      <c r="V98" s="70">
        <v>761</v>
      </c>
      <c r="W98" s="6">
        <v>0.02</v>
      </c>
      <c r="X98" s="68"/>
      <c r="Y98" s="52"/>
      <c r="Z98" s="6" t="s">
        <v>1537</v>
      </c>
      <c r="AA98" s="6">
        <v>910</v>
      </c>
      <c r="AB98" s="68"/>
      <c r="AC98" s="52"/>
      <c r="AD98" s="68"/>
      <c r="AE98" s="52"/>
      <c r="AF98" s="68"/>
      <c r="AG98" s="52"/>
      <c r="AH98" s="68"/>
      <c r="AI98" s="52"/>
      <c r="AJ98" s="68"/>
      <c r="AK98" s="68"/>
    </row>
    <row r="99" spans="1:37" ht="16.5" customHeight="1">
      <c r="A99" s="52">
        <v>40046</v>
      </c>
      <c r="B99" s="27" t="s">
        <v>1539</v>
      </c>
      <c r="C99" s="52" t="s">
        <v>77</v>
      </c>
      <c r="D99" s="52" t="s">
        <v>1489</v>
      </c>
      <c r="E99" s="1" t="s">
        <v>205</v>
      </c>
      <c r="F99" s="68" t="s">
        <v>1506</v>
      </c>
      <c r="G99" s="27">
        <v>68</v>
      </c>
      <c r="H99" s="52"/>
      <c r="I99" s="137">
        <v>110011</v>
      </c>
      <c r="J99" s="137">
        <v>400012</v>
      </c>
      <c r="K99" s="137">
        <v>410019</v>
      </c>
      <c r="L99" s="6">
        <v>3</v>
      </c>
      <c r="M99" s="52"/>
      <c r="N99" s="52">
        <v>690</v>
      </c>
      <c r="O99" s="52">
        <v>16</v>
      </c>
      <c r="P99" s="52">
        <v>73</v>
      </c>
      <c r="Q99" s="52">
        <v>25</v>
      </c>
      <c r="R99" s="52">
        <v>40</v>
      </c>
      <c r="S99" s="52">
        <v>75</v>
      </c>
      <c r="T99" s="52">
        <v>10</v>
      </c>
      <c r="U99" s="77"/>
      <c r="V99" s="70">
        <v>624</v>
      </c>
      <c r="W99" s="6">
        <v>0.02</v>
      </c>
      <c r="X99" s="68"/>
      <c r="Y99" s="52"/>
      <c r="Z99" s="6" t="s">
        <v>1532</v>
      </c>
      <c r="AA99" s="6">
        <v>910</v>
      </c>
      <c r="AB99" s="68"/>
      <c r="AC99" s="52"/>
      <c r="AD99" s="68"/>
      <c r="AE99" s="52"/>
      <c r="AF99" s="68"/>
      <c r="AG99" s="52"/>
      <c r="AH99" s="68"/>
      <c r="AI99" s="52"/>
      <c r="AJ99" s="68"/>
      <c r="AK99" s="68"/>
    </row>
    <row r="100" spans="1:37" ht="16.5" customHeight="1">
      <c r="A100" s="52">
        <v>40047</v>
      </c>
      <c r="B100" s="27" t="s">
        <v>1540</v>
      </c>
      <c r="C100" s="52" t="s">
        <v>77</v>
      </c>
      <c r="D100" s="52" t="s">
        <v>1489</v>
      </c>
      <c r="E100" s="1" t="s">
        <v>1484</v>
      </c>
      <c r="F100" s="68" t="s">
        <v>1506</v>
      </c>
      <c r="G100" s="27">
        <v>69</v>
      </c>
      <c r="H100" s="52"/>
      <c r="I100" s="137">
        <v>110001</v>
      </c>
      <c r="J100" s="137">
        <v>400002</v>
      </c>
      <c r="K100" s="137">
        <v>410013</v>
      </c>
      <c r="L100" s="6">
        <v>1</v>
      </c>
      <c r="M100" s="52"/>
      <c r="N100" s="52">
        <v>660</v>
      </c>
      <c r="O100" s="52">
        <v>79</v>
      </c>
      <c r="P100" s="52">
        <v>15</v>
      </c>
      <c r="Q100" s="52">
        <v>28</v>
      </c>
      <c r="R100" s="52">
        <v>30</v>
      </c>
      <c r="S100" s="52">
        <v>75</v>
      </c>
      <c r="T100" s="52">
        <v>10</v>
      </c>
      <c r="U100" s="77"/>
      <c r="V100" s="70">
        <v>607</v>
      </c>
      <c r="W100" s="6">
        <v>0.02</v>
      </c>
      <c r="X100" s="68"/>
      <c r="Y100" s="52"/>
      <c r="Z100" s="6" t="s">
        <v>1537</v>
      </c>
      <c r="AA100" s="6">
        <v>910</v>
      </c>
      <c r="AB100" s="68"/>
      <c r="AC100" s="52"/>
      <c r="AD100" s="68"/>
      <c r="AE100" s="52"/>
      <c r="AF100" s="68"/>
      <c r="AG100" s="52"/>
      <c r="AH100" s="68"/>
      <c r="AI100" s="52"/>
      <c r="AJ100" s="68"/>
      <c r="AK100" s="68"/>
    </row>
    <row r="101" spans="1:37" ht="16.5" customHeight="1">
      <c r="A101" s="52">
        <v>40048</v>
      </c>
      <c r="B101" s="27" t="s">
        <v>163</v>
      </c>
      <c r="C101" s="52" t="s">
        <v>77</v>
      </c>
      <c r="D101" s="52" t="s">
        <v>1489</v>
      </c>
      <c r="E101" s="1" t="s">
        <v>205</v>
      </c>
      <c r="F101" s="68" t="s">
        <v>1506</v>
      </c>
      <c r="G101" s="27">
        <v>69</v>
      </c>
      <c r="H101" s="52"/>
      <c r="I101" s="137">
        <v>110012</v>
      </c>
      <c r="J101" s="137">
        <v>400011</v>
      </c>
      <c r="K101" s="137">
        <v>410021</v>
      </c>
      <c r="L101" s="6">
        <v>3</v>
      </c>
      <c r="M101" s="52"/>
      <c r="N101" s="52">
        <v>1050</v>
      </c>
      <c r="O101" s="52">
        <v>18</v>
      </c>
      <c r="P101" s="52">
        <v>62</v>
      </c>
      <c r="Q101" s="52">
        <v>30</v>
      </c>
      <c r="R101" s="52">
        <v>32</v>
      </c>
      <c r="S101" s="52">
        <v>75</v>
      </c>
      <c r="T101" s="52">
        <v>10</v>
      </c>
      <c r="U101" s="77"/>
      <c r="V101" s="70">
        <v>792</v>
      </c>
      <c r="W101" s="6">
        <v>0.02</v>
      </c>
      <c r="X101" s="68"/>
      <c r="Y101" s="52"/>
      <c r="Z101" s="6" t="s">
        <v>1532</v>
      </c>
      <c r="AA101" s="6">
        <v>910</v>
      </c>
      <c r="AB101" s="68"/>
      <c r="AC101" s="52"/>
      <c r="AD101" s="68"/>
      <c r="AE101" s="52"/>
      <c r="AF101" s="68"/>
      <c r="AG101" s="52"/>
      <c r="AH101" s="68"/>
      <c r="AI101" s="52"/>
      <c r="AJ101" s="68"/>
      <c r="AK101" s="68"/>
    </row>
    <row r="102" spans="1:37" ht="16.5" customHeight="1">
      <c r="A102" s="52">
        <v>40049</v>
      </c>
      <c r="B102" s="27" t="s">
        <v>1541</v>
      </c>
      <c r="C102" s="52" t="s">
        <v>77</v>
      </c>
      <c r="D102" s="52" t="s">
        <v>1489</v>
      </c>
      <c r="E102" s="1" t="s">
        <v>1484</v>
      </c>
      <c r="F102" s="68" t="s">
        <v>1506</v>
      </c>
      <c r="G102" s="27">
        <v>69</v>
      </c>
      <c r="H102" s="52"/>
      <c r="I102" s="137">
        <v>110002</v>
      </c>
      <c r="J102" s="137">
        <v>400022</v>
      </c>
      <c r="K102" s="137">
        <v>410018</v>
      </c>
      <c r="L102" s="6">
        <v>3</v>
      </c>
      <c r="M102" s="52"/>
      <c r="N102" s="52">
        <v>750</v>
      </c>
      <c r="O102" s="52">
        <v>74</v>
      </c>
      <c r="P102" s="52">
        <v>13</v>
      </c>
      <c r="Q102" s="52">
        <v>36</v>
      </c>
      <c r="R102" s="52">
        <v>39</v>
      </c>
      <c r="S102" s="52">
        <v>75</v>
      </c>
      <c r="T102" s="52">
        <v>10</v>
      </c>
      <c r="U102" s="77"/>
      <c r="V102" s="70">
        <v>662</v>
      </c>
      <c r="W102" s="6">
        <v>0.02</v>
      </c>
      <c r="X102" s="68"/>
      <c r="Y102" s="52"/>
      <c r="Z102" s="6" t="s">
        <v>1537</v>
      </c>
      <c r="AA102" s="6">
        <v>910</v>
      </c>
      <c r="AB102" s="68"/>
      <c r="AC102" s="52"/>
      <c r="AD102" s="68"/>
      <c r="AE102" s="52"/>
      <c r="AF102" s="68"/>
      <c r="AG102" s="52"/>
      <c r="AH102" s="68"/>
      <c r="AI102" s="52"/>
      <c r="AJ102" s="68"/>
      <c r="AK102" s="68"/>
    </row>
    <row r="103" spans="1:37" ht="16.5" customHeight="1">
      <c r="A103" s="52">
        <v>40050</v>
      </c>
      <c r="B103" s="27" t="s">
        <v>1542</v>
      </c>
      <c r="C103" s="52" t="s">
        <v>77</v>
      </c>
      <c r="D103" s="52" t="s">
        <v>1489</v>
      </c>
      <c r="E103" s="1" t="s">
        <v>205</v>
      </c>
      <c r="F103" s="68" t="s">
        <v>1506</v>
      </c>
      <c r="G103" s="27">
        <v>65</v>
      </c>
      <c r="H103" s="52"/>
      <c r="I103" s="137">
        <v>110011</v>
      </c>
      <c r="J103" s="137">
        <v>400015</v>
      </c>
      <c r="K103" s="137">
        <v>410018</v>
      </c>
      <c r="L103" s="6">
        <v>1</v>
      </c>
      <c r="M103" s="52"/>
      <c r="N103" s="52">
        <v>950</v>
      </c>
      <c r="O103" s="52">
        <v>15</v>
      </c>
      <c r="P103" s="52">
        <v>64</v>
      </c>
      <c r="Q103" s="52">
        <v>42</v>
      </c>
      <c r="R103" s="52">
        <v>50</v>
      </c>
      <c r="S103" s="52">
        <v>75</v>
      </c>
      <c r="T103" s="52">
        <v>10</v>
      </c>
      <c r="U103" s="77"/>
      <c r="V103" s="70">
        <v>771</v>
      </c>
      <c r="W103" s="6">
        <v>0.02</v>
      </c>
      <c r="X103" s="68"/>
      <c r="Y103" s="52"/>
      <c r="Z103" s="6" t="s">
        <v>1532</v>
      </c>
      <c r="AA103" s="6">
        <v>910</v>
      </c>
      <c r="AB103" s="68"/>
      <c r="AC103" s="52"/>
      <c r="AD103" s="68"/>
      <c r="AE103" s="52"/>
      <c r="AF103" s="68"/>
      <c r="AG103" s="52"/>
      <c r="AH103" s="68"/>
      <c r="AI103" s="52"/>
      <c r="AJ103" s="68"/>
      <c r="AK103" s="68"/>
    </row>
    <row r="104" spans="1:37" ht="16.5" customHeight="1">
      <c r="A104" s="52">
        <v>40051</v>
      </c>
      <c r="B104" s="27" t="s">
        <v>1543</v>
      </c>
      <c r="C104" s="52" t="s">
        <v>77</v>
      </c>
      <c r="D104" s="52" t="s">
        <v>1489</v>
      </c>
      <c r="E104" s="1" t="s">
        <v>205</v>
      </c>
      <c r="F104" s="68" t="s">
        <v>1506</v>
      </c>
      <c r="G104" s="27">
        <v>62</v>
      </c>
      <c r="H104" s="52"/>
      <c r="I104" s="137">
        <v>110012</v>
      </c>
      <c r="J104" s="137">
        <v>400013</v>
      </c>
      <c r="K104" s="137">
        <v>410029</v>
      </c>
      <c r="L104" s="6">
        <v>3</v>
      </c>
      <c r="M104" s="52"/>
      <c r="N104" s="52">
        <v>710</v>
      </c>
      <c r="O104" s="52">
        <v>17</v>
      </c>
      <c r="P104" s="52">
        <v>80</v>
      </c>
      <c r="Q104" s="52">
        <v>25</v>
      </c>
      <c r="R104" s="52">
        <v>44</v>
      </c>
      <c r="S104" s="52">
        <v>75</v>
      </c>
      <c r="T104" s="52">
        <v>10</v>
      </c>
      <c r="U104" s="77"/>
      <c r="V104" s="70">
        <v>646</v>
      </c>
      <c r="W104" s="6">
        <v>0.02</v>
      </c>
      <c r="X104" s="68"/>
      <c r="Y104" s="52"/>
      <c r="Z104" s="6" t="s">
        <v>1532</v>
      </c>
      <c r="AA104" s="6">
        <v>910</v>
      </c>
      <c r="AB104" s="68"/>
      <c r="AC104" s="52"/>
      <c r="AD104" s="68"/>
      <c r="AE104" s="52"/>
      <c r="AF104" s="68"/>
      <c r="AG104" s="52"/>
      <c r="AH104" s="68"/>
      <c r="AI104" s="52"/>
      <c r="AJ104" s="68"/>
      <c r="AK104" s="68"/>
    </row>
    <row r="105" spans="1:37" ht="16.5" customHeight="1">
      <c r="A105" s="52">
        <v>40052</v>
      </c>
      <c r="B105" s="27" t="s">
        <v>1544</v>
      </c>
      <c r="C105" s="52" t="s">
        <v>77</v>
      </c>
      <c r="D105" s="52" t="s">
        <v>1489</v>
      </c>
      <c r="E105" s="1" t="s">
        <v>1484</v>
      </c>
      <c r="F105" s="68" t="s">
        <v>1506</v>
      </c>
      <c r="G105" s="27">
        <v>67</v>
      </c>
      <c r="H105" s="52"/>
      <c r="I105" s="137">
        <v>110001</v>
      </c>
      <c r="J105" s="137">
        <v>400029</v>
      </c>
      <c r="K105" s="137">
        <v>410026</v>
      </c>
      <c r="L105" s="6">
        <v>2</v>
      </c>
      <c r="M105" s="52"/>
      <c r="N105" s="52">
        <v>850</v>
      </c>
      <c r="O105" s="52">
        <v>71</v>
      </c>
      <c r="P105" s="52">
        <v>14</v>
      </c>
      <c r="Q105" s="52">
        <v>48</v>
      </c>
      <c r="R105" s="52">
        <v>34</v>
      </c>
      <c r="S105" s="52">
        <v>75</v>
      </c>
      <c r="T105" s="52">
        <v>10</v>
      </c>
      <c r="U105" s="77"/>
      <c r="V105" s="70">
        <v>717</v>
      </c>
      <c r="W105" s="6">
        <v>0.02</v>
      </c>
      <c r="X105" s="68"/>
      <c r="Y105" s="52"/>
      <c r="Z105" s="6" t="s">
        <v>1537</v>
      </c>
      <c r="AA105" s="6">
        <v>910</v>
      </c>
      <c r="AB105" s="68"/>
      <c r="AC105" s="52"/>
      <c r="AD105" s="68"/>
      <c r="AE105" s="52"/>
      <c r="AF105" s="68"/>
      <c r="AG105" s="52"/>
      <c r="AH105" s="68"/>
      <c r="AI105" s="52"/>
      <c r="AJ105" s="68"/>
      <c r="AK105" s="68"/>
    </row>
    <row r="106" spans="1:37" ht="16.5" customHeight="1">
      <c r="A106" s="52">
        <v>40053</v>
      </c>
      <c r="B106" s="27" t="s">
        <v>1545</v>
      </c>
      <c r="C106" s="52" t="s">
        <v>77</v>
      </c>
      <c r="D106" s="52" t="s">
        <v>1489</v>
      </c>
      <c r="E106" s="1" t="s">
        <v>205</v>
      </c>
      <c r="F106" s="68" t="s">
        <v>1506</v>
      </c>
      <c r="G106" s="27">
        <v>64</v>
      </c>
      <c r="H106" s="52"/>
      <c r="I106" s="137">
        <v>110011</v>
      </c>
      <c r="J106" s="137">
        <v>400009</v>
      </c>
      <c r="K106" s="137">
        <v>410027</v>
      </c>
      <c r="L106" s="6">
        <v>2</v>
      </c>
      <c r="M106" s="52"/>
      <c r="N106" s="52">
        <v>730</v>
      </c>
      <c r="O106" s="52">
        <v>14</v>
      </c>
      <c r="P106" s="52">
        <v>77</v>
      </c>
      <c r="Q106" s="52">
        <v>27</v>
      </c>
      <c r="R106" s="52">
        <v>45</v>
      </c>
      <c r="S106" s="52">
        <v>75</v>
      </c>
      <c r="T106" s="52">
        <v>10</v>
      </c>
      <c r="U106" s="77"/>
      <c r="V106" s="70">
        <v>653</v>
      </c>
      <c r="W106" s="6">
        <v>0.02</v>
      </c>
      <c r="X106" s="68"/>
      <c r="Y106" s="52"/>
      <c r="Z106" s="6" t="s">
        <v>1532</v>
      </c>
      <c r="AA106" s="6">
        <v>910</v>
      </c>
      <c r="AB106" s="68"/>
      <c r="AC106" s="52"/>
      <c r="AD106" s="68"/>
      <c r="AE106" s="52"/>
      <c r="AF106" s="68"/>
      <c r="AG106" s="52"/>
      <c r="AH106" s="68"/>
      <c r="AI106" s="52"/>
      <c r="AJ106" s="68"/>
      <c r="AK106" s="68"/>
    </row>
    <row r="107" spans="1:37" ht="16.5" customHeight="1">
      <c r="A107" s="52">
        <v>40054</v>
      </c>
      <c r="B107" s="27" t="s">
        <v>1546</v>
      </c>
      <c r="C107" s="52" t="s">
        <v>77</v>
      </c>
      <c r="D107" s="52" t="s">
        <v>1489</v>
      </c>
      <c r="E107" s="1" t="s">
        <v>1484</v>
      </c>
      <c r="F107" s="68" t="s">
        <v>1506</v>
      </c>
      <c r="G107" s="27">
        <v>65</v>
      </c>
      <c r="H107" s="52"/>
      <c r="I107" s="137">
        <v>110002</v>
      </c>
      <c r="J107" s="137">
        <v>400022</v>
      </c>
      <c r="K107" s="137">
        <v>410026</v>
      </c>
      <c r="L107" s="6">
        <v>3</v>
      </c>
      <c r="M107" s="52"/>
      <c r="N107" s="52">
        <v>940</v>
      </c>
      <c r="O107" s="52">
        <v>69</v>
      </c>
      <c r="P107" s="52">
        <v>15</v>
      </c>
      <c r="Q107" s="52">
        <v>55</v>
      </c>
      <c r="R107" s="52">
        <v>45</v>
      </c>
      <c r="S107" s="52">
        <v>75</v>
      </c>
      <c r="T107" s="52">
        <v>10</v>
      </c>
      <c r="U107" s="77"/>
      <c r="V107" s="70">
        <v>779</v>
      </c>
      <c r="W107" s="6">
        <v>0.02</v>
      </c>
      <c r="X107" s="68"/>
      <c r="Y107" s="52"/>
      <c r="Z107" s="6" t="s">
        <v>1537</v>
      </c>
      <c r="AA107" s="6">
        <v>910</v>
      </c>
      <c r="AB107" s="68"/>
      <c r="AC107" s="52"/>
      <c r="AD107" s="68"/>
      <c r="AE107" s="52"/>
      <c r="AF107" s="68"/>
      <c r="AG107" s="52"/>
      <c r="AH107" s="68"/>
      <c r="AI107" s="52"/>
      <c r="AJ107" s="68"/>
      <c r="AK107" s="68"/>
    </row>
    <row r="108" spans="1:37" ht="16.5" customHeight="1">
      <c r="A108" s="52">
        <v>40055</v>
      </c>
      <c r="B108" s="27" t="s">
        <v>1547</v>
      </c>
      <c r="C108" s="52" t="s">
        <v>77</v>
      </c>
      <c r="D108" s="52" t="s">
        <v>1489</v>
      </c>
      <c r="E108" s="1" t="s">
        <v>205</v>
      </c>
      <c r="F108" s="68" t="s">
        <v>1506</v>
      </c>
      <c r="G108" s="27">
        <v>65</v>
      </c>
      <c r="H108" s="52"/>
      <c r="I108" s="137">
        <v>110012</v>
      </c>
      <c r="J108" s="137">
        <v>400009</v>
      </c>
      <c r="K108" s="137">
        <v>410027</v>
      </c>
      <c r="L108" s="6">
        <v>2</v>
      </c>
      <c r="M108" s="52"/>
      <c r="N108" s="52">
        <v>820</v>
      </c>
      <c r="O108" s="52">
        <v>12</v>
      </c>
      <c r="P108" s="52">
        <v>75</v>
      </c>
      <c r="Q108" s="52">
        <v>44</v>
      </c>
      <c r="R108" s="52">
        <v>36</v>
      </c>
      <c r="S108" s="52">
        <v>75</v>
      </c>
      <c r="T108" s="52">
        <v>10</v>
      </c>
      <c r="U108" s="77"/>
      <c r="V108" s="70">
        <v>702</v>
      </c>
      <c r="W108" s="6">
        <v>0.02</v>
      </c>
      <c r="X108" s="68"/>
      <c r="Y108" s="52"/>
      <c r="Z108" s="6" t="s">
        <v>1532</v>
      </c>
      <c r="AA108" s="6">
        <v>910</v>
      </c>
      <c r="AB108" s="68"/>
      <c r="AC108" s="52"/>
      <c r="AD108" s="68"/>
      <c r="AE108" s="52"/>
      <c r="AF108" s="68"/>
      <c r="AG108" s="52"/>
      <c r="AH108" s="68"/>
      <c r="AI108" s="52"/>
      <c r="AJ108" s="68"/>
      <c r="AK108" s="68"/>
    </row>
    <row r="109" spans="1:37" ht="16.5" customHeight="1">
      <c r="A109" s="52">
        <v>40056</v>
      </c>
      <c r="B109" s="27" t="s">
        <v>1548</v>
      </c>
      <c r="C109" s="52" t="s">
        <v>77</v>
      </c>
      <c r="D109" s="52" t="s">
        <v>1489</v>
      </c>
      <c r="E109" s="1" t="s">
        <v>1484</v>
      </c>
      <c r="F109" s="68" t="s">
        <v>1506</v>
      </c>
      <c r="G109" s="27">
        <v>65</v>
      </c>
      <c r="H109" s="52"/>
      <c r="I109" s="137">
        <v>110001</v>
      </c>
      <c r="J109" s="137">
        <v>400016</v>
      </c>
      <c r="K109" s="137">
        <v>410006</v>
      </c>
      <c r="L109" s="6">
        <v>3</v>
      </c>
      <c r="M109" s="52"/>
      <c r="N109" s="52">
        <v>790</v>
      </c>
      <c r="O109" s="52">
        <v>77</v>
      </c>
      <c r="P109" s="52">
        <v>13</v>
      </c>
      <c r="Q109" s="52">
        <v>37</v>
      </c>
      <c r="R109" s="52">
        <v>34</v>
      </c>
      <c r="S109" s="52">
        <v>75</v>
      </c>
      <c r="T109" s="52">
        <v>10</v>
      </c>
      <c r="U109" s="77"/>
      <c r="V109" s="70">
        <v>681</v>
      </c>
      <c r="W109" s="6">
        <v>0.02</v>
      </c>
      <c r="X109" s="68"/>
      <c r="Y109" s="52"/>
      <c r="Z109" s="6" t="s">
        <v>1537</v>
      </c>
      <c r="AA109" s="6">
        <v>910</v>
      </c>
      <c r="AB109" s="68"/>
      <c r="AC109" s="52"/>
      <c r="AD109" s="68"/>
      <c r="AE109" s="52"/>
      <c r="AF109" s="68"/>
      <c r="AG109" s="52"/>
      <c r="AH109" s="68"/>
      <c r="AI109" s="52"/>
      <c r="AJ109" s="68"/>
      <c r="AK109" s="68"/>
    </row>
    <row r="110" spans="1:37" ht="16.5" customHeight="1">
      <c r="A110" s="52">
        <v>40057</v>
      </c>
      <c r="B110" s="3" t="s">
        <v>1549</v>
      </c>
      <c r="C110" s="52" t="s">
        <v>77</v>
      </c>
      <c r="D110" s="52" t="s">
        <v>1489</v>
      </c>
      <c r="E110" s="1" t="s">
        <v>205</v>
      </c>
      <c r="F110" s="68" t="s">
        <v>1506</v>
      </c>
      <c r="G110" s="27">
        <v>62</v>
      </c>
      <c r="H110" s="52"/>
      <c r="I110" s="137">
        <v>110011</v>
      </c>
      <c r="J110" s="137">
        <v>400018</v>
      </c>
      <c r="K110" s="137">
        <v>410019</v>
      </c>
      <c r="L110" s="6">
        <v>3</v>
      </c>
      <c r="M110" s="52"/>
      <c r="N110" s="52">
        <v>760</v>
      </c>
      <c r="O110" s="52">
        <v>15</v>
      </c>
      <c r="P110" s="52">
        <v>72</v>
      </c>
      <c r="Q110" s="52">
        <v>32</v>
      </c>
      <c r="R110" s="52">
        <v>41</v>
      </c>
      <c r="S110" s="52">
        <v>75</v>
      </c>
      <c r="T110" s="52">
        <v>10</v>
      </c>
      <c r="U110" s="77"/>
      <c r="V110" s="70">
        <v>665</v>
      </c>
      <c r="W110" s="6">
        <v>0.02</v>
      </c>
      <c r="X110" s="68"/>
      <c r="Y110" s="52"/>
      <c r="Z110" s="6" t="s">
        <v>1532</v>
      </c>
      <c r="AA110" s="6">
        <v>910</v>
      </c>
      <c r="AB110" s="68"/>
      <c r="AC110" s="52"/>
      <c r="AD110" s="68"/>
      <c r="AE110" s="52"/>
      <c r="AF110" s="68"/>
      <c r="AG110" s="52"/>
      <c r="AH110" s="68"/>
      <c r="AI110" s="52"/>
      <c r="AJ110" s="68"/>
      <c r="AK110" s="68"/>
    </row>
    <row r="111" spans="1:37" ht="16.5" customHeight="1">
      <c r="A111" s="52">
        <v>40058</v>
      </c>
      <c r="B111" s="27" t="s">
        <v>1550</v>
      </c>
      <c r="C111" s="52" t="s">
        <v>77</v>
      </c>
      <c r="D111" s="52" t="s">
        <v>1489</v>
      </c>
      <c r="E111" s="1" t="s">
        <v>1484</v>
      </c>
      <c r="F111" s="68" t="s">
        <v>1506</v>
      </c>
      <c r="G111" s="27">
        <v>67</v>
      </c>
      <c r="H111" s="52"/>
      <c r="I111" s="137">
        <v>110001</v>
      </c>
      <c r="J111" s="137">
        <v>400008</v>
      </c>
      <c r="K111" s="137">
        <v>410017</v>
      </c>
      <c r="L111" s="6">
        <v>2</v>
      </c>
      <c r="M111" s="52"/>
      <c r="N111" s="52">
        <v>670</v>
      </c>
      <c r="O111" s="52">
        <v>78</v>
      </c>
      <c r="P111" s="52">
        <v>16</v>
      </c>
      <c r="Q111" s="52">
        <v>31</v>
      </c>
      <c r="R111" s="52">
        <v>29</v>
      </c>
      <c r="S111" s="52">
        <v>75</v>
      </c>
      <c r="T111" s="52">
        <v>10</v>
      </c>
      <c r="U111" s="77">
        <v>3</v>
      </c>
      <c r="V111" s="70">
        <v>614</v>
      </c>
      <c r="W111" s="6">
        <v>0.02</v>
      </c>
      <c r="X111" s="68"/>
      <c r="Y111" s="52"/>
      <c r="Z111" s="6" t="s">
        <v>1537</v>
      </c>
      <c r="AA111" s="6">
        <v>910</v>
      </c>
      <c r="AB111" s="68"/>
      <c r="AC111" s="52"/>
      <c r="AD111" s="68"/>
      <c r="AE111" s="52"/>
      <c r="AF111" s="68"/>
      <c r="AG111" s="52"/>
      <c r="AH111" s="68"/>
      <c r="AI111" s="52"/>
      <c r="AJ111" s="68"/>
      <c r="AK111" s="68"/>
    </row>
    <row r="112" spans="1:37" ht="16.5" customHeight="1">
      <c r="A112" s="52">
        <v>40059</v>
      </c>
      <c r="B112" s="27" t="s">
        <v>1551</v>
      </c>
      <c r="C112" s="52" t="s">
        <v>77</v>
      </c>
      <c r="D112" s="52" t="s">
        <v>1489</v>
      </c>
      <c r="E112" s="1" t="s">
        <v>1484</v>
      </c>
      <c r="F112" s="68" t="s">
        <v>1506</v>
      </c>
      <c r="G112" s="27">
        <v>62</v>
      </c>
      <c r="H112" s="52"/>
      <c r="I112" s="137">
        <v>110002</v>
      </c>
      <c r="J112" s="137">
        <v>400002</v>
      </c>
      <c r="K112" s="137">
        <v>410009</v>
      </c>
      <c r="L112" s="6">
        <v>2</v>
      </c>
      <c r="M112" s="52"/>
      <c r="N112" s="52">
        <v>740</v>
      </c>
      <c r="O112" s="52">
        <v>81</v>
      </c>
      <c r="P112" s="52">
        <v>14</v>
      </c>
      <c r="Q112" s="52">
        <v>33</v>
      </c>
      <c r="R112" s="52">
        <v>28</v>
      </c>
      <c r="S112" s="52">
        <v>75</v>
      </c>
      <c r="T112" s="52">
        <v>10</v>
      </c>
      <c r="U112" s="77"/>
      <c r="V112" s="70">
        <v>651</v>
      </c>
      <c r="W112" s="6">
        <v>0.02</v>
      </c>
      <c r="X112" s="68"/>
      <c r="Y112" s="52"/>
      <c r="Z112" s="6" t="s">
        <v>1537</v>
      </c>
      <c r="AA112" s="6">
        <v>910</v>
      </c>
      <c r="AB112" s="68"/>
      <c r="AC112" s="52"/>
      <c r="AD112" s="68"/>
      <c r="AE112" s="52"/>
      <c r="AF112" s="68"/>
      <c r="AG112" s="52"/>
      <c r="AH112" s="68"/>
      <c r="AI112" s="52"/>
      <c r="AJ112" s="68"/>
      <c r="AK112" s="68"/>
    </row>
    <row r="113" spans="1:37" ht="16.5" customHeight="1">
      <c r="A113" s="52">
        <v>40060</v>
      </c>
      <c r="B113" s="27" t="s">
        <v>1552</v>
      </c>
      <c r="C113" s="52" t="s">
        <v>77</v>
      </c>
      <c r="D113" s="52" t="s">
        <v>1489</v>
      </c>
      <c r="E113" s="1" t="s">
        <v>205</v>
      </c>
      <c r="F113" s="68" t="s">
        <v>1506</v>
      </c>
      <c r="G113" s="27">
        <v>65</v>
      </c>
      <c r="H113" s="52"/>
      <c r="I113" s="137">
        <v>110011</v>
      </c>
      <c r="J113" s="137">
        <v>400009</v>
      </c>
      <c r="K113" s="137">
        <v>410024</v>
      </c>
      <c r="L113" s="6">
        <v>2</v>
      </c>
      <c r="M113" s="52"/>
      <c r="N113" s="52">
        <v>690</v>
      </c>
      <c r="O113" s="52">
        <v>13</v>
      </c>
      <c r="P113" s="52">
        <v>79</v>
      </c>
      <c r="Q113" s="52">
        <v>24</v>
      </c>
      <c r="R113" s="52">
        <v>43</v>
      </c>
      <c r="S113" s="52">
        <v>75</v>
      </c>
      <c r="T113" s="52">
        <v>10</v>
      </c>
      <c r="U113" s="77"/>
      <c r="V113" s="70">
        <v>629</v>
      </c>
      <c r="W113" s="6">
        <v>0.02</v>
      </c>
      <c r="X113" s="68"/>
      <c r="Y113" s="52"/>
      <c r="Z113" s="6" t="s">
        <v>1532</v>
      </c>
      <c r="AA113" s="6">
        <v>910</v>
      </c>
      <c r="AB113" s="68"/>
      <c r="AC113" s="52"/>
      <c r="AD113" s="68"/>
      <c r="AE113" s="52"/>
      <c r="AF113" s="68"/>
      <c r="AG113" s="52"/>
      <c r="AH113" s="68"/>
      <c r="AI113" s="52"/>
      <c r="AJ113" s="68"/>
      <c r="AK113" s="68"/>
    </row>
    <row r="114" spans="1:37" ht="16.5" customHeight="1">
      <c r="A114" s="52">
        <v>40061</v>
      </c>
      <c r="B114" s="27" t="s">
        <v>1553</v>
      </c>
      <c r="C114" s="52" t="s">
        <v>77</v>
      </c>
      <c r="D114" s="52" t="s">
        <v>1489</v>
      </c>
      <c r="E114" s="1" t="s">
        <v>1484</v>
      </c>
      <c r="F114" s="68" t="s">
        <v>1506</v>
      </c>
      <c r="G114" s="27">
        <v>62</v>
      </c>
      <c r="H114" s="52"/>
      <c r="I114" s="137">
        <v>110001</v>
      </c>
      <c r="J114" s="137">
        <v>400002</v>
      </c>
      <c r="K114" s="137">
        <v>410028</v>
      </c>
      <c r="L114" s="6">
        <v>3</v>
      </c>
      <c r="M114" s="52"/>
      <c r="N114" s="52">
        <v>800</v>
      </c>
      <c r="O114" s="52">
        <v>73</v>
      </c>
      <c r="P114" s="52">
        <v>12</v>
      </c>
      <c r="Q114" s="52">
        <v>46</v>
      </c>
      <c r="R114" s="52">
        <v>32</v>
      </c>
      <c r="S114" s="52">
        <v>75</v>
      </c>
      <c r="T114" s="52">
        <v>10</v>
      </c>
      <c r="U114" s="77"/>
      <c r="V114" s="70">
        <v>688</v>
      </c>
      <c r="W114" s="6">
        <v>0.02</v>
      </c>
      <c r="X114" s="68"/>
      <c r="Y114" s="52"/>
      <c r="Z114" s="6" t="s">
        <v>1537</v>
      </c>
      <c r="AA114" s="6">
        <v>910</v>
      </c>
      <c r="AB114" s="68"/>
      <c r="AC114" s="52"/>
      <c r="AD114" s="68"/>
      <c r="AE114" s="52"/>
      <c r="AF114" s="68"/>
      <c r="AG114" s="52"/>
      <c r="AH114" s="68"/>
      <c r="AI114" s="52"/>
      <c r="AJ114" s="68"/>
      <c r="AK114" s="68"/>
    </row>
    <row r="115" spans="1:37" ht="16.5" customHeight="1">
      <c r="A115" s="52">
        <v>40062</v>
      </c>
      <c r="B115" s="27" t="s">
        <v>1554</v>
      </c>
      <c r="C115" s="52" t="s">
        <v>77</v>
      </c>
      <c r="D115" s="52" t="s">
        <v>1489</v>
      </c>
      <c r="E115" s="1" t="s">
        <v>205</v>
      </c>
      <c r="F115" s="68" t="s">
        <v>1506</v>
      </c>
      <c r="G115" s="27">
        <v>64</v>
      </c>
      <c r="H115" s="52"/>
      <c r="I115" s="137">
        <v>110012</v>
      </c>
      <c r="J115" s="137">
        <v>400013</v>
      </c>
      <c r="K115" s="137">
        <v>410021</v>
      </c>
      <c r="L115" s="6">
        <v>3</v>
      </c>
      <c r="M115" s="52"/>
      <c r="N115" s="52">
        <v>620</v>
      </c>
      <c r="O115" s="52">
        <v>12</v>
      </c>
      <c r="P115" s="52">
        <v>75</v>
      </c>
      <c r="Q115" s="52">
        <v>20</v>
      </c>
      <c r="R115" s="52">
        <v>47</v>
      </c>
      <c r="S115" s="52">
        <v>75</v>
      </c>
      <c r="T115" s="52">
        <v>10</v>
      </c>
      <c r="U115" s="77"/>
      <c r="V115" s="70">
        <v>589</v>
      </c>
      <c r="W115" s="6">
        <v>0.02</v>
      </c>
      <c r="X115" s="68"/>
      <c r="Y115" s="52"/>
      <c r="Z115" s="6" t="s">
        <v>1532</v>
      </c>
      <c r="AA115" s="6">
        <v>910</v>
      </c>
      <c r="AB115" s="68"/>
      <c r="AC115" s="52"/>
      <c r="AD115" s="68"/>
      <c r="AE115" s="52"/>
      <c r="AF115" s="68"/>
      <c r="AG115" s="52"/>
      <c r="AH115" s="68"/>
      <c r="AI115" s="52"/>
      <c r="AJ115" s="68"/>
      <c r="AK115" s="68"/>
    </row>
    <row r="116" spans="1:37" ht="16.5" customHeight="1">
      <c r="A116" s="52">
        <v>40063</v>
      </c>
      <c r="B116" s="27" t="s">
        <v>1555</v>
      </c>
      <c r="C116" s="52" t="s">
        <v>77</v>
      </c>
      <c r="D116" s="52" t="s">
        <v>1489</v>
      </c>
      <c r="E116" s="1" t="s">
        <v>1484</v>
      </c>
      <c r="F116" s="68" t="s">
        <v>1506</v>
      </c>
      <c r="G116" s="27">
        <v>66</v>
      </c>
      <c r="H116" s="52"/>
      <c r="I116" s="137">
        <v>110001</v>
      </c>
      <c r="J116" s="137">
        <v>400001</v>
      </c>
      <c r="K116" s="137">
        <v>410017</v>
      </c>
      <c r="L116" s="6">
        <v>3</v>
      </c>
      <c r="M116" s="52"/>
      <c r="N116" s="52">
        <v>890</v>
      </c>
      <c r="O116" s="52">
        <v>76</v>
      </c>
      <c r="P116" s="52">
        <v>13</v>
      </c>
      <c r="Q116" s="52">
        <v>42</v>
      </c>
      <c r="R116" s="52">
        <v>36</v>
      </c>
      <c r="S116" s="52">
        <v>75</v>
      </c>
      <c r="T116" s="52">
        <v>10</v>
      </c>
      <c r="U116" s="77"/>
      <c r="V116" s="70">
        <v>737</v>
      </c>
      <c r="W116" s="6">
        <v>0.02</v>
      </c>
      <c r="X116" s="68"/>
      <c r="Y116" s="52"/>
      <c r="Z116" s="6" t="s">
        <v>1537</v>
      </c>
      <c r="AA116" s="6">
        <v>910</v>
      </c>
      <c r="AB116" s="68"/>
      <c r="AC116" s="52"/>
      <c r="AD116" s="68"/>
      <c r="AE116" s="52"/>
      <c r="AF116" s="68"/>
      <c r="AG116" s="52"/>
      <c r="AH116" s="68"/>
      <c r="AI116" s="52"/>
      <c r="AJ116" s="68"/>
      <c r="AK116" s="68"/>
    </row>
    <row r="117" spans="1:37" ht="16.5" customHeight="1">
      <c r="A117" s="52">
        <v>40064</v>
      </c>
      <c r="B117" s="27" t="s">
        <v>1556</v>
      </c>
      <c r="C117" s="52" t="s">
        <v>77</v>
      </c>
      <c r="D117" s="52" t="s">
        <v>1489</v>
      </c>
      <c r="E117" s="1" t="s">
        <v>1484</v>
      </c>
      <c r="F117" s="68" t="s">
        <v>1506</v>
      </c>
      <c r="G117" s="27">
        <v>62</v>
      </c>
      <c r="H117" s="52"/>
      <c r="I117" s="137">
        <v>110002</v>
      </c>
      <c r="J117" s="137">
        <v>400001</v>
      </c>
      <c r="K117" s="137">
        <v>410023</v>
      </c>
      <c r="L117" s="6">
        <v>3</v>
      </c>
      <c r="M117" s="52"/>
      <c r="N117" s="52">
        <v>680</v>
      </c>
      <c r="O117" s="52">
        <v>79</v>
      </c>
      <c r="P117" s="52">
        <v>15</v>
      </c>
      <c r="Q117" s="52">
        <v>29</v>
      </c>
      <c r="R117" s="52">
        <v>27</v>
      </c>
      <c r="S117" s="52">
        <v>75</v>
      </c>
      <c r="T117" s="52">
        <v>10</v>
      </c>
      <c r="U117" s="77"/>
      <c r="V117" s="70">
        <v>615</v>
      </c>
      <c r="W117" s="6">
        <v>0.02</v>
      </c>
      <c r="X117" s="68"/>
      <c r="Y117" s="52"/>
      <c r="Z117" s="6" t="s">
        <v>1537</v>
      </c>
      <c r="AA117" s="6">
        <v>910</v>
      </c>
      <c r="AB117" s="68"/>
      <c r="AC117" s="52"/>
      <c r="AD117" s="68"/>
      <c r="AE117" s="52"/>
      <c r="AF117" s="68"/>
      <c r="AG117" s="52"/>
      <c r="AH117" s="68"/>
      <c r="AI117" s="52"/>
      <c r="AJ117" s="68"/>
      <c r="AK117" s="68"/>
    </row>
    <row r="118" spans="1:37" ht="16.5" customHeight="1">
      <c r="A118" s="52">
        <v>40065</v>
      </c>
      <c r="B118" s="27" t="s">
        <v>1557</v>
      </c>
      <c r="C118" s="52" t="s">
        <v>77</v>
      </c>
      <c r="D118" s="52" t="s">
        <v>1489</v>
      </c>
      <c r="E118" s="1" t="s">
        <v>1484</v>
      </c>
      <c r="F118" s="68" t="s">
        <v>1506</v>
      </c>
      <c r="G118" s="27">
        <v>68</v>
      </c>
      <c r="H118" s="52"/>
      <c r="I118" s="137">
        <v>110001</v>
      </c>
      <c r="J118" s="137">
        <v>400034</v>
      </c>
      <c r="K118" s="137">
        <v>410031</v>
      </c>
      <c r="L118" s="6">
        <v>1</v>
      </c>
      <c r="M118" s="52"/>
      <c r="N118" s="52">
        <v>1020</v>
      </c>
      <c r="O118" s="52">
        <v>68</v>
      </c>
      <c r="P118" s="52">
        <v>17</v>
      </c>
      <c r="Q118" s="52">
        <v>56</v>
      </c>
      <c r="R118" s="52">
        <v>40</v>
      </c>
      <c r="S118" s="52">
        <v>75</v>
      </c>
      <c r="T118" s="52">
        <v>10</v>
      </c>
      <c r="U118" s="77"/>
      <c r="V118" s="70">
        <v>816</v>
      </c>
      <c r="W118" s="6">
        <v>0.02</v>
      </c>
      <c r="X118" s="68"/>
      <c r="Y118" s="52"/>
      <c r="Z118" s="6" t="s">
        <v>1537</v>
      </c>
      <c r="AA118" s="6">
        <v>910</v>
      </c>
      <c r="AB118" s="68"/>
      <c r="AC118" s="52"/>
      <c r="AD118" s="68"/>
      <c r="AE118" s="52"/>
      <c r="AF118" s="68"/>
      <c r="AG118" s="52"/>
      <c r="AH118" s="68"/>
      <c r="AI118" s="52"/>
      <c r="AJ118" s="68"/>
      <c r="AK118" s="68"/>
    </row>
    <row r="119" spans="1:37" ht="16.5" customHeight="1">
      <c r="A119" s="52">
        <v>40066</v>
      </c>
      <c r="B119" s="27" t="s">
        <v>1558</v>
      </c>
      <c r="C119" s="52" t="s">
        <v>77</v>
      </c>
      <c r="D119" s="52" t="s">
        <v>1489</v>
      </c>
      <c r="E119" s="1" t="s">
        <v>205</v>
      </c>
      <c r="F119" s="68" t="s">
        <v>1506</v>
      </c>
      <c r="G119" s="27">
        <v>65</v>
      </c>
      <c r="H119" s="52"/>
      <c r="I119" s="137">
        <v>110011</v>
      </c>
      <c r="J119" s="137">
        <v>400009</v>
      </c>
      <c r="K119" s="137">
        <v>410024</v>
      </c>
      <c r="L119" s="6">
        <v>1</v>
      </c>
      <c r="M119" s="52"/>
      <c r="N119" s="52">
        <v>640</v>
      </c>
      <c r="O119" s="52">
        <v>16</v>
      </c>
      <c r="P119" s="52">
        <v>71</v>
      </c>
      <c r="Q119" s="52">
        <v>22</v>
      </c>
      <c r="R119" s="52">
        <v>38</v>
      </c>
      <c r="S119" s="52">
        <v>75</v>
      </c>
      <c r="T119" s="52">
        <v>10</v>
      </c>
      <c r="U119" s="77"/>
      <c r="V119" s="70">
        <v>592</v>
      </c>
      <c r="W119" s="6">
        <v>0.02</v>
      </c>
      <c r="X119" s="68"/>
      <c r="Y119" s="52"/>
      <c r="Z119" s="6" t="s">
        <v>1532</v>
      </c>
      <c r="AA119" s="6">
        <v>910</v>
      </c>
      <c r="AB119" s="68"/>
      <c r="AC119" s="52"/>
      <c r="AD119" s="68"/>
      <c r="AE119" s="52"/>
      <c r="AF119" s="68"/>
      <c r="AG119" s="52"/>
      <c r="AH119" s="68"/>
      <c r="AI119" s="52"/>
      <c r="AJ119" s="68"/>
      <c r="AK119" s="68"/>
    </row>
    <row r="120" spans="1:37" ht="16.5" customHeight="1">
      <c r="A120" s="52">
        <v>40067</v>
      </c>
      <c r="B120" s="27" t="s">
        <v>1559</v>
      </c>
      <c r="C120" s="52" t="s">
        <v>77</v>
      </c>
      <c r="D120" s="52" t="s">
        <v>1489</v>
      </c>
      <c r="E120" s="1" t="s">
        <v>1484</v>
      </c>
      <c r="F120" s="68" t="s">
        <v>1506</v>
      </c>
      <c r="G120" s="27">
        <v>65</v>
      </c>
      <c r="H120" s="52"/>
      <c r="I120" s="137">
        <v>110002</v>
      </c>
      <c r="J120" s="137">
        <v>400036</v>
      </c>
      <c r="K120" s="137">
        <v>410020</v>
      </c>
      <c r="L120" s="6">
        <v>2</v>
      </c>
      <c r="M120" s="52"/>
      <c r="N120" s="52">
        <v>1080</v>
      </c>
      <c r="O120" s="52">
        <v>65</v>
      </c>
      <c r="P120" s="52">
        <v>11</v>
      </c>
      <c r="Q120" s="52">
        <v>60</v>
      </c>
      <c r="R120" s="52">
        <v>35</v>
      </c>
      <c r="S120" s="52">
        <v>75</v>
      </c>
      <c r="T120" s="52">
        <v>10</v>
      </c>
      <c r="U120" s="77"/>
      <c r="V120" s="70">
        <v>836</v>
      </c>
      <c r="W120" s="6">
        <v>0.02</v>
      </c>
      <c r="X120" s="68"/>
      <c r="Y120" s="52"/>
      <c r="Z120" s="6" t="s">
        <v>1537</v>
      </c>
      <c r="AA120" s="6">
        <v>910</v>
      </c>
      <c r="AB120" s="68"/>
      <c r="AC120" s="52"/>
      <c r="AD120" s="68"/>
      <c r="AE120" s="52"/>
      <c r="AF120" s="68"/>
      <c r="AG120" s="52"/>
      <c r="AH120" s="68"/>
      <c r="AI120" s="52"/>
      <c r="AJ120" s="68"/>
      <c r="AK120" s="68"/>
    </row>
    <row r="121" spans="1:37" ht="16.5" customHeight="1">
      <c r="A121" s="52">
        <v>40068</v>
      </c>
      <c r="B121" s="3" t="s">
        <v>1560</v>
      </c>
      <c r="C121" s="52" t="s">
        <v>77</v>
      </c>
      <c r="D121" s="52" t="s">
        <v>1489</v>
      </c>
      <c r="E121" s="1" t="s">
        <v>205</v>
      </c>
      <c r="F121" s="68" t="s">
        <v>1506</v>
      </c>
      <c r="G121" s="27">
        <v>66</v>
      </c>
      <c r="H121" s="52"/>
      <c r="I121" s="137">
        <v>110012</v>
      </c>
      <c r="J121" s="137">
        <v>400007</v>
      </c>
      <c r="K121" s="137">
        <v>410019</v>
      </c>
      <c r="L121" s="6">
        <v>1</v>
      </c>
      <c r="M121" s="52"/>
      <c r="N121" s="52">
        <v>670</v>
      </c>
      <c r="O121" s="52">
        <v>15</v>
      </c>
      <c r="P121" s="52">
        <v>76</v>
      </c>
      <c r="Q121" s="52">
        <v>23</v>
      </c>
      <c r="R121" s="52">
        <v>44</v>
      </c>
      <c r="S121" s="52">
        <v>75</v>
      </c>
      <c r="T121" s="52">
        <v>10</v>
      </c>
      <c r="U121" s="77"/>
      <c r="V121" s="70">
        <v>618</v>
      </c>
      <c r="W121" s="6">
        <v>0.02</v>
      </c>
      <c r="X121" s="68"/>
      <c r="Y121" s="52"/>
      <c r="Z121" s="6" t="s">
        <v>1532</v>
      </c>
      <c r="AA121" s="6">
        <v>910</v>
      </c>
      <c r="AB121" s="68"/>
      <c r="AC121" s="52"/>
      <c r="AD121" s="68"/>
      <c r="AE121" s="52"/>
      <c r="AF121" s="68"/>
      <c r="AG121" s="52"/>
      <c r="AH121" s="68"/>
      <c r="AI121" s="52"/>
      <c r="AJ121" s="68"/>
      <c r="AK121" s="68"/>
    </row>
    <row r="122" spans="1:37" ht="16.5" customHeight="1">
      <c r="A122" s="52">
        <v>40069</v>
      </c>
      <c r="B122" s="27" t="s">
        <v>1561</v>
      </c>
      <c r="C122" s="52" t="s">
        <v>77</v>
      </c>
      <c r="D122" s="52" t="s">
        <v>1489</v>
      </c>
      <c r="E122" s="1" t="s">
        <v>1484</v>
      </c>
      <c r="F122" s="68" t="s">
        <v>1506</v>
      </c>
      <c r="G122" s="27">
        <v>66</v>
      </c>
      <c r="H122" s="52"/>
      <c r="I122" s="137">
        <v>110001</v>
      </c>
      <c r="J122" s="137">
        <v>400008</v>
      </c>
      <c r="K122" s="137">
        <v>410025</v>
      </c>
      <c r="L122" s="6">
        <v>3</v>
      </c>
      <c r="M122" s="52"/>
      <c r="N122" s="52">
        <v>690</v>
      </c>
      <c r="O122" s="52">
        <v>77</v>
      </c>
      <c r="P122" s="52">
        <v>14</v>
      </c>
      <c r="Q122" s="52">
        <v>30</v>
      </c>
      <c r="R122" s="52">
        <v>28</v>
      </c>
      <c r="S122" s="52">
        <v>75</v>
      </c>
      <c r="T122" s="52">
        <v>10</v>
      </c>
      <c r="U122" s="77">
        <v>7</v>
      </c>
      <c r="V122" s="70">
        <v>619</v>
      </c>
      <c r="W122" s="6">
        <v>0.02</v>
      </c>
      <c r="X122" s="68"/>
      <c r="Y122" s="52"/>
      <c r="Z122" s="6" t="s">
        <v>1537</v>
      </c>
      <c r="AA122" s="6">
        <v>910</v>
      </c>
      <c r="AB122" s="68"/>
      <c r="AC122" s="52"/>
      <c r="AD122" s="68"/>
      <c r="AE122" s="52"/>
      <c r="AF122" s="68"/>
      <c r="AG122" s="52"/>
      <c r="AH122" s="68"/>
      <c r="AI122" s="52"/>
      <c r="AJ122" s="68"/>
      <c r="AK122" s="68"/>
    </row>
    <row r="123" spans="1:37" ht="16.5" customHeight="1">
      <c r="A123" s="52">
        <v>40070</v>
      </c>
      <c r="B123" s="27" t="s">
        <v>1562</v>
      </c>
      <c r="C123" s="52" t="s">
        <v>77</v>
      </c>
      <c r="D123" s="52" t="s">
        <v>1489</v>
      </c>
      <c r="E123" s="1" t="s">
        <v>1484</v>
      </c>
      <c r="F123" s="68" t="s">
        <v>1506</v>
      </c>
      <c r="G123" s="27">
        <v>66</v>
      </c>
      <c r="H123" s="52"/>
      <c r="I123" s="137">
        <v>110002</v>
      </c>
      <c r="J123" s="137">
        <v>400002</v>
      </c>
      <c r="K123" s="137">
        <v>410006</v>
      </c>
      <c r="L123" s="6">
        <v>1</v>
      </c>
      <c r="M123" s="52"/>
      <c r="N123" s="52">
        <v>960</v>
      </c>
      <c r="O123" s="52">
        <v>71</v>
      </c>
      <c r="P123" s="52">
        <v>13</v>
      </c>
      <c r="Q123" s="52">
        <v>54</v>
      </c>
      <c r="R123" s="52">
        <v>41</v>
      </c>
      <c r="S123" s="52">
        <v>75</v>
      </c>
      <c r="T123" s="52">
        <v>10</v>
      </c>
      <c r="U123" s="77"/>
      <c r="V123" s="70">
        <v>784</v>
      </c>
      <c r="W123" s="6">
        <v>0.02</v>
      </c>
      <c r="X123" s="68"/>
      <c r="Y123" s="52"/>
      <c r="Z123" s="6" t="s">
        <v>1537</v>
      </c>
      <c r="AA123" s="6">
        <v>910</v>
      </c>
      <c r="AB123" s="68"/>
      <c r="AC123" s="52"/>
      <c r="AD123" s="68"/>
      <c r="AE123" s="52"/>
      <c r="AF123" s="68"/>
      <c r="AG123" s="52"/>
      <c r="AH123" s="68"/>
      <c r="AI123" s="52"/>
      <c r="AJ123" s="68"/>
      <c r="AK123" s="68"/>
    </row>
    <row r="124" spans="1:37" ht="16.5" customHeight="1">
      <c r="A124" s="52">
        <v>40071</v>
      </c>
      <c r="B124" s="27" t="s">
        <v>1563</v>
      </c>
      <c r="C124" s="52" t="s">
        <v>77</v>
      </c>
      <c r="D124" s="52" t="s">
        <v>1489</v>
      </c>
      <c r="E124" s="1" t="s">
        <v>205</v>
      </c>
      <c r="F124" s="68" t="s">
        <v>1506</v>
      </c>
      <c r="G124" s="27">
        <v>66</v>
      </c>
      <c r="H124" s="52"/>
      <c r="I124" s="137">
        <v>110011</v>
      </c>
      <c r="J124" s="137">
        <v>400019</v>
      </c>
      <c r="K124" s="137">
        <v>410022</v>
      </c>
      <c r="L124" s="6">
        <v>1</v>
      </c>
      <c r="M124" s="52"/>
      <c r="N124" s="52">
        <v>660</v>
      </c>
      <c r="O124" s="52">
        <v>12</v>
      </c>
      <c r="P124" s="52">
        <v>74</v>
      </c>
      <c r="Q124" s="52">
        <v>21</v>
      </c>
      <c r="R124" s="52">
        <v>46</v>
      </c>
      <c r="S124" s="52">
        <v>75</v>
      </c>
      <c r="T124" s="52">
        <v>10</v>
      </c>
      <c r="U124" s="77"/>
      <c r="V124" s="70">
        <v>608</v>
      </c>
      <c r="W124" s="6">
        <v>0.02</v>
      </c>
      <c r="X124" s="68"/>
      <c r="Y124" s="52"/>
      <c r="Z124" s="6" t="s">
        <v>1532</v>
      </c>
      <c r="AA124" s="6">
        <v>910</v>
      </c>
      <c r="AB124" s="68"/>
      <c r="AC124" s="52"/>
      <c r="AD124" s="68"/>
      <c r="AE124" s="52"/>
      <c r="AF124" s="68"/>
      <c r="AG124" s="52"/>
      <c r="AH124" s="68"/>
      <c r="AI124" s="52"/>
      <c r="AJ124" s="68"/>
      <c r="AK124" s="68"/>
    </row>
    <row r="125" spans="1:37" ht="16.5" customHeight="1">
      <c r="A125" s="52">
        <v>40072</v>
      </c>
      <c r="B125" s="27" t="s">
        <v>1564</v>
      </c>
      <c r="C125" s="52" t="s">
        <v>77</v>
      </c>
      <c r="D125" s="52" t="s">
        <v>1489</v>
      </c>
      <c r="E125" s="1" t="s">
        <v>1484</v>
      </c>
      <c r="F125" s="68" t="s">
        <v>1506</v>
      </c>
      <c r="G125" s="27">
        <v>66</v>
      </c>
      <c r="H125" s="52"/>
      <c r="I125" s="137">
        <v>110001</v>
      </c>
      <c r="J125" s="137">
        <v>400023</v>
      </c>
      <c r="K125" s="137">
        <v>410017</v>
      </c>
      <c r="L125" s="6">
        <v>1</v>
      </c>
      <c r="M125" s="52"/>
      <c r="N125" s="52">
        <v>1040</v>
      </c>
      <c r="O125" s="52">
        <v>67</v>
      </c>
      <c r="P125" s="52">
        <v>14</v>
      </c>
      <c r="Q125" s="52">
        <v>55</v>
      </c>
      <c r="R125" s="52">
        <v>38</v>
      </c>
      <c r="S125" s="52">
        <v>75</v>
      </c>
      <c r="T125" s="52">
        <v>10</v>
      </c>
      <c r="U125" s="77"/>
      <c r="V125" s="70">
        <v>819</v>
      </c>
      <c r="W125" s="6">
        <v>0.02</v>
      </c>
      <c r="X125" s="68"/>
      <c r="Y125" s="52"/>
      <c r="Z125" s="6" t="s">
        <v>1537</v>
      </c>
      <c r="AA125" s="6">
        <v>910</v>
      </c>
      <c r="AB125" s="68"/>
      <c r="AC125" s="52"/>
      <c r="AD125" s="68"/>
      <c r="AE125" s="52"/>
      <c r="AF125" s="68"/>
      <c r="AG125" s="52"/>
      <c r="AH125" s="68"/>
      <c r="AI125" s="52"/>
      <c r="AJ125" s="68"/>
      <c r="AK125" s="68"/>
    </row>
    <row r="126" spans="1:37" ht="16.5" customHeight="1">
      <c r="A126" s="52">
        <v>40073</v>
      </c>
      <c r="B126" s="27" t="s">
        <v>1565</v>
      </c>
      <c r="C126" s="52" t="s">
        <v>77</v>
      </c>
      <c r="D126" s="52" t="s">
        <v>1489</v>
      </c>
      <c r="E126" s="1" t="s">
        <v>205</v>
      </c>
      <c r="F126" s="68" t="s">
        <v>1506</v>
      </c>
      <c r="G126" s="27">
        <v>66</v>
      </c>
      <c r="H126" s="52"/>
      <c r="I126" s="137">
        <v>110011</v>
      </c>
      <c r="J126" s="137">
        <v>400021</v>
      </c>
      <c r="K126" s="137">
        <v>410022</v>
      </c>
      <c r="L126" s="6">
        <v>1</v>
      </c>
      <c r="M126" s="52"/>
      <c r="N126" s="52">
        <v>700</v>
      </c>
      <c r="O126" s="52">
        <v>14</v>
      </c>
      <c r="P126" s="52">
        <v>78</v>
      </c>
      <c r="Q126" s="52">
        <v>26</v>
      </c>
      <c r="R126" s="52">
        <v>48</v>
      </c>
      <c r="S126" s="52">
        <v>75</v>
      </c>
      <c r="T126" s="52">
        <v>10</v>
      </c>
      <c r="U126" s="77">
        <v>3</v>
      </c>
      <c r="V126" s="70">
        <v>641</v>
      </c>
      <c r="W126" s="6">
        <v>0.02</v>
      </c>
      <c r="X126" s="68"/>
      <c r="Y126" s="52"/>
      <c r="Z126" s="6" t="s">
        <v>1532</v>
      </c>
      <c r="AA126" s="6">
        <v>910</v>
      </c>
      <c r="AB126" s="68"/>
      <c r="AC126" s="52"/>
      <c r="AD126" s="68"/>
      <c r="AE126" s="52"/>
      <c r="AF126" s="68"/>
      <c r="AG126" s="52"/>
      <c r="AH126" s="68"/>
      <c r="AI126" s="52"/>
      <c r="AJ126" s="68"/>
    </row>
    <row r="127" spans="1:37" ht="16.5" customHeight="1">
      <c r="A127" s="52">
        <v>40074</v>
      </c>
      <c r="B127" s="27" t="s">
        <v>1566</v>
      </c>
      <c r="C127" s="52" t="s">
        <v>77</v>
      </c>
      <c r="D127" s="52" t="s">
        <v>1489</v>
      </c>
      <c r="E127" s="1" t="s">
        <v>205</v>
      </c>
      <c r="F127" s="68" t="s">
        <v>1506</v>
      </c>
      <c r="G127" s="27">
        <v>63</v>
      </c>
      <c r="H127" s="52"/>
      <c r="I127" s="137">
        <v>110012</v>
      </c>
      <c r="J127" s="137">
        <v>400024</v>
      </c>
      <c r="K127" s="137">
        <v>410027</v>
      </c>
      <c r="L127" s="6">
        <v>1</v>
      </c>
      <c r="M127" s="52"/>
      <c r="N127" s="52">
        <v>780</v>
      </c>
      <c r="O127" s="52">
        <v>15</v>
      </c>
      <c r="P127" s="52">
        <v>74</v>
      </c>
      <c r="Q127" s="52">
        <v>30</v>
      </c>
      <c r="R127" s="52">
        <v>44</v>
      </c>
      <c r="S127" s="52">
        <v>75</v>
      </c>
      <c r="T127" s="52">
        <v>10</v>
      </c>
      <c r="U127" s="77"/>
      <c r="V127" s="70">
        <v>678</v>
      </c>
      <c r="W127" s="6">
        <v>0.02</v>
      </c>
      <c r="X127" s="68"/>
      <c r="Y127" s="52"/>
      <c r="Z127" s="6" t="s">
        <v>1532</v>
      </c>
      <c r="AA127" s="6">
        <v>910</v>
      </c>
      <c r="AB127" s="68"/>
      <c r="AC127" s="52"/>
      <c r="AD127" s="68"/>
      <c r="AE127" s="52"/>
      <c r="AF127" s="68"/>
      <c r="AG127" s="52"/>
      <c r="AH127" s="68"/>
      <c r="AI127" s="52"/>
      <c r="AJ127" s="68"/>
    </row>
    <row r="128" spans="1:37" ht="16.5" customHeight="1">
      <c r="A128" s="52">
        <v>40075</v>
      </c>
      <c r="B128" s="27" t="s">
        <v>1567</v>
      </c>
      <c r="C128" s="52" t="s">
        <v>77</v>
      </c>
      <c r="D128" s="52" t="s">
        <v>1489</v>
      </c>
      <c r="E128" s="1" t="s">
        <v>205</v>
      </c>
      <c r="F128" s="68" t="s">
        <v>1506</v>
      </c>
      <c r="G128" s="27">
        <v>67</v>
      </c>
      <c r="H128" s="52"/>
      <c r="I128" s="137">
        <v>110011</v>
      </c>
      <c r="J128" s="137">
        <v>400012</v>
      </c>
      <c r="K128" s="137">
        <v>410018</v>
      </c>
      <c r="L128" s="6">
        <v>1</v>
      </c>
      <c r="M128" s="52"/>
      <c r="N128" s="52">
        <v>850</v>
      </c>
      <c r="O128" s="52">
        <v>13</v>
      </c>
      <c r="P128" s="52">
        <v>68</v>
      </c>
      <c r="Q128" s="52">
        <v>35</v>
      </c>
      <c r="R128" s="52">
        <v>50</v>
      </c>
      <c r="S128" s="52">
        <v>75</v>
      </c>
      <c r="T128" s="52">
        <v>10</v>
      </c>
      <c r="U128" s="77">
        <v>3</v>
      </c>
      <c r="V128" s="70">
        <v>716</v>
      </c>
      <c r="W128" s="6">
        <v>0.02</v>
      </c>
      <c r="X128" s="68"/>
      <c r="Y128" s="52"/>
      <c r="Z128" s="6" t="s">
        <v>1532</v>
      </c>
      <c r="AA128" s="6">
        <v>910</v>
      </c>
      <c r="AB128" s="68"/>
      <c r="AC128" s="52"/>
      <c r="AD128" s="68"/>
      <c r="AE128" s="52"/>
      <c r="AF128" s="68"/>
      <c r="AG128" s="52"/>
      <c r="AH128" s="68"/>
      <c r="AI128" s="52"/>
      <c r="AJ128" s="68"/>
    </row>
    <row r="129" spans="1:37" ht="16.5" customHeight="1">
      <c r="A129" s="52">
        <v>40076</v>
      </c>
      <c r="B129" s="27" t="s">
        <v>1568</v>
      </c>
      <c r="C129" s="52" t="s">
        <v>77</v>
      </c>
      <c r="D129" s="52" t="s">
        <v>1489</v>
      </c>
      <c r="E129" s="1" t="s">
        <v>205</v>
      </c>
      <c r="F129" s="68" t="s">
        <v>1506</v>
      </c>
      <c r="G129" s="27">
        <v>65</v>
      </c>
      <c r="H129" s="52"/>
      <c r="I129" s="137">
        <v>110012</v>
      </c>
      <c r="J129" s="137">
        <v>400028</v>
      </c>
      <c r="K129" s="137">
        <v>410029</v>
      </c>
      <c r="L129" s="6">
        <v>1</v>
      </c>
      <c r="M129" s="52"/>
      <c r="N129" s="52">
        <v>900</v>
      </c>
      <c r="O129" s="52">
        <v>18</v>
      </c>
      <c r="P129" s="52">
        <v>85</v>
      </c>
      <c r="Q129" s="52">
        <v>40</v>
      </c>
      <c r="R129" s="52">
        <v>48</v>
      </c>
      <c r="S129" s="52">
        <v>75</v>
      </c>
      <c r="T129" s="52">
        <v>10</v>
      </c>
      <c r="U129" s="77"/>
      <c r="V129" s="70">
        <v>766</v>
      </c>
      <c r="W129" s="6">
        <v>0.02</v>
      </c>
      <c r="X129" s="68"/>
      <c r="Y129" s="52"/>
      <c r="Z129" s="6" t="s">
        <v>1532</v>
      </c>
      <c r="AA129" s="6">
        <v>910</v>
      </c>
      <c r="AB129" s="68"/>
      <c r="AC129" s="52"/>
      <c r="AD129" s="68"/>
      <c r="AE129" s="52"/>
      <c r="AF129" s="68"/>
      <c r="AG129" s="52"/>
      <c r="AH129" s="68"/>
      <c r="AI129" s="52"/>
      <c r="AJ129" s="68"/>
    </row>
    <row r="130" spans="1:37" ht="16.5" customHeight="1">
      <c r="A130" s="52">
        <v>40077</v>
      </c>
      <c r="B130" s="27" t="s">
        <v>1569</v>
      </c>
      <c r="C130" s="52" t="s">
        <v>77</v>
      </c>
      <c r="D130" s="52" t="s">
        <v>1489</v>
      </c>
      <c r="E130" s="1" t="s">
        <v>1484</v>
      </c>
      <c r="F130" s="68" t="s">
        <v>1506</v>
      </c>
      <c r="G130" s="27">
        <v>69</v>
      </c>
      <c r="H130" s="52"/>
      <c r="I130" s="137">
        <v>110001</v>
      </c>
      <c r="J130" s="137">
        <v>400002</v>
      </c>
      <c r="K130" s="137">
        <v>410013</v>
      </c>
      <c r="L130" s="6">
        <v>1</v>
      </c>
      <c r="M130" s="52"/>
      <c r="N130" s="52">
        <v>960</v>
      </c>
      <c r="O130" s="52">
        <v>74</v>
      </c>
      <c r="P130" s="52">
        <v>15</v>
      </c>
      <c r="Q130" s="52">
        <v>52</v>
      </c>
      <c r="R130" s="52">
        <v>38</v>
      </c>
      <c r="S130" s="52">
        <v>75</v>
      </c>
      <c r="T130" s="52">
        <v>10</v>
      </c>
      <c r="U130" s="77"/>
      <c r="V130" s="70">
        <v>784</v>
      </c>
      <c r="W130" s="6">
        <v>0.02</v>
      </c>
      <c r="X130" s="68"/>
      <c r="Y130" s="52"/>
      <c r="Z130" s="6" t="s">
        <v>1537</v>
      </c>
      <c r="AA130" s="6">
        <v>910</v>
      </c>
      <c r="AB130" s="68"/>
      <c r="AC130" s="52"/>
      <c r="AD130" s="68"/>
      <c r="AE130" s="52"/>
      <c r="AF130" s="68"/>
      <c r="AG130" s="52"/>
      <c r="AH130" s="68"/>
      <c r="AI130" s="52"/>
      <c r="AJ130" s="68"/>
    </row>
    <row r="131" spans="1:37" ht="16.5" customHeight="1">
      <c r="A131" s="52">
        <v>40078</v>
      </c>
      <c r="B131" s="27" t="s">
        <v>1570</v>
      </c>
      <c r="C131" s="52" t="s">
        <v>77</v>
      </c>
      <c r="D131" s="52" t="s">
        <v>1489</v>
      </c>
      <c r="E131" s="1" t="s">
        <v>1484</v>
      </c>
      <c r="F131" s="68" t="s">
        <v>1506</v>
      </c>
      <c r="G131" s="27">
        <v>62</v>
      </c>
      <c r="H131" s="52"/>
      <c r="I131" s="137">
        <v>110002</v>
      </c>
      <c r="J131" s="137">
        <v>400004</v>
      </c>
      <c r="K131" s="137">
        <v>410006</v>
      </c>
      <c r="L131" s="6">
        <v>1</v>
      </c>
      <c r="M131" s="52"/>
      <c r="N131" s="52">
        <v>700</v>
      </c>
      <c r="O131" s="52">
        <v>80</v>
      </c>
      <c r="P131" s="52">
        <v>12</v>
      </c>
      <c r="Q131" s="52">
        <v>30</v>
      </c>
      <c r="R131" s="52">
        <v>26</v>
      </c>
      <c r="S131" s="52">
        <v>75</v>
      </c>
      <c r="T131" s="52">
        <v>10</v>
      </c>
      <c r="U131" s="77"/>
      <c r="V131" s="70">
        <v>623</v>
      </c>
      <c r="W131" s="6">
        <v>0.02</v>
      </c>
      <c r="X131" s="68"/>
      <c r="Y131" s="52"/>
      <c r="Z131" s="6" t="s">
        <v>1537</v>
      </c>
      <c r="AA131" s="6">
        <v>910</v>
      </c>
      <c r="AB131" s="68"/>
      <c r="AC131" s="52"/>
      <c r="AD131" s="68"/>
      <c r="AE131" s="52"/>
      <c r="AF131" s="68"/>
      <c r="AG131" s="52"/>
      <c r="AH131" s="68"/>
      <c r="AI131" s="52"/>
      <c r="AJ131" s="68"/>
    </row>
    <row r="132" spans="1:37" ht="16.5" customHeight="1">
      <c r="A132" s="52">
        <v>40079</v>
      </c>
      <c r="B132" s="27" t="s">
        <v>1571</v>
      </c>
      <c r="C132" s="52" t="s">
        <v>77</v>
      </c>
      <c r="D132" s="52" t="s">
        <v>1489</v>
      </c>
      <c r="E132" s="1" t="s">
        <v>205</v>
      </c>
      <c r="F132" s="68" t="s">
        <v>1506</v>
      </c>
      <c r="G132" s="27">
        <v>64</v>
      </c>
      <c r="H132" s="52"/>
      <c r="I132" s="137">
        <v>110011</v>
      </c>
      <c r="J132" s="137">
        <v>400009</v>
      </c>
      <c r="K132" s="137">
        <v>410027</v>
      </c>
      <c r="L132" s="6">
        <v>2</v>
      </c>
      <c r="M132" s="52"/>
      <c r="N132" s="52">
        <v>680</v>
      </c>
      <c r="O132" s="52">
        <v>13</v>
      </c>
      <c r="P132" s="52">
        <v>79</v>
      </c>
      <c r="Q132" s="52">
        <v>24</v>
      </c>
      <c r="R132" s="52">
        <v>46</v>
      </c>
      <c r="S132" s="52">
        <v>75</v>
      </c>
      <c r="T132" s="52">
        <v>10</v>
      </c>
      <c r="U132" s="77"/>
      <c r="V132" s="70">
        <v>627</v>
      </c>
      <c r="W132" s="6">
        <v>0.02</v>
      </c>
      <c r="X132" s="68"/>
      <c r="Y132" s="52"/>
      <c r="Z132" s="6" t="s">
        <v>1532</v>
      </c>
      <c r="AA132" s="6">
        <v>910</v>
      </c>
      <c r="AB132" s="68"/>
      <c r="AC132" s="52"/>
      <c r="AD132" s="68"/>
      <c r="AE132" s="52"/>
      <c r="AF132" s="68"/>
      <c r="AG132" s="52"/>
      <c r="AH132" s="68"/>
      <c r="AI132" s="52"/>
      <c r="AJ132" s="68"/>
    </row>
    <row r="133" spans="1:37" ht="16.5" customHeight="1">
      <c r="A133" s="52">
        <v>40080</v>
      </c>
      <c r="B133" s="27" t="s">
        <v>1572</v>
      </c>
      <c r="C133" s="52" t="s">
        <v>77</v>
      </c>
      <c r="D133" s="52" t="s">
        <v>1489</v>
      </c>
      <c r="E133" s="1" t="s">
        <v>1484</v>
      </c>
      <c r="F133" s="68" t="s">
        <v>1506</v>
      </c>
      <c r="G133" s="27">
        <v>65</v>
      </c>
      <c r="H133" s="52"/>
      <c r="I133" s="137">
        <v>110001</v>
      </c>
      <c r="J133" s="137">
        <v>400016</v>
      </c>
      <c r="K133" s="137">
        <v>410023</v>
      </c>
      <c r="L133" s="6">
        <v>1</v>
      </c>
      <c r="M133" s="52"/>
      <c r="N133" s="52">
        <v>880</v>
      </c>
      <c r="O133" s="52">
        <v>72</v>
      </c>
      <c r="P133" s="52">
        <v>13</v>
      </c>
      <c r="Q133" s="52">
        <v>48</v>
      </c>
      <c r="R133" s="52">
        <v>32</v>
      </c>
      <c r="S133" s="52">
        <v>75</v>
      </c>
      <c r="T133" s="52">
        <v>10</v>
      </c>
      <c r="U133" s="77">
        <v>5</v>
      </c>
      <c r="V133" s="70">
        <v>730</v>
      </c>
      <c r="W133" s="6">
        <v>0.02</v>
      </c>
      <c r="X133" s="68"/>
      <c r="Y133" s="52"/>
      <c r="Z133" s="6" t="s">
        <v>1537</v>
      </c>
      <c r="AA133" s="6">
        <v>910</v>
      </c>
      <c r="AB133" s="68"/>
      <c r="AC133" s="52"/>
      <c r="AD133" s="68"/>
      <c r="AE133" s="52"/>
      <c r="AF133" s="68"/>
      <c r="AG133" s="52"/>
      <c r="AH133" s="68"/>
      <c r="AI133" s="52"/>
      <c r="AJ133" s="68"/>
    </row>
    <row r="134" spans="1:37" ht="16.5" customHeight="1">
      <c r="A134" s="52">
        <v>40081</v>
      </c>
      <c r="B134" s="27" t="s">
        <v>1573</v>
      </c>
      <c r="C134" s="52" t="s">
        <v>77</v>
      </c>
      <c r="D134" s="52" t="s">
        <v>1489</v>
      </c>
      <c r="E134" s="1" t="s">
        <v>1484</v>
      </c>
      <c r="F134" s="68" t="s">
        <v>1506</v>
      </c>
      <c r="G134" s="27">
        <v>62</v>
      </c>
      <c r="H134" s="52"/>
      <c r="I134" s="137">
        <v>110001</v>
      </c>
      <c r="J134" s="137">
        <v>400034</v>
      </c>
      <c r="K134" s="137">
        <v>410011</v>
      </c>
      <c r="L134" s="6">
        <v>1</v>
      </c>
      <c r="M134" s="52"/>
      <c r="N134" s="52">
        <v>1080</v>
      </c>
      <c r="O134" s="52">
        <v>78</v>
      </c>
      <c r="P134" s="52">
        <v>14</v>
      </c>
      <c r="Q134" s="52">
        <v>58</v>
      </c>
      <c r="R134" s="52">
        <v>34</v>
      </c>
      <c r="S134" s="52">
        <v>75</v>
      </c>
      <c r="T134" s="52">
        <v>10</v>
      </c>
      <c r="U134" s="77"/>
      <c r="V134" s="70">
        <v>849</v>
      </c>
      <c r="W134" s="6">
        <v>0.02</v>
      </c>
      <c r="X134" s="68"/>
      <c r="Y134" s="52"/>
      <c r="Z134" s="6" t="s">
        <v>1537</v>
      </c>
      <c r="AA134" s="6">
        <v>910</v>
      </c>
      <c r="AB134" s="68"/>
      <c r="AC134" s="52"/>
      <c r="AD134" s="68"/>
      <c r="AE134" s="52"/>
      <c r="AF134" s="68"/>
      <c r="AG134" s="52"/>
      <c r="AH134" s="68"/>
      <c r="AI134" s="52"/>
      <c r="AJ134" s="68"/>
    </row>
    <row r="135" spans="1:37" ht="16.5" customHeight="1">
      <c r="A135" s="52">
        <v>40082</v>
      </c>
      <c r="B135" s="27" t="s">
        <v>1574</v>
      </c>
      <c r="C135" s="52" t="s">
        <v>77</v>
      </c>
      <c r="D135" s="52" t="s">
        <v>1489</v>
      </c>
      <c r="E135" s="1" t="s">
        <v>1484</v>
      </c>
      <c r="F135" s="68" t="s">
        <v>1506</v>
      </c>
      <c r="G135" s="27">
        <v>62</v>
      </c>
      <c r="H135" s="52"/>
      <c r="I135" s="137">
        <v>110002</v>
      </c>
      <c r="J135" s="137">
        <v>400002</v>
      </c>
      <c r="K135" s="137">
        <v>410028</v>
      </c>
      <c r="L135" s="6">
        <v>2</v>
      </c>
      <c r="M135" s="52"/>
      <c r="N135" s="52">
        <v>720</v>
      </c>
      <c r="O135" s="52">
        <v>82</v>
      </c>
      <c r="P135" s="52">
        <v>13</v>
      </c>
      <c r="Q135" s="52">
        <v>33</v>
      </c>
      <c r="R135" s="52">
        <v>27</v>
      </c>
      <c r="S135" s="52">
        <v>75</v>
      </c>
      <c r="T135" s="52">
        <v>10</v>
      </c>
      <c r="U135" s="77"/>
      <c r="V135" s="70">
        <v>640</v>
      </c>
      <c r="W135" s="6">
        <v>0.02</v>
      </c>
      <c r="X135" s="68"/>
      <c r="Y135" s="52"/>
      <c r="Z135" s="6" t="s">
        <v>1537</v>
      </c>
      <c r="AA135" s="6">
        <v>910</v>
      </c>
      <c r="AB135" s="68"/>
      <c r="AC135" s="52"/>
      <c r="AD135" s="68"/>
      <c r="AE135" s="52"/>
      <c r="AF135" s="68"/>
      <c r="AG135" s="52"/>
      <c r="AH135" s="68"/>
      <c r="AI135" s="52"/>
      <c r="AJ135" s="68"/>
    </row>
    <row r="136" spans="1:37" ht="16.5" customHeight="1">
      <c r="A136" s="52">
        <v>40083</v>
      </c>
      <c r="B136" s="27" t="s">
        <v>1575</v>
      </c>
      <c r="C136" s="52" t="s">
        <v>77</v>
      </c>
      <c r="D136" s="52" t="s">
        <v>1489</v>
      </c>
      <c r="E136" s="1" t="s">
        <v>1484</v>
      </c>
      <c r="F136" s="68" t="s">
        <v>1506</v>
      </c>
      <c r="G136" s="27">
        <v>67</v>
      </c>
      <c r="H136" s="52"/>
      <c r="I136" s="137">
        <v>110001</v>
      </c>
      <c r="J136" s="137">
        <v>400031</v>
      </c>
      <c r="K136" s="137">
        <v>410009</v>
      </c>
      <c r="L136" s="6">
        <v>2</v>
      </c>
      <c r="M136" s="52"/>
      <c r="N136" s="52">
        <v>1050</v>
      </c>
      <c r="O136" s="52">
        <v>70</v>
      </c>
      <c r="P136" s="52">
        <v>14</v>
      </c>
      <c r="Q136" s="52">
        <v>58</v>
      </c>
      <c r="R136" s="52">
        <v>40</v>
      </c>
      <c r="S136" s="52">
        <v>75</v>
      </c>
      <c r="T136" s="52">
        <v>10</v>
      </c>
      <c r="U136" s="77">
        <v>3</v>
      </c>
      <c r="V136" s="70">
        <v>832</v>
      </c>
      <c r="W136" s="6">
        <v>0.02</v>
      </c>
      <c r="X136" s="68"/>
      <c r="Y136" s="52"/>
      <c r="Z136" s="6" t="s">
        <v>1537</v>
      </c>
      <c r="AA136" s="6">
        <v>910</v>
      </c>
      <c r="AB136" s="68"/>
      <c r="AC136" s="52"/>
      <c r="AD136" s="68"/>
      <c r="AE136" s="52"/>
      <c r="AF136" s="68"/>
      <c r="AG136" s="52"/>
      <c r="AH136" s="68"/>
      <c r="AI136" s="52"/>
      <c r="AJ136" s="68"/>
    </row>
    <row r="137" spans="1:37" ht="16.5" customHeight="1">
      <c r="A137" s="52">
        <v>40084</v>
      </c>
      <c r="B137" s="27" t="s">
        <v>1576</v>
      </c>
      <c r="C137" s="52" t="s">
        <v>77</v>
      </c>
      <c r="D137" s="52" t="s">
        <v>1489</v>
      </c>
      <c r="E137" s="1" t="s">
        <v>1484</v>
      </c>
      <c r="F137" s="68" t="s">
        <v>1506</v>
      </c>
      <c r="G137" s="27">
        <v>62</v>
      </c>
      <c r="H137" s="52"/>
      <c r="I137" s="137">
        <v>110002</v>
      </c>
      <c r="J137" s="137">
        <v>400002</v>
      </c>
      <c r="K137" s="137">
        <v>410004</v>
      </c>
      <c r="L137" s="6">
        <v>3</v>
      </c>
      <c r="M137" s="52"/>
      <c r="N137" s="52">
        <v>690</v>
      </c>
      <c r="O137" s="52">
        <v>80</v>
      </c>
      <c r="P137" s="52">
        <v>13</v>
      </c>
      <c r="Q137" s="52">
        <v>28</v>
      </c>
      <c r="R137" s="52">
        <v>33</v>
      </c>
      <c r="S137" s="52">
        <v>75</v>
      </c>
      <c r="T137" s="52">
        <v>10</v>
      </c>
      <c r="U137" s="77"/>
      <c r="V137" s="70">
        <v>624</v>
      </c>
      <c r="W137" s="6">
        <v>0.02</v>
      </c>
      <c r="X137" s="68"/>
      <c r="Y137" s="52"/>
      <c r="Z137" s="6" t="s">
        <v>1537</v>
      </c>
      <c r="AA137" s="6">
        <v>910</v>
      </c>
      <c r="AB137" s="68"/>
      <c r="AC137" s="52"/>
      <c r="AD137" s="68"/>
      <c r="AE137" s="52"/>
      <c r="AF137" s="68"/>
      <c r="AG137" s="52"/>
      <c r="AH137" s="68"/>
      <c r="AI137" s="52"/>
      <c r="AJ137" s="68"/>
    </row>
    <row r="138" spans="1:37" ht="16.5" customHeight="1">
      <c r="A138" s="52">
        <v>40085</v>
      </c>
      <c r="B138" s="27" t="s">
        <v>1577</v>
      </c>
      <c r="C138" s="52" t="s">
        <v>77</v>
      </c>
      <c r="D138" s="52" t="s">
        <v>1489</v>
      </c>
      <c r="E138" s="1" t="s">
        <v>1484</v>
      </c>
      <c r="F138" s="68" t="s">
        <v>1506</v>
      </c>
      <c r="G138" s="27">
        <v>65</v>
      </c>
      <c r="H138" s="52"/>
      <c r="I138" s="137">
        <v>110001</v>
      </c>
      <c r="J138" s="137">
        <v>400026</v>
      </c>
      <c r="K138" s="137">
        <v>410025</v>
      </c>
      <c r="L138" s="6">
        <v>1</v>
      </c>
      <c r="M138" s="52"/>
      <c r="N138" s="52">
        <v>1000</v>
      </c>
      <c r="O138" s="52">
        <v>68</v>
      </c>
      <c r="P138" s="52">
        <v>16</v>
      </c>
      <c r="Q138" s="52">
        <v>60</v>
      </c>
      <c r="R138" s="52">
        <v>42</v>
      </c>
      <c r="S138" s="52">
        <v>75</v>
      </c>
      <c r="T138" s="52">
        <v>10</v>
      </c>
      <c r="U138" s="77"/>
      <c r="V138" s="70">
        <v>811</v>
      </c>
      <c r="W138" s="6">
        <v>0.02</v>
      </c>
      <c r="X138" s="68"/>
      <c r="Y138" s="52"/>
      <c r="Z138" s="6" t="s">
        <v>1537</v>
      </c>
      <c r="AA138" s="6">
        <v>910</v>
      </c>
      <c r="AB138" s="68"/>
      <c r="AC138" s="52"/>
      <c r="AD138" s="68"/>
      <c r="AE138" s="52"/>
      <c r="AF138" s="68"/>
      <c r="AG138" s="52"/>
      <c r="AH138" s="68"/>
      <c r="AI138" s="52"/>
      <c r="AJ138" s="68"/>
    </row>
    <row r="139" spans="1:37" ht="16.5" customHeight="1">
      <c r="A139" s="52">
        <v>40086</v>
      </c>
      <c r="B139" s="27" t="s">
        <v>1578</v>
      </c>
      <c r="C139" s="52" t="s">
        <v>77</v>
      </c>
      <c r="D139" s="52" t="s">
        <v>1489</v>
      </c>
      <c r="E139" s="1" t="s">
        <v>205</v>
      </c>
      <c r="F139" s="68" t="s">
        <v>1506</v>
      </c>
      <c r="G139" s="27">
        <v>65</v>
      </c>
      <c r="H139" s="52"/>
      <c r="I139" s="137">
        <v>110011</v>
      </c>
      <c r="J139" s="137">
        <v>400007</v>
      </c>
      <c r="K139" s="137">
        <v>410021</v>
      </c>
      <c r="L139" s="6">
        <v>1</v>
      </c>
      <c r="M139" s="52"/>
      <c r="N139" s="52">
        <v>780</v>
      </c>
      <c r="O139" s="52">
        <v>15</v>
      </c>
      <c r="P139" s="52">
        <v>82</v>
      </c>
      <c r="Q139" s="52">
        <v>32</v>
      </c>
      <c r="R139" s="52">
        <v>52</v>
      </c>
      <c r="S139" s="52">
        <v>75</v>
      </c>
      <c r="T139" s="52">
        <v>10</v>
      </c>
      <c r="U139" s="77"/>
      <c r="V139" s="70">
        <v>696</v>
      </c>
      <c r="W139" s="6">
        <v>0.02</v>
      </c>
      <c r="X139" s="68"/>
      <c r="Y139" s="52"/>
      <c r="Z139" s="6" t="s">
        <v>1532</v>
      </c>
      <c r="AA139" s="6">
        <v>910</v>
      </c>
      <c r="AB139" s="68"/>
      <c r="AC139" s="52"/>
      <c r="AD139" s="68"/>
      <c r="AE139" s="52"/>
      <c r="AF139" s="68"/>
      <c r="AG139" s="52"/>
      <c r="AH139" s="68"/>
      <c r="AI139" s="52"/>
      <c r="AJ139" s="68"/>
    </row>
    <row r="140" spans="1:37" ht="16.5" customHeight="1">
      <c r="A140" s="52">
        <v>40087</v>
      </c>
      <c r="B140" s="27" t="s">
        <v>1579</v>
      </c>
      <c r="C140" s="52" t="s">
        <v>77</v>
      </c>
      <c r="D140" s="52" t="s">
        <v>1489</v>
      </c>
      <c r="E140" s="1" t="s">
        <v>1484</v>
      </c>
      <c r="F140" s="68" t="s">
        <v>1506</v>
      </c>
      <c r="G140" s="27">
        <v>62</v>
      </c>
      <c r="H140" s="52"/>
      <c r="I140" s="137">
        <v>110002</v>
      </c>
      <c r="J140" s="137">
        <v>400036</v>
      </c>
      <c r="K140" s="137">
        <v>410031</v>
      </c>
      <c r="L140" s="6">
        <v>2</v>
      </c>
      <c r="M140" s="52"/>
      <c r="N140" s="52">
        <v>760</v>
      </c>
      <c r="O140" s="52">
        <v>85</v>
      </c>
      <c r="P140" s="52">
        <v>14</v>
      </c>
      <c r="Q140" s="52">
        <v>34</v>
      </c>
      <c r="R140" s="52">
        <v>30</v>
      </c>
      <c r="S140" s="52">
        <v>75</v>
      </c>
      <c r="T140" s="52">
        <v>10</v>
      </c>
      <c r="U140" s="77"/>
      <c r="V140" s="70">
        <v>668</v>
      </c>
      <c r="W140" s="6">
        <v>0.02</v>
      </c>
      <c r="X140" s="68"/>
      <c r="Y140" s="52"/>
      <c r="Z140" s="6" t="s">
        <v>1537</v>
      </c>
      <c r="AA140" s="6">
        <v>910</v>
      </c>
      <c r="AB140" s="68"/>
      <c r="AC140" s="52"/>
      <c r="AD140" s="68"/>
      <c r="AE140" s="52"/>
      <c r="AF140" s="68"/>
      <c r="AG140" s="52"/>
      <c r="AH140" s="68"/>
      <c r="AI140" s="52"/>
      <c r="AJ140" s="68"/>
    </row>
    <row r="141" spans="1:37" ht="16.5" customHeight="1">
      <c r="A141" s="47"/>
      <c r="B141" s="30"/>
      <c r="C141" s="47"/>
      <c r="D141" s="47"/>
      <c r="E141" s="83"/>
      <c r="F141" s="71"/>
      <c r="G141" s="30"/>
      <c r="H141" s="47"/>
      <c r="I141" s="139"/>
      <c r="J141" s="139"/>
      <c r="K141" s="139"/>
      <c r="L141" s="45"/>
      <c r="M141" s="47"/>
      <c r="N141" s="47"/>
      <c r="O141" s="47"/>
      <c r="P141" s="47"/>
      <c r="Q141" s="47"/>
      <c r="R141" s="47"/>
      <c r="S141" s="47"/>
      <c r="T141" s="47"/>
      <c r="U141" s="131"/>
      <c r="V141" s="132"/>
      <c r="W141" s="45"/>
      <c r="X141" s="71"/>
      <c r="Y141" s="47"/>
      <c r="Z141" s="45"/>
      <c r="AA141" s="45"/>
      <c r="AB141" s="71"/>
      <c r="AC141" s="47"/>
      <c r="AD141" s="71"/>
      <c r="AE141" s="47"/>
      <c r="AF141" s="71"/>
      <c r="AG141" s="47"/>
      <c r="AH141" s="71"/>
      <c r="AI141" s="47"/>
      <c r="AJ141" s="71"/>
      <c r="AK141" s="71"/>
    </row>
    <row r="142" spans="1:37" ht="16.5" customHeight="1">
      <c r="A142" s="47"/>
      <c r="B142" s="30"/>
      <c r="C142" s="47"/>
      <c r="D142" s="47"/>
      <c r="E142" s="83"/>
      <c r="F142" s="71"/>
      <c r="G142" s="30"/>
      <c r="H142" s="47"/>
      <c r="I142" s="139"/>
      <c r="J142" s="139"/>
      <c r="K142" s="139"/>
      <c r="L142" s="45"/>
      <c r="M142" s="47"/>
      <c r="N142" s="47"/>
      <c r="O142" s="47"/>
      <c r="P142" s="47"/>
      <c r="Q142" s="47"/>
      <c r="R142" s="47"/>
      <c r="S142" s="47"/>
      <c r="T142" s="47"/>
      <c r="U142" s="131"/>
      <c r="V142" s="132"/>
      <c r="W142" s="45"/>
      <c r="X142" s="71"/>
      <c r="Y142" s="47"/>
      <c r="Z142" s="45"/>
      <c r="AA142" s="45"/>
      <c r="AB142" s="71"/>
      <c r="AC142" s="47"/>
      <c r="AD142" s="71"/>
      <c r="AE142" s="47"/>
      <c r="AF142" s="71"/>
      <c r="AG142" s="47"/>
      <c r="AH142" s="71"/>
      <c r="AI142" s="47"/>
      <c r="AJ142" s="71"/>
      <c r="AK142" s="71"/>
    </row>
    <row r="143" spans="1:37" ht="16.5" customHeight="1">
      <c r="A143" s="47"/>
      <c r="B143" s="30"/>
      <c r="C143" s="47"/>
      <c r="D143" s="47"/>
      <c r="E143" s="83"/>
      <c r="F143" s="71"/>
      <c r="G143" s="30"/>
      <c r="H143" s="47"/>
      <c r="I143" s="139"/>
      <c r="J143" s="139"/>
      <c r="K143" s="139"/>
      <c r="L143" s="45"/>
      <c r="M143" s="47"/>
      <c r="N143" s="47"/>
      <c r="O143" s="47"/>
      <c r="P143" s="47"/>
      <c r="Q143" s="47"/>
      <c r="R143" s="47"/>
      <c r="S143" s="47"/>
      <c r="T143" s="47"/>
      <c r="U143" s="131"/>
      <c r="V143" s="132"/>
      <c r="W143" s="45"/>
      <c r="X143" s="71"/>
      <c r="Y143" s="47"/>
      <c r="Z143" s="45"/>
      <c r="AA143" s="45"/>
      <c r="AB143" s="71"/>
      <c r="AC143" s="47"/>
      <c r="AD143" s="71"/>
      <c r="AE143" s="47"/>
      <c r="AF143" s="71"/>
      <c r="AG143" s="47"/>
      <c r="AH143" s="71"/>
      <c r="AI143" s="47"/>
      <c r="AJ143" s="71"/>
      <c r="AK143" s="71"/>
    </row>
    <row r="144" spans="1:37" ht="14.25" customHeight="1">
      <c r="A144" s="48" t="s">
        <v>1423</v>
      </c>
      <c r="B144" s="48" t="s">
        <v>1424</v>
      </c>
      <c r="C144" s="40" t="s">
        <v>1425</v>
      </c>
      <c r="D144" s="40" t="s">
        <v>733</v>
      </c>
      <c r="E144" s="48" t="s">
        <v>1426</v>
      </c>
      <c r="F144" s="50" t="s">
        <v>1427</v>
      </c>
      <c r="G144" s="40" t="s">
        <v>1172</v>
      </c>
      <c r="H144" s="40" t="s">
        <v>1428</v>
      </c>
      <c r="I144" s="136" t="s">
        <v>1429</v>
      </c>
      <c r="J144" s="136" t="s">
        <v>1430</v>
      </c>
      <c r="K144" s="136" t="s">
        <v>1431</v>
      </c>
      <c r="L144" s="40" t="s">
        <v>1173</v>
      </c>
      <c r="M144" s="40" t="s">
        <v>1432</v>
      </c>
      <c r="N144" s="40" t="s">
        <v>1433</v>
      </c>
      <c r="O144" s="40" t="s">
        <v>1434</v>
      </c>
      <c r="P144" s="40" t="s">
        <v>1435</v>
      </c>
      <c r="Q144" s="40" t="s">
        <v>1436</v>
      </c>
      <c r="R144" s="40" t="s">
        <v>1437</v>
      </c>
      <c r="S144" s="40" t="s">
        <v>1438</v>
      </c>
      <c r="T144" s="40" t="s">
        <v>209</v>
      </c>
      <c r="U144" s="66" t="s">
        <v>1439</v>
      </c>
      <c r="V144" s="6" t="s">
        <v>1440</v>
      </c>
      <c r="W144" s="40" t="s">
        <v>1441</v>
      </c>
      <c r="X144" s="40" t="s">
        <v>1442</v>
      </c>
      <c r="Y144" s="67" t="s">
        <v>1443</v>
      </c>
      <c r="Z144" s="6" t="s">
        <v>1444</v>
      </c>
      <c r="AA144" s="6" t="s">
        <v>1445</v>
      </c>
      <c r="AB144" s="6" t="s">
        <v>1446</v>
      </c>
      <c r="AC144" s="6" t="s">
        <v>1447</v>
      </c>
      <c r="AD144" s="6" t="s">
        <v>1448</v>
      </c>
      <c r="AE144" s="6" t="s">
        <v>1449</v>
      </c>
      <c r="AF144" s="6" t="s">
        <v>1450</v>
      </c>
      <c r="AG144" s="6" t="s">
        <v>1451</v>
      </c>
      <c r="AH144" s="6" t="s">
        <v>1452</v>
      </c>
      <c r="AI144" s="6" t="s">
        <v>1453</v>
      </c>
      <c r="AJ144" s="6" t="s">
        <v>1454</v>
      </c>
      <c r="AK144" s="6" t="s">
        <v>1455</v>
      </c>
    </row>
    <row r="145" spans="1:37" ht="15" customHeight="1">
      <c r="A145" s="52">
        <v>50000</v>
      </c>
      <c r="B145" s="133" t="s">
        <v>1580</v>
      </c>
      <c r="C145" s="52" t="s">
        <v>75</v>
      </c>
      <c r="D145" s="52" t="s">
        <v>1489</v>
      </c>
      <c r="E145" s="1" t="s">
        <v>205</v>
      </c>
      <c r="F145" s="52"/>
      <c r="G145" s="52">
        <v>66</v>
      </c>
      <c r="H145" s="31" t="s">
        <v>1581</v>
      </c>
      <c r="I145" s="137">
        <v>110011</v>
      </c>
      <c r="J145" s="140">
        <v>400017</v>
      </c>
      <c r="K145" s="140">
        <v>410030</v>
      </c>
      <c r="L145" s="6">
        <v>1</v>
      </c>
      <c r="M145" s="52"/>
      <c r="N145" s="52">
        <v>660</v>
      </c>
      <c r="O145" s="52">
        <v>14</v>
      </c>
      <c r="P145" s="52">
        <v>97</v>
      </c>
      <c r="Q145" s="52">
        <v>32</v>
      </c>
      <c r="R145" s="52">
        <v>55</v>
      </c>
      <c r="S145" s="52">
        <v>900</v>
      </c>
      <c r="T145" s="52">
        <v>19</v>
      </c>
      <c r="U145" s="69"/>
      <c r="V145" s="70">
        <v>3450</v>
      </c>
      <c r="W145" s="52"/>
      <c r="X145" s="52"/>
      <c r="Y145" s="52"/>
      <c r="Z145" s="52"/>
      <c r="AA145" s="52"/>
      <c r="AB145" s="52"/>
      <c r="AC145" s="52"/>
      <c r="AD145" s="52"/>
      <c r="AE145" s="52"/>
      <c r="AF145" s="52"/>
      <c r="AG145" s="52"/>
      <c r="AH145" s="52"/>
      <c r="AI145" s="52"/>
      <c r="AJ145" s="52"/>
      <c r="AK145" s="52"/>
    </row>
    <row r="146" spans="1:37" ht="14.25" customHeight="1">
      <c r="A146" s="52">
        <v>50001</v>
      </c>
      <c r="B146" s="4" t="s">
        <v>1582</v>
      </c>
      <c r="C146" s="52" t="s">
        <v>77</v>
      </c>
      <c r="D146" s="52" t="s">
        <v>1489</v>
      </c>
      <c r="E146" s="52" t="str">
        <f>IF(O146&gt;P146,"物攻","魔攻")</f>
        <v>物攻</v>
      </c>
      <c r="F146" s="52"/>
      <c r="G146" s="52">
        <v>62</v>
      </c>
      <c r="H146" s="27" t="str">
        <f>"2001,2002,2003,2004,2005,2006,2007,2008,2009,2010,2011,2012,5001,5002,5003,5004,5005,5006"</f>
        <v>2001,2002,2003,2004,2005,2006,2007,2008,2009,2010,2011,2012,5001,5002,5003,5004,5005,5006</v>
      </c>
      <c r="I146" s="137">
        <v>110001</v>
      </c>
      <c r="J146" s="140">
        <v>400016</v>
      </c>
      <c r="K146" s="140">
        <v>410013</v>
      </c>
      <c r="L146" s="6">
        <v>3</v>
      </c>
      <c r="M146" s="52"/>
      <c r="N146" s="52">
        <v>1050</v>
      </c>
      <c r="O146" s="52">
        <v>77</v>
      </c>
      <c r="P146" s="52">
        <v>11</v>
      </c>
      <c r="Q146" s="52">
        <v>55</v>
      </c>
      <c r="R146" s="52">
        <v>37</v>
      </c>
      <c r="S146" s="52">
        <v>300</v>
      </c>
      <c r="T146" s="52">
        <v>15</v>
      </c>
      <c r="U146" s="69"/>
      <c r="V146" s="70">
        <f>N146*0.5+O146+P146+Q146+R146+S146+T146*5</f>
        <v>1080</v>
      </c>
      <c r="W146" s="52"/>
      <c r="X146" s="52"/>
      <c r="Y146" s="52"/>
      <c r="Z146" s="52"/>
      <c r="AA146" s="52"/>
      <c r="AB146" s="52"/>
      <c r="AC146" s="52"/>
      <c r="AD146" s="52"/>
      <c r="AE146" s="52"/>
      <c r="AF146" s="52"/>
      <c r="AG146" s="52"/>
      <c r="AH146" s="52"/>
      <c r="AI146" s="52"/>
      <c r="AJ146" s="52"/>
      <c r="AK146" s="52"/>
    </row>
    <row r="147" spans="1:37" ht="14.25" customHeight="1">
      <c r="A147" s="52">
        <v>50002</v>
      </c>
      <c r="B147" s="4" t="s">
        <v>1583</v>
      </c>
      <c r="C147" s="52" t="s">
        <v>77</v>
      </c>
      <c r="D147" s="52" t="s">
        <v>1489</v>
      </c>
      <c r="E147" s="52" t="str">
        <f>IF(O147&gt;P147,"物攻","魔攻")</f>
        <v>魔攻</v>
      </c>
      <c r="F147" s="52"/>
      <c r="G147" s="52">
        <v>63</v>
      </c>
      <c r="H147" s="27" t="str">
        <f>"2001,2002,2003,2004,2005,2006,2007,2008,2009,2010,2011,2012,5001,5002,5003,5004,5005,5006"</f>
        <v>2001,2002,2003,2004,2005,2006,2007,2008,2009,2010,2011,2012,5001,5002,5003,5004,5005,5006</v>
      </c>
      <c r="I147" s="137">
        <v>110001</v>
      </c>
      <c r="J147" s="140">
        <v>400017</v>
      </c>
      <c r="K147" s="140">
        <v>410014</v>
      </c>
      <c r="L147" s="6">
        <v>1</v>
      </c>
      <c r="M147" s="52"/>
      <c r="N147" s="52">
        <v>2200</v>
      </c>
      <c r="O147" s="52">
        <v>10</v>
      </c>
      <c r="P147" s="52">
        <v>85</v>
      </c>
      <c r="Q147" s="52">
        <v>85</v>
      </c>
      <c r="R147" s="52">
        <v>55</v>
      </c>
      <c r="S147" s="52">
        <v>400</v>
      </c>
      <c r="T147" s="52">
        <v>10</v>
      </c>
      <c r="U147" s="69"/>
      <c r="V147" s="70">
        <f>N147*0.5+O147+P147+Q147+R147+S147+T147*5</f>
        <v>1785</v>
      </c>
      <c r="W147" s="52"/>
      <c r="X147" s="52"/>
      <c r="Y147" s="52"/>
      <c r="Z147" s="52"/>
      <c r="AA147" s="52"/>
      <c r="AB147" s="52"/>
      <c r="AC147" s="52"/>
      <c r="AD147" s="52"/>
      <c r="AE147" s="52"/>
      <c r="AF147" s="52"/>
      <c r="AG147" s="52"/>
      <c r="AH147" s="52"/>
      <c r="AI147" s="52"/>
      <c r="AJ147" s="52"/>
      <c r="AK147" s="52"/>
    </row>
    <row r="148" spans="1:37" ht="14.25" customHeight="1">
      <c r="A148" s="52">
        <v>50003</v>
      </c>
      <c r="B148" s="4" t="s">
        <v>1584</v>
      </c>
      <c r="C148" s="52" t="s">
        <v>77</v>
      </c>
      <c r="D148" s="52" t="s">
        <v>1489</v>
      </c>
      <c r="E148" s="1" t="s">
        <v>1484</v>
      </c>
      <c r="F148" s="52"/>
      <c r="G148" s="52">
        <v>64</v>
      </c>
      <c r="H148" s="31" t="s">
        <v>1581</v>
      </c>
      <c r="I148" s="137">
        <v>110001</v>
      </c>
      <c r="J148" s="140">
        <v>400031</v>
      </c>
      <c r="K148" s="140">
        <v>410009</v>
      </c>
      <c r="L148" s="6">
        <v>2</v>
      </c>
      <c r="M148" s="52"/>
      <c r="N148" s="52">
        <v>1950</v>
      </c>
      <c r="O148" s="52">
        <v>105</v>
      </c>
      <c r="P148" s="52">
        <v>11</v>
      </c>
      <c r="Q148" s="52">
        <v>65</v>
      </c>
      <c r="R148" s="52">
        <v>75</v>
      </c>
      <c r="S148" s="52">
        <v>500</v>
      </c>
      <c r="T148" s="52">
        <v>19</v>
      </c>
      <c r="U148" s="69"/>
      <c r="V148" s="70">
        <v>1826</v>
      </c>
      <c r="W148" s="52"/>
      <c r="X148" s="52"/>
      <c r="Y148" s="52"/>
      <c r="Z148" s="52"/>
      <c r="AA148" s="52"/>
      <c r="AB148" s="52"/>
      <c r="AC148" s="52"/>
      <c r="AD148" s="52"/>
      <c r="AE148" s="52"/>
      <c r="AF148" s="52"/>
      <c r="AG148" s="52"/>
      <c r="AH148" s="52"/>
      <c r="AI148" s="52"/>
      <c r="AJ148" s="52"/>
      <c r="AK148" s="52"/>
    </row>
    <row r="149" spans="1:37" ht="14.25" customHeight="1">
      <c r="A149" s="52">
        <v>50004</v>
      </c>
      <c r="B149" s="4" t="s">
        <v>1585</v>
      </c>
      <c r="C149" s="52" t="s">
        <v>77</v>
      </c>
      <c r="D149" s="52" t="s">
        <v>1489</v>
      </c>
      <c r="E149" s="1" t="s">
        <v>1484</v>
      </c>
      <c r="F149" s="52"/>
      <c r="G149" s="52">
        <v>68</v>
      </c>
      <c r="H149" s="31" t="s">
        <v>1581</v>
      </c>
      <c r="I149" s="137">
        <v>110001</v>
      </c>
      <c r="J149" s="140">
        <v>400026</v>
      </c>
      <c r="K149" s="140">
        <v>410002</v>
      </c>
      <c r="L149" s="6">
        <v>3</v>
      </c>
      <c r="M149" s="52"/>
      <c r="N149" s="52">
        <v>1500</v>
      </c>
      <c r="O149" s="52">
        <v>140</v>
      </c>
      <c r="P149" s="52">
        <v>15</v>
      </c>
      <c r="Q149" s="52">
        <v>45</v>
      </c>
      <c r="R149" s="52">
        <v>50</v>
      </c>
      <c r="S149" s="52">
        <v>420</v>
      </c>
      <c r="T149" s="52">
        <v>34</v>
      </c>
      <c r="U149" s="69"/>
      <c r="V149" s="70">
        <v>1590</v>
      </c>
      <c r="W149" s="52"/>
      <c r="X149" s="52"/>
      <c r="Y149" s="52"/>
      <c r="Z149" s="52"/>
      <c r="AA149" s="52"/>
      <c r="AB149" s="52"/>
      <c r="AC149" s="52"/>
      <c r="AD149" s="52"/>
      <c r="AE149" s="52"/>
      <c r="AF149" s="52"/>
      <c r="AG149" s="52"/>
      <c r="AH149" s="52"/>
      <c r="AI149" s="52"/>
      <c r="AJ149" s="52"/>
      <c r="AK149" s="52"/>
    </row>
    <row r="150" spans="1:37" ht="14.25" customHeight="1">
      <c r="A150" s="52">
        <v>50005</v>
      </c>
      <c r="B150" s="4" t="s">
        <v>1586</v>
      </c>
      <c r="C150" s="52" t="s">
        <v>77</v>
      </c>
      <c r="D150" s="52" t="s">
        <v>1489</v>
      </c>
      <c r="E150" s="1" t="s">
        <v>1484</v>
      </c>
      <c r="F150" s="52"/>
      <c r="G150" s="52">
        <v>66</v>
      </c>
      <c r="H150" s="31" t="s">
        <v>1581</v>
      </c>
      <c r="I150" s="137">
        <v>110001</v>
      </c>
      <c r="J150" s="140">
        <v>400027</v>
      </c>
      <c r="K150" s="140">
        <v>410006</v>
      </c>
      <c r="L150" s="6">
        <v>3</v>
      </c>
      <c r="M150" s="52"/>
      <c r="N150" s="52">
        <v>1850</v>
      </c>
      <c r="O150" s="52">
        <v>115</v>
      </c>
      <c r="P150" s="52">
        <v>18</v>
      </c>
      <c r="Q150" s="52">
        <v>70</v>
      </c>
      <c r="R150" s="52">
        <v>60</v>
      </c>
      <c r="S150" s="52">
        <v>460</v>
      </c>
      <c r="T150" s="52">
        <v>20</v>
      </c>
      <c r="U150" s="69"/>
      <c r="V150" s="70">
        <v>1748</v>
      </c>
      <c r="W150" s="52"/>
      <c r="X150" s="52"/>
      <c r="Y150" s="52"/>
      <c r="Z150" s="52"/>
      <c r="AA150" s="52"/>
      <c r="AB150" s="52"/>
      <c r="AC150" s="52"/>
      <c r="AD150" s="52"/>
      <c r="AE150" s="52"/>
      <c r="AF150" s="52"/>
      <c r="AG150" s="52"/>
      <c r="AH150" s="52"/>
      <c r="AI150" s="52"/>
      <c r="AJ150" s="52"/>
      <c r="AK150" s="52"/>
    </row>
    <row r="151" spans="1:37" ht="14.25" customHeight="1">
      <c r="A151" s="52">
        <v>50006</v>
      </c>
      <c r="B151" s="4" t="s">
        <v>1587</v>
      </c>
      <c r="C151" s="52" t="s">
        <v>77</v>
      </c>
      <c r="D151" s="52" t="s">
        <v>1489</v>
      </c>
      <c r="E151" s="1" t="s">
        <v>205</v>
      </c>
      <c r="F151" s="52"/>
      <c r="G151" s="52">
        <v>64</v>
      </c>
      <c r="H151" s="31" t="s">
        <v>1581</v>
      </c>
      <c r="I151" s="137">
        <v>110011</v>
      </c>
      <c r="J151" s="140">
        <v>400007</v>
      </c>
      <c r="K151" s="140">
        <v>410010</v>
      </c>
      <c r="L151" s="6">
        <v>1</v>
      </c>
      <c r="M151" s="52"/>
      <c r="N151" s="52">
        <v>2600</v>
      </c>
      <c r="O151" s="52">
        <v>20</v>
      </c>
      <c r="P151" s="52">
        <v>95</v>
      </c>
      <c r="Q151" s="52">
        <v>100</v>
      </c>
      <c r="R151" s="52">
        <v>95</v>
      </c>
      <c r="S151" s="52">
        <v>480</v>
      </c>
      <c r="T151" s="52">
        <v>12</v>
      </c>
      <c r="U151" s="69"/>
      <c r="V151" s="70">
        <v>2150</v>
      </c>
      <c r="W151" s="52"/>
      <c r="X151" s="52"/>
      <c r="Y151" s="52"/>
      <c r="Z151" s="52"/>
      <c r="AA151" s="52"/>
      <c r="AB151" s="52"/>
      <c r="AC151" s="52"/>
      <c r="AD151" s="52"/>
      <c r="AE151" s="52"/>
      <c r="AF151" s="52"/>
      <c r="AG151" s="52"/>
      <c r="AH151" s="52"/>
      <c r="AI151" s="52"/>
      <c r="AJ151" s="52"/>
      <c r="AK151" s="52"/>
    </row>
    <row r="152" spans="1:37" ht="14.25" customHeight="1">
      <c r="A152" s="52">
        <v>50007</v>
      </c>
      <c r="B152" s="4" t="s">
        <v>1588</v>
      </c>
      <c r="C152" s="52" t="s">
        <v>77</v>
      </c>
      <c r="D152" s="52" t="s">
        <v>1489</v>
      </c>
      <c r="E152" s="1" t="s">
        <v>205</v>
      </c>
      <c r="F152" s="52"/>
      <c r="G152" s="52">
        <v>68</v>
      </c>
      <c r="H152" s="31" t="s">
        <v>1581</v>
      </c>
      <c r="I152" s="137">
        <v>110011</v>
      </c>
      <c r="J152" s="140">
        <v>400028</v>
      </c>
      <c r="K152" s="140">
        <v>410021</v>
      </c>
      <c r="L152" s="6">
        <v>3</v>
      </c>
      <c r="M152" s="52"/>
      <c r="N152" s="52">
        <v>1600</v>
      </c>
      <c r="O152" s="52">
        <v>15</v>
      </c>
      <c r="P152" s="52">
        <v>145</v>
      </c>
      <c r="Q152" s="52">
        <v>55</v>
      </c>
      <c r="R152" s="52">
        <v>90</v>
      </c>
      <c r="S152" s="52">
        <v>600</v>
      </c>
      <c r="T152" s="52">
        <v>18</v>
      </c>
      <c r="U152" s="69"/>
      <c r="V152" s="70">
        <v>1795</v>
      </c>
      <c r="W152" s="52"/>
      <c r="X152" s="52"/>
      <c r="Y152" s="52"/>
      <c r="Z152" s="52"/>
      <c r="AA152" s="52"/>
      <c r="AB152" s="52"/>
      <c r="AC152" s="52"/>
      <c r="AD152" s="52"/>
      <c r="AE152" s="52"/>
      <c r="AF152" s="52"/>
      <c r="AG152" s="52"/>
      <c r="AH152" s="52"/>
      <c r="AI152" s="52"/>
      <c r="AJ152" s="52"/>
      <c r="AK152" s="52"/>
    </row>
    <row r="153" spans="1:37" ht="14.25" customHeight="1">
      <c r="A153" s="52">
        <v>50008</v>
      </c>
      <c r="B153" s="4" t="s">
        <v>1589</v>
      </c>
      <c r="C153" s="52" t="s">
        <v>77</v>
      </c>
      <c r="D153" s="52" t="s">
        <v>1489</v>
      </c>
      <c r="E153" s="1" t="s">
        <v>205</v>
      </c>
      <c r="F153" s="52"/>
      <c r="G153" s="52">
        <v>68</v>
      </c>
      <c r="H153" s="31" t="s">
        <v>1581</v>
      </c>
      <c r="I153" s="137">
        <v>110012</v>
      </c>
      <c r="J153" s="140">
        <v>400030</v>
      </c>
      <c r="K153" s="140">
        <v>410024</v>
      </c>
      <c r="L153" s="6">
        <v>2</v>
      </c>
      <c r="M153" s="52"/>
      <c r="N153" s="52">
        <v>1900</v>
      </c>
      <c r="O153" s="52">
        <v>18</v>
      </c>
      <c r="P153" s="52">
        <v>130</v>
      </c>
      <c r="Q153" s="52">
        <v>65</v>
      </c>
      <c r="R153" s="52">
        <v>85</v>
      </c>
      <c r="S153" s="52">
        <v>620</v>
      </c>
      <c r="T153" s="52">
        <v>16</v>
      </c>
      <c r="U153" s="69"/>
      <c r="V153" s="70">
        <v>1948</v>
      </c>
      <c r="W153" s="52"/>
      <c r="X153" s="52"/>
      <c r="Y153" s="52"/>
      <c r="Z153" s="52"/>
      <c r="AA153" s="52"/>
      <c r="AB153" s="52"/>
      <c r="AC153" s="52"/>
      <c r="AD153" s="52"/>
      <c r="AE153" s="52"/>
      <c r="AF153" s="52"/>
      <c r="AG153" s="52"/>
      <c r="AH153" s="52"/>
      <c r="AI153" s="52"/>
      <c r="AJ153" s="52"/>
      <c r="AK153" s="52"/>
    </row>
    <row r="154" spans="1:37" ht="14.25" customHeight="1">
      <c r="A154" s="52">
        <v>50009</v>
      </c>
      <c r="B154" s="4" t="s">
        <v>1590</v>
      </c>
      <c r="C154" s="52" t="s">
        <v>77</v>
      </c>
      <c r="D154" s="52" t="s">
        <v>1489</v>
      </c>
      <c r="E154" s="1" t="s">
        <v>1484</v>
      </c>
      <c r="F154" s="52"/>
      <c r="G154" s="52">
        <v>69</v>
      </c>
      <c r="H154" s="31" t="s">
        <v>1581</v>
      </c>
      <c r="I154" s="137">
        <v>110001</v>
      </c>
      <c r="J154" s="140">
        <v>400029</v>
      </c>
      <c r="K154" s="140">
        <v>410026</v>
      </c>
      <c r="L154" s="6">
        <v>2</v>
      </c>
      <c r="M154" s="52"/>
      <c r="N154" s="52">
        <v>2100</v>
      </c>
      <c r="O154" s="52">
        <v>110</v>
      </c>
      <c r="P154" s="52">
        <v>20</v>
      </c>
      <c r="Q154" s="52">
        <v>95</v>
      </c>
      <c r="R154" s="52">
        <v>80</v>
      </c>
      <c r="S154" s="52">
        <v>420</v>
      </c>
      <c r="T154" s="52">
        <v>17</v>
      </c>
      <c r="U154" s="69"/>
      <c r="V154" s="70">
        <v>1860</v>
      </c>
      <c r="W154" s="52"/>
      <c r="X154" s="52"/>
      <c r="Y154" s="52"/>
      <c r="Z154" s="52"/>
      <c r="AA154" s="52"/>
      <c r="AB154" s="52"/>
      <c r="AC154" s="52"/>
      <c r="AD154" s="52"/>
      <c r="AE154" s="52"/>
      <c r="AF154" s="52"/>
      <c r="AG154" s="52"/>
      <c r="AH154" s="52"/>
      <c r="AI154" s="52"/>
      <c r="AJ154" s="52"/>
      <c r="AK154" s="52"/>
    </row>
    <row r="155" spans="1:37" ht="14.25" customHeight="1">
      <c r="A155" s="52">
        <v>50010</v>
      </c>
      <c r="B155" s="4" t="s">
        <v>1591</v>
      </c>
      <c r="C155" s="52" t="s">
        <v>77</v>
      </c>
      <c r="D155" s="52" t="s">
        <v>1489</v>
      </c>
      <c r="E155" s="1" t="s">
        <v>205</v>
      </c>
      <c r="F155" s="52"/>
      <c r="G155" s="52">
        <v>69</v>
      </c>
      <c r="H155" s="31" t="s">
        <v>1581</v>
      </c>
      <c r="I155" s="137">
        <v>110011</v>
      </c>
      <c r="J155" s="140">
        <v>400040</v>
      </c>
      <c r="K155" s="140">
        <v>410029</v>
      </c>
      <c r="L155" s="6">
        <v>3</v>
      </c>
      <c r="M155" s="52"/>
      <c r="N155" s="52">
        <v>1800</v>
      </c>
      <c r="O155" s="52">
        <v>20</v>
      </c>
      <c r="P155" s="52">
        <v>125</v>
      </c>
      <c r="Q155" s="52">
        <v>60</v>
      </c>
      <c r="R155" s="52">
        <v>88</v>
      </c>
      <c r="S155" s="52">
        <v>560</v>
      </c>
      <c r="T155" s="52">
        <v>18</v>
      </c>
      <c r="U155" s="69"/>
      <c r="V155" s="70">
        <v>1843</v>
      </c>
      <c r="W155" s="52"/>
      <c r="X155" s="52"/>
      <c r="Y155" s="52"/>
      <c r="Z155" s="52"/>
      <c r="AA155" s="52"/>
      <c r="AB155" s="52"/>
      <c r="AC155" s="52"/>
      <c r="AD155" s="52"/>
      <c r="AE155" s="52"/>
      <c r="AF155" s="52"/>
      <c r="AG155" s="52"/>
      <c r="AH155" s="52"/>
      <c r="AI155" s="52"/>
      <c r="AJ155" s="52"/>
      <c r="AK155" s="52"/>
    </row>
    <row r="156" spans="1:37" ht="14.25" customHeight="1">
      <c r="A156" s="52">
        <v>50011</v>
      </c>
      <c r="B156" s="4" t="s">
        <v>1592</v>
      </c>
      <c r="C156" s="52" t="s">
        <v>75</v>
      </c>
      <c r="D156" s="52" t="s">
        <v>1489</v>
      </c>
      <c r="E156" s="1" t="s">
        <v>1484</v>
      </c>
      <c r="F156" s="52"/>
      <c r="G156" s="52">
        <v>69</v>
      </c>
      <c r="H156" s="31" t="s">
        <v>1581</v>
      </c>
      <c r="I156" s="137">
        <v>110001</v>
      </c>
      <c r="J156" s="140">
        <v>400029</v>
      </c>
      <c r="K156" s="140">
        <v>410031</v>
      </c>
      <c r="L156" s="6">
        <v>2</v>
      </c>
      <c r="M156" s="52"/>
      <c r="N156" s="52">
        <v>2800</v>
      </c>
      <c r="O156" s="52">
        <v>150</v>
      </c>
      <c r="P156" s="52">
        <v>25</v>
      </c>
      <c r="Q156" s="52">
        <v>120</v>
      </c>
      <c r="R156" s="52">
        <v>100</v>
      </c>
      <c r="S156" s="52">
        <v>550</v>
      </c>
      <c r="T156" s="52">
        <v>22</v>
      </c>
      <c r="U156" s="69"/>
      <c r="V156" s="70">
        <v>2455</v>
      </c>
      <c r="W156" s="52"/>
      <c r="X156" s="52"/>
      <c r="Y156" s="52"/>
      <c r="Z156" s="52"/>
      <c r="AA156" s="52"/>
      <c r="AB156" s="52"/>
      <c r="AC156" s="52"/>
      <c r="AD156" s="52"/>
      <c r="AE156" s="52"/>
      <c r="AF156" s="52"/>
      <c r="AG156" s="52"/>
      <c r="AH156" s="52"/>
      <c r="AI156" s="52"/>
      <c r="AJ156" s="52"/>
      <c r="AK156" s="52"/>
    </row>
    <row r="157" spans="1:37" ht="14.25" customHeight="1">
      <c r="A157" s="52">
        <v>50012</v>
      </c>
      <c r="B157" s="4" t="s">
        <v>1593</v>
      </c>
      <c r="C157" s="52" t="s">
        <v>75</v>
      </c>
      <c r="D157" s="52" t="s">
        <v>1489</v>
      </c>
      <c r="E157" s="1" t="s">
        <v>1484</v>
      </c>
      <c r="F157" s="52"/>
      <c r="G157" s="52">
        <v>68</v>
      </c>
      <c r="H157" s="31" t="s">
        <v>1581</v>
      </c>
      <c r="I157" s="137">
        <v>110001</v>
      </c>
      <c r="J157" s="140">
        <v>400034</v>
      </c>
      <c r="K157" s="140">
        <v>410008</v>
      </c>
      <c r="L157" s="6">
        <v>3</v>
      </c>
      <c r="M157" s="52"/>
      <c r="N157" s="52">
        <v>2400</v>
      </c>
      <c r="O157" s="52">
        <v>175</v>
      </c>
      <c r="P157" s="52">
        <v>20</v>
      </c>
      <c r="Q157" s="52">
        <v>85</v>
      </c>
      <c r="R157" s="52">
        <v>75</v>
      </c>
      <c r="S157" s="52">
        <v>500</v>
      </c>
      <c r="T157" s="52">
        <v>30</v>
      </c>
      <c r="U157" s="69"/>
      <c r="V157" s="70">
        <v>2205</v>
      </c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</row>
    <row r="158" spans="1:37" ht="14.25" customHeight="1">
      <c r="A158" s="52">
        <v>50013</v>
      </c>
      <c r="B158" s="4" t="s">
        <v>1594</v>
      </c>
      <c r="C158" s="52" t="s">
        <v>75</v>
      </c>
      <c r="D158" s="52" t="s">
        <v>1489</v>
      </c>
      <c r="E158" s="1" t="s">
        <v>205</v>
      </c>
      <c r="F158" s="52"/>
      <c r="G158" s="52">
        <v>66</v>
      </c>
      <c r="H158" s="31" t="s">
        <v>1581</v>
      </c>
      <c r="I158" s="137">
        <v>110011</v>
      </c>
      <c r="J158" s="140">
        <v>400037</v>
      </c>
      <c r="K158" s="140">
        <v>410014</v>
      </c>
      <c r="L158" s="6">
        <v>2</v>
      </c>
      <c r="M158" s="52"/>
      <c r="N158" s="52">
        <v>2600</v>
      </c>
      <c r="O158" s="52">
        <v>35</v>
      </c>
      <c r="P158" s="52">
        <v>180</v>
      </c>
      <c r="Q158" s="52">
        <v>90</v>
      </c>
      <c r="R158" s="52">
        <v>110</v>
      </c>
      <c r="S158" s="52">
        <v>650</v>
      </c>
      <c r="T158" s="52">
        <v>24</v>
      </c>
      <c r="U158" s="69"/>
      <c r="V158" s="70">
        <v>2485</v>
      </c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</row>
    <row r="159" spans="1:37" ht="14.25" customHeight="1">
      <c r="A159" s="52">
        <v>50014</v>
      </c>
      <c r="B159" s="4" t="s">
        <v>1595</v>
      </c>
      <c r="C159" s="52" t="s">
        <v>75</v>
      </c>
      <c r="D159" s="52" t="s">
        <v>1489</v>
      </c>
      <c r="E159" s="1" t="s">
        <v>205</v>
      </c>
      <c r="F159" s="52"/>
      <c r="G159" s="52">
        <v>69</v>
      </c>
      <c r="H159" s="31" t="s">
        <v>1581</v>
      </c>
      <c r="I159" s="137">
        <v>110012</v>
      </c>
      <c r="J159" s="140">
        <v>400013</v>
      </c>
      <c r="K159" s="140">
        <v>410023</v>
      </c>
      <c r="L159" s="6">
        <v>3</v>
      </c>
      <c r="M159" s="52"/>
      <c r="N159" s="52">
        <v>2500</v>
      </c>
      <c r="O159" s="52">
        <v>90</v>
      </c>
      <c r="P159" s="52">
        <v>150</v>
      </c>
      <c r="Q159" s="52">
        <v>105</v>
      </c>
      <c r="R159" s="52">
        <v>120</v>
      </c>
      <c r="S159" s="52">
        <v>600</v>
      </c>
      <c r="T159" s="52">
        <v>20</v>
      </c>
      <c r="U159" s="69"/>
      <c r="V159" s="70">
        <v>2415</v>
      </c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</row>
    <row r="160" spans="1:37" ht="14.25" customHeight="1">
      <c r="A160" s="52">
        <v>50015</v>
      </c>
      <c r="B160" s="4" t="s">
        <v>1596</v>
      </c>
      <c r="C160" s="52" t="s">
        <v>75</v>
      </c>
      <c r="D160" s="52" t="s">
        <v>1489</v>
      </c>
      <c r="E160" s="80" t="s">
        <v>205</v>
      </c>
      <c r="G160">
        <v>65</v>
      </c>
      <c r="H160" s="31" t="s">
        <v>1581</v>
      </c>
      <c r="I160" s="137">
        <v>110011</v>
      </c>
      <c r="J160" s="140">
        <v>400028</v>
      </c>
      <c r="K160" s="140">
        <v>410030</v>
      </c>
      <c r="L160" s="6">
        <v>1</v>
      </c>
      <c r="M160" s="52"/>
      <c r="N160" s="52">
        <v>3200</v>
      </c>
      <c r="O160" s="52">
        <v>60</v>
      </c>
      <c r="P160" s="52">
        <v>210</v>
      </c>
      <c r="Q160" s="52">
        <v>110</v>
      </c>
      <c r="R160" s="52">
        <v>130</v>
      </c>
      <c r="S160" s="52">
        <v>750</v>
      </c>
      <c r="T160" s="52">
        <v>28</v>
      </c>
      <c r="U160" s="69"/>
      <c r="V160" s="70">
        <v>3000</v>
      </c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</row>
    <row r="161" spans="1:37" ht="14.25" customHeight="1">
      <c r="A161" s="52">
        <v>50016</v>
      </c>
      <c r="B161" s="4" t="s">
        <v>1597</v>
      </c>
      <c r="C161" s="52" t="s">
        <v>75</v>
      </c>
      <c r="D161" s="52" t="s">
        <v>1489</v>
      </c>
      <c r="E161" s="1" t="s">
        <v>205</v>
      </c>
      <c r="F161" s="52"/>
      <c r="G161" s="52">
        <v>66</v>
      </c>
      <c r="H161" s="31" t="s">
        <v>1581</v>
      </c>
      <c r="I161" s="137">
        <v>110011</v>
      </c>
      <c r="J161" s="140">
        <v>400017</v>
      </c>
      <c r="K161" s="140">
        <v>410030</v>
      </c>
      <c r="L161" s="6">
        <v>1</v>
      </c>
      <c r="M161" s="52"/>
      <c r="N161" s="52">
        <v>3600</v>
      </c>
      <c r="O161" s="52">
        <v>70</v>
      </c>
      <c r="P161" s="52">
        <v>240</v>
      </c>
      <c r="Q161" s="52">
        <v>130</v>
      </c>
      <c r="R161" s="52">
        <v>150</v>
      </c>
      <c r="S161" s="52">
        <v>900</v>
      </c>
      <c r="T161" s="52">
        <v>32</v>
      </c>
      <c r="U161" s="69"/>
      <c r="V161" s="70">
        <v>3450</v>
      </c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</row>
    <row r="162" spans="1:37">
      <c r="U162" s="65"/>
    </row>
    <row r="163" spans="1:37" ht="14.25" customHeight="1">
      <c r="A163" s="48" t="s">
        <v>1423</v>
      </c>
      <c r="B163" s="48" t="s">
        <v>1424</v>
      </c>
      <c r="C163" s="40" t="s">
        <v>1425</v>
      </c>
      <c r="D163" s="40" t="s">
        <v>733</v>
      </c>
      <c r="E163" s="48" t="s">
        <v>1426</v>
      </c>
      <c r="F163" s="50" t="s">
        <v>1427</v>
      </c>
      <c r="G163" s="40" t="s">
        <v>1172</v>
      </c>
      <c r="H163" s="40" t="s">
        <v>1428</v>
      </c>
      <c r="I163" s="136" t="s">
        <v>1429</v>
      </c>
      <c r="J163" s="136" t="s">
        <v>1430</v>
      </c>
      <c r="K163" s="136" t="s">
        <v>1431</v>
      </c>
      <c r="L163" s="40" t="s">
        <v>1173</v>
      </c>
      <c r="M163" s="40" t="s">
        <v>1432</v>
      </c>
      <c r="N163" s="40" t="s">
        <v>1433</v>
      </c>
      <c r="O163" s="40" t="s">
        <v>1434</v>
      </c>
      <c r="P163" s="40" t="s">
        <v>1435</v>
      </c>
      <c r="Q163" s="40" t="s">
        <v>1436</v>
      </c>
      <c r="R163" s="40" t="s">
        <v>1437</v>
      </c>
      <c r="S163" s="40" t="s">
        <v>1438</v>
      </c>
      <c r="T163" s="40" t="s">
        <v>209</v>
      </c>
      <c r="U163" s="66" t="s">
        <v>1439</v>
      </c>
      <c r="V163" s="6" t="s">
        <v>1440</v>
      </c>
      <c r="W163" s="40" t="s">
        <v>1441</v>
      </c>
      <c r="X163" s="40" t="s">
        <v>1442</v>
      </c>
      <c r="Y163" s="67" t="s">
        <v>1443</v>
      </c>
      <c r="Z163" s="6" t="s">
        <v>1444</v>
      </c>
      <c r="AA163" s="6" t="s">
        <v>1445</v>
      </c>
      <c r="AB163" s="6" t="s">
        <v>1446</v>
      </c>
      <c r="AC163" s="6" t="s">
        <v>1447</v>
      </c>
      <c r="AD163" s="6" t="s">
        <v>1448</v>
      </c>
      <c r="AE163" s="6" t="s">
        <v>1449</v>
      </c>
      <c r="AF163" s="6" t="s">
        <v>1450</v>
      </c>
      <c r="AG163" s="6" t="s">
        <v>1451</v>
      </c>
      <c r="AH163" s="6" t="s">
        <v>1452</v>
      </c>
      <c r="AI163" s="6" t="s">
        <v>1453</v>
      </c>
      <c r="AJ163" s="6" t="s">
        <v>1454</v>
      </c>
      <c r="AK163" s="6" t="s">
        <v>1455</v>
      </c>
    </row>
    <row r="164" spans="1:37" ht="14.25" customHeight="1">
      <c r="A164" s="2">
        <v>60001</v>
      </c>
      <c r="B164" s="2"/>
      <c r="C164" s="2"/>
      <c r="D164" s="52" t="s">
        <v>1598</v>
      </c>
      <c r="E164" s="2">
        <v>20</v>
      </c>
      <c r="F164" s="2"/>
      <c r="G164" s="2"/>
      <c r="H164" s="2"/>
      <c r="I164" s="141"/>
      <c r="J164" s="141"/>
      <c r="K164" s="141"/>
      <c r="L164" s="2"/>
      <c r="M164" s="2"/>
      <c r="N164" s="2">
        <v>1000</v>
      </c>
      <c r="O164" s="2">
        <v>50</v>
      </c>
      <c r="P164" s="2">
        <v>50</v>
      </c>
      <c r="Q164" s="2">
        <v>50</v>
      </c>
      <c r="R164" s="2">
        <v>50</v>
      </c>
      <c r="S164" s="2">
        <v>100</v>
      </c>
      <c r="T164" s="2"/>
      <c r="U164" s="69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1:37" ht="14.25" customHeight="1">
      <c r="A165" s="2">
        <v>60002</v>
      </c>
      <c r="B165" s="2"/>
      <c r="C165" s="2"/>
      <c r="D165" s="52" t="s">
        <v>1598</v>
      </c>
      <c r="E165" s="2">
        <f t="shared" ref="E165:E175" si="36">E164+10</f>
        <v>30</v>
      </c>
      <c r="F165" s="2"/>
      <c r="G165" s="2"/>
      <c r="H165" s="2"/>
      <c r="I165" s="141"/>
      <c r="J165" s="141"/>
      <c r="K165" s="141"/>
      <c r="L165" s="2"/>
      <c r="M165" s="2"/>
      <c r="N165" s="2">
        <f t="shared" ref="N165:N175" si="37">ROUND(N164*1.4,0)</f>
        <v>1400</v>
      </c>
      <c r="O165" s="2">
        <f t="shared" ref="O165:O175" si="38">ROUND(O164*1.15,0)</f>
        <v>58</v>
      </c>
      <c r="P165" s="2">
        <f t="shared" ref="P165:P175" si="39">ROUND(P164*1.2,0)</f>
        <v>60</v>
      </c>
      <c r="Q165" s="2">
        <f t="shared" ref="Q165:Q175" si="40">ROUND(Q164*1.25,0)</f>
        <v>63</v>
      </c>
      <c r="R165" s="2">
        <f t="shared" ref="R165:R175" si="41">ROUND(R164*1.25,0)</f>
        <v>63</v>
      </c>
      <c r="S165" s="2">
        <f t="shared" ref="S165:S175" si="42">ROUND(S164*1.1,0)</f>
        <v>110</v>
      </c>
      <c r="T165" s="2"/>
      <c r="U165" s="69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1:37" ht="14.25" customHeight="1">
      <c r="A166" s="2">
        <v>60003</v>
      </c>
      <c r="B166" s="2"/>
      <c r="C166" s="2"/>
      <c r="D166" s="52" t="s">
        <v>1598</v>
      </c>
      <c r="E166" s="2">
        <f t="shared" si="36"/>
        <v>40</v>
      </c>
      <c r="F166" s="2"/>
      <c r="G166" s="2"/>
      <c r="H166" s="2"/>
      <c r="I166" s="141"/>
      <c r="J166" s="141"/>
      <c r="K166" s="141"/>
      <c r="L166" s="2"/>
      <c r="M166" s="2"/>
      <c r="N166" s="2">
        <f t="shared" si="37"/>
        <v>1960</v>
      </c>
      <c r="O166" s="2">
        <f t="shared" si="38"/>
        <v>67</v>
      </c>
      <c r="P166" s="2">
        <f t="shared" si="39"/>
        <v>72</v>
      </c>
      <c r="Q166" s="2">
        <f t="shared" si="40"/>
        <v>79</v>
      </c>
      <c r="R166" s="2">
        <f t="shared" si="41"/>
        <v>79</v>
      </c>
      <c r="S166" s="2">
        <f t="shared" si="42"/>
        <v>121</v>
      </c>
      <c r="T166" s="2"/>
      <c r="U166" s="69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1:37" ht="14.25" customHeight="1">
      <c r="A167" s="2">
        <v>60004</v>
      </c>
      <c r="B167" s="2"/>
      <c r="C167" s="2"/>
      <c r="D167" s="52" t="s">
        <v>1598</v>
      </c>
      <c r="E167" s="2">
        <f t="shared" si="36"/>
        <v>50</v>
      </c>
      <c r="F167" s="2"/>
      <c r="G167" s="2"/>
      <c r="H167" s="2"/>
      <c r="I167" s="141"/>
      <c r="J167" s="141"/>
      <c r="K167" s="141"/>
      <c r="L167" s="2"/>
      <c r="M167" s="2"/>
      <c r="N167" s="2">
        <f t="shared" si="37"/>
        <v>2744</v>
      </c>
      <c r="O167" s="2">
        <f t="shared" si="38"/>
        <v>77</v>
      </c>
      <c r="P167" s="2">
        <f t="shared" si="39"/>
        <v>86</v>
      </c>
      <c r="Q167" s="2">
        <f t="shared" si="40"/>
        <v>99</v>
      </c>
      <c r="R167" s="2">
        <f t="shared" si="41"/>
        <v>99</v>
      </c>
      <c r="S167" s="2">
        <f t="shared" si="42"/>
        <v>133</v>
      </c>
      <c r="T167" s="2"/>
      <c r="U167" s="69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1:37" ht="14.25" customHeight="1">
      <c r="A168" s="2">
        <v>60005</v>
      </c>
      <c r="B168" s="2"/>
      <c r="C168" s="2"/>
      <c r="D168" s="52" t="s">
        <v>1598</v>
      </c>
      <c r="E168" s="2">
        <f t="shared" si="36"/>
        <v>60</v>
      </c>
      <c r="F168" s="2"/>
      <c r="G168" s="2"/>
      <c r="H168" s="2"/>
      <c r="I168" s="141"/>
      <c r="J168" s="141"/>
      <c r="K168" s="141"/>
      <c r="L168" s="2"/>
      <c r="M168" s="2"/>
      <c r="N168" s="2">
        <f t="shared" si="37"/>
        <v>3842</v>
      </c>
      <c r="O168" s="2">
        <f t="shared" si="38"/>
        <v>89</v>
      </c>
      <c r="P168" s="2">
        <f t="shared" si="39"/>
        <v>103</v>
      </c>
      <c r="Q168" s="2">
        <f t="shared" si="40"/>
        <v>124</v>
      </c>
      <c r="R168" s="2">
        <f t="shared" si="41"/>
        <v>124</v>
      </c>
      <c r="S168" s="2">
        <f t="shared" si="42"/>
        <v>146</v>
      </c>
      <c r="T168" s="2"/>
      <c r="U168" s="69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1:37" ht="14.25" customHeight="1">
      <c r="A169" s="2">
        <v>60006</v>
      </c>
      <c r="B169" s="2"/>
      <c r="C169" s="2"/>
      <c r="D169" s="52" t="s">
        <v>1598</v>
      </c>
      <c r="E169" s="2">
        <f t="shared" si="36"/>
        <v>70</v>
      </c>
      <c r="F169" s="2"/>
      <c r="G169" s="2"/>
      <c r="H169" s="2"/>
      <c r="I169" s="141"/>
      <c r="J169" s="141"/>
      <c r="K169" s="141"/>
      <c r="L169" s="2"/>
      <c r="M169" s="2"/>
      <c r="N169" s="2">
        <f t="shared" si="37"/>
        <v>5379</v>
      </c>
      <c r="O169" s="2">
        <f t="shared" si="38"/>
        <v>102</v>
      </c>
      <c r="P169" s="2">
        <f t="shared" si="39"/>
        <v>124</v>
      </c>
      <c r="Q169" s="2">
        <f t="shared" si="40"/>
        <v>155</v>
      </c>
      <c r="R169" s="2">
        <f t="shared" si="41"/>
        <v>155</v>
      </c>
      <c r="S169" s="2">
        <f t="shared" si="42"/>
        <v>161</v>
      </c>
      <c r="T169" s="2"/>
      <c r="U169" s="69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1:37" ht="14.25" customHeight="1">
      <c r="A170" s="2">
        <v>60007</v>
      </c>
      <c r="B170" s="2"/>
      <c r="C170" s="2"/>
      <c r="D170" s="52" t="s">
        <v>1598</v>
      </c>
      <c r="E170" s="2">
        <f t="shared" si="36"/>
        <v>80</v>
      </c>
      <c r="F170" s="2"/>
      <c r="G170" s="2"/>
      <c r="H170" s="2"/>
      <c r="I170" s="141"/>
      <c r="J170" s="141"/>
      <c r="K170" s="141"/>
      <c r="L170" s="2"/>
      <c r="M170" s="2"/>
      <c r="N170" s="2">
        <f t="shared" si="37"/>
        <v>7531</v>
      </c>
      <c r="O170" s="2">
        <f t="shared" si="38"/>
        <v>117</v>
      </c>
      <c r="P170" s="2">
        <f t="shared" si="39"/>
        <v>149</v>
      </c>
      <c r="Q170" s="2">
        <f t="shared" si="40"/>
        <v>194</v>
      </c>
      <c r="R170" s="2">
        <f t="shared" si="41"/>
        <v>194</v>
      </c>
      <c r="S170" s="2">
        <f t="shared" si="42"/>
        <v>177</v>
      </c>
      <c r="T170" s="2"/>
      <c r="U170" s="69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1:37" ht="14.25" customHeight="1">
      <c r="A171" s="2">
        <v>60008</v>
      </c>
      <c r="B171" s="2"/>
      <c r="C171" s="2"/>
      <c r="D171" s="52" t="s">
        <v>1598</v>
      </c>
      <c r="E171" s="2">
        <f t="shared" si="36"/>
        <v>90</v>
      </c>
      <c r="F171" s="2"/>
      <c r="G171" s="2"/>
      <c r="H171" s="2"/>
      <c r="I171" s="141"/>
      <c r="J171" s="141"/>
      <c r="K171" s="141"/>
      <c r="L171" s="2"/>
      <c r="M171" s="2"/>
      <c r="N171" s="2">
        <f t="shared" si="37"/>
        <v>10543</v>
      </c>
      <c r="O171" s="2">
        <f t="shared" si="38"/>
        <v>135</v>
      </c>
      <c r="P171" s="2">
        <f t="shared" si="39"/>
        <v>179</v>
      </c>
      <c r="Q171" s="2">
        <f t="shared" si="40"/>
        <v>243</v>
      </c>
      <c r="R171" s="2">
        <f t="shared" si="41"/>
        <v>243</v>
      </c>
      <c r="S171" s="2">
        <f t="shared" si="42"/>
        <v>195</v>
      </c>
      <c r="T171" s="2"/>
      <c r="U171" s="69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1:37" ht="14.25" customHeight="1">
      <c r="A172" s="2">
        <v>60009</v>
      </c>
      <c r="B172" s="2"/>
      <c r="C172" s="2"/>
      <c r="D172" s="52" t="s">
        <v>1598</v>
      </c>
      <c r="E172" s="2">
        <f t="shared" si="36"/>
        <v>100</v>
      </c>
      <c r="F172" s="2"/>
      <c r="G172" s="2"/>
      <c r="H172" s="2"/>
      <c r="I172" s="141"/>
      <c r="J172" s="141"/>
      <c r="K172" s="141"/>
      <c r="L172" s="2"/>
      <c r="M172" s="2"/>
      <c r="N172" s="2">
        <f t="shared" si="37"/>
        <v>14760</v>
      </c>
      <c r="O172" s="2">
        <f t="shared" si="38"/>
        <v>155</v>
      </c>
      <c r="P172" s="2">
        <f t="shared" si="39"/>
        <v>215</v>
      </c>
      <c r="Q172" s="2">
        <f t="shared" si="40"/>
        <v>304</v>
      </c>
      <c r="R172" s="2">
        <f t="shared" si="41"/>
        <v>304</v>
      </c>
      <c r="S172" s="2">
        <f t="shared" si="42"/>
        <v>215</v>
      </c>
      <c r="T172" s="2"/>
      <c r="U172" s="69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1:37" ht="14.25" customHeight="1">
      <c r="A173" s="2">
        <v>60010</v>
      </c>
      <c r="B173" s="2"/>
      <c r="C173" s="2"/>
      <c r="D173" s="52" t="s">
        <v>1598</v>
      </c>
      <c r="E173" s="2">
        <f t="shared" si="36"/>
        <v>110</v>
      </c>
      <c r="F173" s="2"/>
      <c r="G173" s="2"/>
      <c r="H173" s="2"/>
      <c r="I173" s="141"/>
      <c r="J173" s="141"/>
      <c r="K173" s="141"/>
      <c r="L173" s="2"/>
      <c r="M173" s="2"/>
      <c r="N173" s="2">
        <f t="shared" si="37"/>
        <v>20664</v>
      </c>
      <c r="O173" s="2">
        <f t="shared" si="38"/>
        <v>178</v>
      </c>
      <c r="P173" s="2">
        <f t="shared" si="39"/>
        <v>258</v>
      </c>
      <c r="Q173" s="2">
        <f t="shared" si="40"/>
        <v>380</v>
      </c>
      <c r="R173" s="2">
        <f t="shared" si="41"/>
        <v>380</v>
      </c>
      <c r="S173" s="2">
        <f t="shared" si="42"/>
        <v>237</v>
      </c>
      <c r="T173" s="2"/>
      <c r="U173" s="69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1:37" ht="14.25" customHeight="1">
      <c r="A174" s="2">
        <v>60011</v>
      </c>
      <c r="B174" s="2"/>
      <c r="C174" s="2"/>
      <c r="D174" s="52" t="s">
        <v>1598</v>
      </c>
      <c r="E174" s="2">
        <f t="shared" si="36"/>
        <v>120</v>
      </c>
      <c r="F174" s="2"/>
      <c r="G174" s="2"/>
      <c r="H174" s="2"/>
      <c r="I174" s="141"/>
      <c r="J174" s="141"/>
      <c r="K174" s="141"/>
      <c r="L174" s="2"/>
      <c r="M174" s="2"/>
      <c r="N174" s="2">
        <f t="shared" si="37"/>
        <v>28930</v>
      </c>
      <c r="O174" s="2">
        <f t="shared" si="38"/>
        <v>205</v>
      </c>
      <c r="P174" s="2">
        <f t="shared" si="39"/>
        <v>310</v>
      </c>
      <c r="Q174" s="2">
        <f t="shared" si="40"/>
        <v>475</v>
      </c>
      <c r="R174" s="2">
        <f t="shared" si="41"/>
        <v>475</v>
      </c>
      <c r="S174" s="2">
        <f t="shared" si="42"/>
        <v>261</v>
      </c>
      <c r="T174" s="2"/>
      <c r="U174" s="69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1:37" ht="14.25" customHeight="1">
      <c r="A175" s="2">
        <v>60012</v>
      </c>
      <c r="B175" s="2"/>
      <c r="C175" s="2"/>
      <c r="D175" s="52" t="s">
        <v>1598</v>
      </c>
      <c r="E175" s="2">
        <f t="shared" si="36"/>
        <v>130</v>
      </c>
      <c r="F175" s="2"/>
      <c r="G175" s="2"/>
      <c r="H175" s="2"/>
      <c r="I175" s="141"/>
      <c r="J175" s="141"/>
      <c r="K175" s="141"/>
      <c r="L175" s="2"/>
      <c r="M175" s="2"/>
      <c r="N175" s="2">
        <f t="shared" si="37"/>
        <v>40502</v>
      </c>
      <c r="O175" s="2">
        <f t="shared" si="38"/>
        <v>236</v>
      </c>
      <c r="P175" s="2">
        <f t="shared" si="39"/>
        <v>372</v>
      </c>
      <c r="Q175" s="2">
        <f t="shared" si="40"/>
        <v>594</v>
      </c>
      <c r="R175" s="2">
        <f t="shared" si="41"/>
        <v>594</v>
      </c>
      <c r="S175" s="2">
        <f t="shared" si="42"/>
        <v>287</v>
      </c>
      <c r="T175" s="2"/>
      <c r="U175" s="69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91" spans="1:19">
      <c r="A191">
        <v>60013</v>
      </c>
      <c r="D191" t="s">
        <v>1598</v>
      </c>
      <c r="E191">
        <v>140</v>
      </c>
      <c r="N191">
        <v>56703</v>
      </c>
      <c r="O191">
        <v>266</v>
      </c>
      <c r="P191">
        <v>446</v>
      </c>
      <c r="Q191">
        <v>743</v>
      </c>
      <c r="R191">
        <v>743</v>
      </c>
      <c r="S191">
        <v>316</v>
      </c>
    </row>
    <row r="192" spans="1:19">
      <c r="A192">
        <v>60014</v>
      </c>
      <c r="D192" t="s">
        <v>1598</v>
      </c>
      <c r="E192">
        <v>150</v>
      </c>
      <c r="N192">
        <v>79384</v>
      </c>
      <c r="O192">
        <v>306</v>
      </c>
      <c r="P192">
        <v>535</v>
      </c>
      <c r="Q192">
        <v>929</v>
      </c>
      <c r="R192">
        <v>929</v>
      </c>
      <c r="S192">
        <v>348</v>
      </c>
    </row>
    <row r="193" spans="1:19">
      <c r="A193">
        <v>60015</v>
      </c>
      <c r="D193" t="s">
        <v>1598</v>
      </c>
      <c r="E193">
        <v>160</v>
      </c>
      <c r="N193">
        <v>111138</v>
      </c>
      <c r="O193">
        <v>352</v>
      </c>
      <c r="P193">
        <v>642</v>
      </c>
      <c r="Q193">
        <v>1161</v>
      </c>
      <c r="R193">
        <v>1161</v>
      </c>
      <c r="S193">
        <v>383</v>
      </c>
    </row>
    <row r="194" spans="1:19">
      <c r="A194">
        <v>60016</v>
      </c>
      <c r="D194" t="s">
        <v>1598</v>
      </c>
      <c r="E194">
        <v>170</v>
      </c>
      <c r="N194">
        <v>155593</v>
      </c>
      <c r="O194">
        <v>405</v>
      </c>
      <c r="P194">
        <v>770</v>
      </c>
      <c r="Q194">
        <v>1451</v>
      </c>
      <c r="R194">
        <v>1451</v>
      </c>
      <c r="S194">
        <v>421</v>
      </c>
    </row>
    <row r="195" spans="1:19">
      <c r="A195">
        <v>60017</v>
      </c>
      <c r="D195" t="s">
        <v>1598</v>
      </c>
      <c r="E195">
        <v>180</v>
      </c>
      <c r="N195">
        <v>217830</v>
      </c>
      <c r="O195">
        <v>466</v>
      </c>
      <c r="P195">
        <v>924</v>
      </c>
      <c r="Q195">
        <v>1814</v>
      </c>
      <c r="R195">
        <v>1814</v>
      </c>
      <c r="S195">
        <v>463</v>
      </c>
    </row>
    <row r="196" spans="1:19">
      <c r="A196">
        <v>60018</v>
      </c>
      <c r="D196" t="s">
        <v>1598</v>
      </c>
      <c r="E196">
        <v>190</v>
      </c>
      <c r="N196">
        <v>304962</v>
      </c>
      <c r="O196">
        <v>536</v>
      </c>
      <c r="P196">
        <v>1109</v>
      </c>
      <c r="Q196">
        <v>2268</v>
      </c>
      <c r="R196">
        <v>2268</v>
      </c>
      <c r="S196">
        <v>509</v>
      </c>
    </row>
    <row r="197" spans="1:19">
      <c r="A197">
        <v>60019</v>
      </c>
      <c r="D197" t="s">
        <v>1598</v>
      </c>
      <c r="E197">
        <v>200</v>
      </c>
      <c r="N197">
        <v>426947</v>
      </c>
      <c r="O197">
        <v>616</v>
      </c>
      <c r="P197">
        <v>1331</v>
      </c>
      <c r="Q197">
        <v>2835</v>
      </c>
      <c r="R197">
        <v>2835</v>
      </c>
      <c r="S197">
        <v>560</v>
      </c>
    </row>
    <row r="198" spans="1:19">
      <c r="A198">
        <v>60020</v>
      </c>
      <c r="D198" t="s">
        <v>1598</v>
      </c>
      <c r="E198">
        <v>210</v>
      </c>
      <c r="N198">
        <v>597726</v>
      </c>
      <c r="O198">
        <v>708</v>
      </c>
      <c r="P198">
        <v>1597</v>
      </c>
      <c r="Q198">
        <v>3544</v>
      </c>
      <c r="R198">
        <v>3544</v>
      </c>
      <c r="S198">
        <v>616</v>
      </c>
    </row>
  </sheetData>
  <phoneticPr fontId="29" type="noConversion"/>
  <dataValidations count="2">
    <dataValidation type="list" allowBlank="1" showErrorMessage="1" sqref="D3:D33 D36:D48 D54:D143 D145:D161 D164:D175" xr:uid="{00000000-0002-0000-0A00-000000000000}">
      <formula1>"weapon,role,monster,state"</formula1>
      <formula2>0</formula2>
    </dataValidation>
    <dataValidation type="list" allowBlank="1" showErrorMessage="1" sqref="C3:C33 C36:C48 C54:C143 C145:C161" xr:uid="{00000000-0002-0000-0A00-000001000000}">
      <formula1>"SSR,SR,R"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E6"/>
  <sheetViews>
    <sheetView zoomScaleNormal="100" workbookViewId="0"/>
  </sheetViews>
  <sheetFormatPr defaultColWidth="12.5703125" defaultRowHeight="12.75"/>
  <sheetData>
    <row r="2" spans="1:5" ht="14.25" customHeight="1">
      <c r="A2" s="2" t="s">
        <v>733</v>
      </c>
      <c r="B2" s="2" t="s">
        <v>1</v>
      </c>
      <c r="C2" s="40" t="s">
        <v>6</v>
      </c>
      <c r="D2" s="40" t="s">
        <v>7</v>
      </c>
      <c r="E2" s="2" t="s">
        <v>1599</v>
      </c>
    </row>
    <row r="3" spans="1:5" ht="14.25" customHeight="1">
      <c r="A3" s="2"/>
      <c r="B3" s="4" t="s">
        <v>175</v>
      </c>
      <c r="C3" s="81">
        <v>46245.999305555553</v>
      </c>
      <c r="D3" s="81">
        <v>46610.999305555553</v>
      </c>
      <c r="E3" s="2" t="s">
        <v>1600</v>
      </c>
    </row>
    <row r="4" spans="1:5" ht="14.25" customHeight="1">
      <c r="A4" s="2" t="s">
        <v>1601</v>
      </c>
      <c r="B4" s="4" t="s">
        <v>183</v>
      </c>
      <c r="C4" s="81">
        <v>46245.999305555553</v>
      </c>
      <c r="D4" s="81">
        <v>46610.999305555553</v>
      </c>
      <c r="E4" s="2"/>
    </row>
    <row r="5" spans="1:5" ht="14.25" customHeight="1">
      <c r="A5" s="2"/>
      <c r="B5" s="4" t="s">
        <v>189</v>
      </c>
      <c r="C5" s="81">
        <v>46245.999305555553</v>
      </c>
      <c r="D5" s="81">
        <v>46610.999305555553</v>
      </c>
      <c r="E5" s="2" t="s">
        <v>1600</v>
      </c>
    </row>
    <row r="6" spans="1:5" ht="14.25" customHeight="1">
      <c r="A6" s="2" t="s">
        <v>1602</v>
      </c>
      <c r="B6" s="4" t="s">
        <v>198</v>
      </c>
      <c r="C6" s="81">
        <v>46245.999305555553</v>
      </c>
      <c r="D6" s="81">
        <v>46610.999305555553</v>
      </c>
      <c r="E6" s="2"/>
    </row>
  </sheetData>
  <phoneticPr fontId="29" type="noConversion"/>
  <dataValidations count="1">
    <dataValidation type="list" allowBlank="1" showErrorMessage="1" sqref="A4 A6" xr:uid="{00000000-0002-0000-0B00-000000000000}">
      <formula1>"tower,annihilation"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J774"/>
  <sheetViews>
    <sheetView topLeftCell="A99" zoomScaleNormal="100" workbookViewId="0">
      <pane xSplit="1" topLeftCell="B1" activePane="topRight" state="frozen"/>
      <selection pane="topRight" activeCell="AF650" sqref="AF650"/>
    </sheetView>
  </sheetViews>
  <sheetFormatPr defaultColWidth="12.5703125" defaultRowHeight="12.75"/>
  <cols>
    <col min="2" max="2" width="16.42578125" customWidth="1"/>
    <col min="5" max="5" width="7.42578125" customWidth="1"/>
    <col min="6" max="6" width="19.5703125" customWidth="1"/>
    <col min="7" max="7" width="68.28515625" customWidth="1"/>
    <col min="11" max="12" width="16.140625" customWidth="1"/>
    <col min="13" max="13" width="16.85546875" customWidth="1"/>
    <col min="17" max="17" width="16.140625" customWidth="1"/>
    <col min="29" max="29" width="16.140625" customWidth="1"/>
  </cols>
  <sheetData>
    <row r="1" spans="1:33" ht="14.25" customHeight="1">
      <c r="A1" s="7" t="s">
        <v>1603</v>
      </c>
      <c r="B1" s="7" t="s">
        <v>733</v>
      </c>
      <c r="C1" s="7" t="s">
        <v>1604</v>
      </c>
      <c r="D1" s="7" t="s">
        <v>1605</v>
      </c>
      <c r="E1" s="7" t="s">
        <v>63</v>
      </c>
      <c r="F1" s="7" t="s">
        <v>1606</v>
      </c>
      <c r="G1" s="7" t="s">
        <v>1607</v>
      </c>
      <c r="H1" s="7" t="s">
        <v>1608</v>
      </c>
      <c r="I1" s="7" t="s">
        <v>1609</v>
      </c>
      <c r="J1" s="7" t="s">
        <v>1610</v>
      </c>
      <c r="K1" s="7" t="s">
        <v>1611</v>
      </c>
      <c r="L1" s="7" t="s">
        <v>1612</v>
      </c>
      <c r="M1" s="7" t="s">
        <v>1613</v>
      </c>
      <c r="N1" s="7" t="s">
        <v>1614</v>
      </c>
      <c r="O1" s="7" t="s">
        <v>1615</v>
      </c>
      <c r="P1" s="7" t="s">
        <v>1616</v>
      </c>
      <c r="Q1" s="7" t="s">
        <v>1617</v>
      </c>
      <c r="R1" s="7" t="s">
        <v>1618</v>
      </c>
      <c r="S1" s="7" t="s">
        <v>1619</v>
      </c>
      <c r="T1" s="7" t="s">
        <v>1620</v>
      </c>
      <c r="U1" s="7" t="s">
        <v>1621</v>
      </c>
      <c r="V1" s="7" t="s">
        <v>1622</v>
      </c>
      <c r="W1" s="7" t="s">
        <v>1623</v>
      </c>
      <c r="X1" s="7" t="s">
        <v>1624</v>
      </c>
      <c r="Y1" s="7" t="s">
        <v>1625</v>
      </c>
      <c r="Z1" s="7" t="s">
        <v>1626</v>
      </c>
      <c r="AA1" s="7" t="s">
        <v>1627</v>
      </c>
      <c r="AB1" t="s">
        <v>1628</v>
      </c>
      <c r="AC1" t="s">
        <v>1629</v>
      </c>
      <c r="AD1" t="s">
        <v>1630</v>
      </c>
      <c r="AE1" t="s">
        <v>1631</v>
      </c>
      <c r="AF1" t="s">
        <v>1632</v>
      </c>
      <c r="AG1" t="s">
        <v>1633</v>
      </c>
    </row>
    <row r="3" spans="1:33" ht="42.75" customHeight="1">
      <c r="A3" s="7">
        <v>101</v>
      </c>
      <c r="B3" s="7" t="s">
        <v>1601</v>
      </c>
      <c r="C3" s="7"/>
      <c r="D3" s="3" t="s">
        <v>1634</v>
      </c>
      <c r="E3" s="7">
        <v>2</v>
      </c>
      <c r="F3" s="7"/>
      <c r="G3" s="82" t="s">
        <v>1635</v>
      </c>
      <c r="H3" s="47">
        <v>1</v>
      </c>
      <c r="J3" s="83" t="s">
        <v>1636</v>
      </c>
      <c r="K3" s="47" t="s">
        <v>1637</v>
      </c>
      <c r="L3" s="47" t="s">
        <v>1638</v>
      </c>
      <c r="M3" s="47" t="s">
        <v>1639</v>
      </c>
      <c r="N3" s="47">
        <v>1</v>
      </c>
      <c r="O3" s="47">
        <v>1</v>
      </c>
      <c r="P3" s="83" t="s">
        <v>1640</v>
      </c>
      <c r="Q3" s="47" t="s">
        <v>769</v>
      </c>
      <c r="R3" s="47">
        <v>2004</v>
      </c>
      <c r="S3" s="47" t="s">
        <v>1641</v>
      </c>
      <c r="T3" s="47">
        <v>0</v>
      </c>
      <c r="U3" s="47">
        <v>1</v>
      </c>
      <c r="V3" s="7">
        <v>70001</v>
      </c>
      <c r="W3" s="7">
        <v>1</v>
      </c>
      <c r="X3" s="7">
        <v>1</v>
      </c>
      <c r="Y3" s="45">
        <v>8000</v>
      </c>
      <c r="Z3" s="7">
        <v>101</v>
      </c>
      <c r="AA3" s="7">
        <v>1</v>
      </c>
      <c r="AB3">
        <v>1001</v>
      </c>
      <c r="AC3">
        <v>100</v>
      </c>
      <c r="AD3">
        <v>1</v>
      </c>
    </row>
    <row r="4" spans="1:33" ht="48.75" customHeight="1">
      <c r="A4" s="84">
        <v>102</v>
      </c>
      <c r="B4" s="7" t="s">
        <v>1601</v>
      </c>
      <c r="C4" s="85"/>
      <c r="D4" s="3" t="s">
        <v>1642</v>
      </c>
      <c r="E4" s="7">
        <v>4</v>
      </c>
      <c r="F4" s="85"/>
      <c r="G4" s="86" t="s">
        <v>1643</v>
      </c>
      <c r="H4" s="47">
        <v>1</v>
      </c>
      <c r="I4" s="47"/>
      <c r="J4" s="83" t="s">
        <v>1644</v>
      </c>
      <c r="K4" s="47" t="s">
        <v>767</v>
      </c>
      <c r="L4" s="47">
        <v>1005</v>
      </c>
      <c r="M4" s="47" t="s">
        <v>1645</v>
      </c>
      <c r="N4" s="47"/>
      <c r="O4" s="47">
        <v>1</v>
      </c>
      <c r="P4" s="83" t="s">
        <v>1646</v>
      </c>
      <c r="Q4" s="47" t="s">
        <v>769</v>
      </c>
      <c r="R4" s="47">
        <v>2005</v>
      </c>
      <c r="S4" s="47" t="s">
        <v>1647</v>
      </c>
      <c r="T4" s="47">
        <v>0</v>
      </c>
      <c r="U4" s="47">
        <v>1</v>
      </c>
      <c r="V4" s="7">
        <v>70001</v>
      </c>
      <c r="W4" s="7">
        <v>1</v>
      </c>
      <c r="X4" s="7">
        <v>1</v>
      </c>
      <c r="Y4" s="45">
        <v>8000</v>
      </c>
      <c r="Z4" s="7">
        <v>102</v>
      </c>
      <c r="AA4" s="7">
        <v>1</v>
      </c>
      <c r="AB4">
        <v>1001</v>
      </c>
      <c r="AC4">
        <v>100</v>
      </c>
      <c r="AD4">
        <v>1</v>
      </c>
    </row>
    <row r="5" spans="1:33" ht="48.75" customHeight="1">
      <c r="A5" s="84">
        <v>103</v>
      </c>
      <c r="B5" s="7" t="s">
        <v>1601</v>
      </c>
      <c r="C5" s="85"/>
      <c r="D5" s="3" t="s">
        <v>1648</v>
      </c>
      <c r="E5" s="7">
        <v>6</v>
      </c>
      <c r="F5" s="85"/>
      <c r="G5" s="86" t="s">
        <v>1649</v>
      </c>
      <c r="H5" s="47">
        <v>1</v>
      </c>
      <c r="I5" s="47"/>
      <c r="J5" s="83" t="s">
        <v>1636</v>
      </c>
      <c r="K5" s="47" t="s">
        <v>1637</v>
      </c>
      <c r="L5" s="47" t="s">
        <v>1638</v>
      </c>
      <c r="M5" s="47" t="s">
        <v>1650</v>
      </c>
      <c r="N5" s="47">
        <v>1</v>
      </c>
      <c r="O5" s="47">
        <v>1</v>
      </c>
      <c r="P5" s="83" t="s">
        <v>1651</v>
      </c>
      <c r="Q5" s="47" t="s">
        <v>769</v>
      </c>
      <c r="R5" s="47">
        <v>2002</v>
      </c>
      <c r="S5" s="47" t="s">
        <v>1652</v>
      </c>
      <c r="T5" s="47">
        <v>0</v>
      </c>
      <c r="U5" s="47">
        <v>1</v>
      </c>
      <c r="V5" s="7">
        <v>70001</v>
      </c>
      <c r="W5" s="7">
        <v>1</v>
      </c>
      <c r="X5" s="7">
        <v>1</v>
      </c>
      <c r="Y5" s="45">
        <v>8000</v>
      </c>
      <c r="Z5" s="7">
        <v>103</v>
      </c>
      <c r="AA5" s="7">
        <v>1</v>
      </c>
      <c r="AB5">
        <v>1001</v>
      </c>
      <c r="AC5">
        <v>100</v>
      </c>
      <c r="AD5">
        <v>1</v>
      </c>
    </row>
    <row r="6" spans="1:33" ht="48.75" customHeight="1">
      <c r="A6" s="84">
        <v>104</v>
      </c>
      <c r="B6" s="7" t="s">
        <v>1601</v>
      </c>
      <c r="C6" s="85"/>
      <c r="D6" s="3" t="s">
        <v>1653</v>
      </c>
      <c r="E6" s="7">
        <v>8</v>
      </c>
      <c r="F6" s="85"/>
      <c r="G6" s="86" t="s">
        <v>1654</v>
      </c>
      <c r="H6" s="47">
        <v>1</v>
      </c>
      <c r="I6" s="47"/>
      <c r="J6" s="83" t="s">
        <v>1655</v>
      </c>
      <c r="K6" s="47" t="s">
        <v>767</v>
      </c>
      <c r="L6" s="47">
        <v>1003</v>
      </c>
      <c r="M6" s="47" t="s">
        <v>1645</v>
      </c>
      <c r="N6" s="47"/>
      <c r="O6" s="47">
        <v>1</v>
      </c>
      <c r="P6" s="83" t="s">
        <v>1640</v>
      </c>
      <c r="Q6" s="47" t="s">
        <v>769</v>
      </c>
      <c r="R6" s="47">
        <v>2004</v>
      </c>
      <c r="S6" s="47" t="s">
        <v>1656</v>
      </c>
      <c r="T6" s="47">
        <v>0</v>
      </c>
      <c r="U6" s="47">
        <v>1</v>
      </c>
      <c r="V6" s="7">
        <v>70001</v>
      </c>
      <c r="W6" s="7">
        <v>1</v>
      </c>
      <c r="X6" s="7">
        <v>1</v>
      </c>
      <c r="Y6" s="45">
        <v>8000</v>
      </c>
      <c r="Z6" s="7">
        <v>104</v>
      </c>
      <c r="AA6" s="7">
        <v>1</v>
      </c>
      <c r="AB6">
        <v>1001</v>
      </c>
      <c r="AC6">
        <v>100</v>
      </c>
      <c r="AD6">
        <v>1</v>
      </c>
    </row>
    <row r="7" spans="1:33" ht="48.75" customHeight="1">
      <c r="A7" s="84">
        <v>105</v>
      </c>
      <c r="B7" s="7" t="s">
        <v>1601</v>
      </c>
      <c r="C7" s="85"/>
      <c r="D7" s="3" t="s">
        <v>1657</v>
      </c>
      <c r="E7" s="7">
        <v>10</v>
      </c>
      <c r="F7" s="85"/>
      <c r="G7" s="86" t="s">
        <v>1658</v>
      </c>
      <c r="H7" s="47">
        <v>1</v>
      </c>
      <c r="I7" s="47"/>
      <c r="J7" s="83" t="s">
        <v>1636</v>
      </c>
      <c r="K7" s="47" t="s">
        <v>1637</v>
      </c>
      <c r="L7" s="47" t="s">
        <v>1638</v>
      </c>
      <c r="M7" s="47" t="s">
        <v>1659</v>
      </c>
      <c r="N7" s="47">
        <v>1</v>
      </c>
      <c r="O7" s="47">
        <v>1</v>
      </c>
      <c r="P7" s="83" t="s">
        <v>1646</v>
      </c>
      <c r="Q7" s="47" t="s">
        <v>769</v>
      </c>
      <c r="R7" s="47">
        <v>2005</v>
      </c>
      <c r="S7" s="47" t="s">
        <v>1660</v>
      </c>
      <c r="T7" s="47">
        <v>0</v>
      </c>
      <c r="U7" s="47">
        <v>1</v>
      </c>
      <c r="V7" s="7">
        <v>70001</v>
      </c>
      <c r="W7" s="7">
        <v>1</v>
      </c>
      <c r="X7" s="7">
        <v>1</v>
      </c>
      <c r="Y7" s="45">
        <v>8000</v>
      </c>
      <c r="Z7" s="7">
        <v>105</v>
      </c>
      <c r="AA7" s="7">
        <v>1</v>
      </c>
      <c r="AB7">
        <v>1001</v>
      </c>
      <c r="AC7">
        <v>100</v>
      </c>
      <c r="AD7">
        <v>1</v>
      </c>
    </row>
    <row r="8" spans="1:33" ht="48.75" customHeight="1">
      <c r="A8" s="84">
        <v>106</v>
      </c>
      <c r="B8" s="7" t="s">
        <v>1601</v>
      </c>
      <c r="C8" s="85"/>
      <c r="D8" s="3" t="s">
        <v>1661</v>
      </c>
      <c r="E8" s="7">
        <v>12</v>
      </c>
      <c r="F8" s="85"/>
      <c r="G8" s="86" t="s">
        <v>1662</v>
      </c>
      <c r="H8" s="47">
        <v>1</v>
      </c>
      <c r="I8" s="47"/>
      <c r="J8" s="83" t="s">
        <v>1663</v>
      </c>
      <c r="K8" s="47" t="s">
        <v>767</v>
      </c>
      <c r="L8" s="47">
        <v>1001</v>
      </c>
      <c r="M8" s="47" t="s">
        <v>1664</v>
      </c>
      <c r="N8" s="47"/>
      <c r="O8" s="47">
        <v>1</v>
      </c>
      <c r="P8" s="83" t="s">
        <v>1651</v>
      </c>
      <c r="Q8" s="47" t="s">
        <v>769</v>
      </c>
      <c r="R8" s="47">
        <v>2002</v>
      </c>
      <c r="S8" s="47" t="s">
        <v>1665</v>
      </c>
      <c r="T8" s="47">
        <v>0</v>
      </c>
      <c r="U8" s="47">
        <v>1</v>
      </c>
      <c r="V8" s="7">
        <v>70001</v>
      </c>
      <c r="W8" s="7">
        <v>1</v>
      </c>
      <c r="X8" s="7">
        <v>1</v>
      </c>
      <c r="Y8" s="45">
        <v>8000</v>
      </c>
      <c r="Z8" s="7">
        <v>106</v>
      </c>
      <c r="AA8" s="7">
        <v>1</v>
      </c>
      <c r="AB8">
        <v>1001</v>
      </c>
      <c r="AC8">
        <v>100</v>
      </c>
      <c r="AD8">
        <v>1</v>
      </c>
    </row>
    <row r="9" spans="1:33" ht="48.75" customHeight="1">
      <c r="A9" s="84">
        <v>107</v>
      </c>
      <c r="B9" s="7" t="s">
        <v>1601</v>
      </c>
      <c r="C9" s="85"/>
      <c r="D9" s="3" t="s">
        <v>1666</v>
      </c>
      <c r="E9" s="7">
        <v>14</v>
      </c>
      <c r="F9" s="85"/>
      <c r="G9" s="86" t="s">
        <v>1667</v>
      </c>
      <c r="H9" s="47">
        <v>1</v>
      </c>
      <c r="I9" s="47"/>
      <c r="J9" s="83" t="s">
        <v>1636</v>
      </c>
      <c r="K9" s="47" t="s">
        <v>1637</v>
      </c>
      <c r="L9" s="47" t="s">
        <v>1638</v>
      </c>
      <c r="M9" s="47" t="s">
        <v>1668</v>
      </c>
      <c r="N9" s="47">
        <v>1</v>
      </c>
      <c r="O9" s="47">
        <v>1</v>
      </c>
      <c r="P9" s="83" t="s">
        <v>1640</v>
      </c>
      <c r="Q9" s="47" t="s">
        <v>769</v>
      </c>
      <c r="R9" s="47">
        <v>2004</v>
      </c>
      <c r="S9" s="47" t="s">
        <v>1669</v>
      </c>
      <c r="T9" s="47">
        <v>0</v>
      </c>
      <c r="U9" s="47">
        <v>1</v>
      </c>
      <c r="V9" s="7">
        <v>70001</v>
      </c>
      <c r="W9" s="7">
        <v>1</v>
      </c>
      <c r="X9" s="7">
        <v>1</v>
      </c>
      <c r="Y9" s="45">
        <v>8000</v>
      </c>
      <c r="Z9" s="7">
        <v>107</v>
      </c>
      <c r="AA9" s="7">
        <v>1</v>
      </c>
      <c r="AB9">
        <v>1001</v>
      </c>
      <c r="AC9">
        <v>100</v>
      </c>
      <c r="AD9">
        <v>1</v>
      </c>
    </row>
    <row r="10" spans="1:33" ht="48.75" customHeight="1">
      <c r="A10" s="84">
        <v>108</v>
      </c>
      <c r="B10" s="7" t="s">
        <v>1601</v>
      </c>
      <c r="C10" s="85"/>
      <c r="D10" s="3" t="s">
        <v>1670</v>
      </c>
      <c r="E10" s="7">
        <v>16</v>
      </c>
      <c r="F10" s="85"/>
      <c r="G10" s="86" t="s">
        <v>1671</v>
      </c>
      <c r="H10" s="47">
        <v>1</v>
      </c>
      <c r="I10" s="47"/>
      <c r="J10" s="83" t="s">
        <v>1644</v>
      </c>
      <c r="K10" s="47" t="s">
        <v>767</v>
      </c>
      <c r="L10" s="47">
        <v>1005</v>
      </c>
      <c r="M10" s="47" t="s">
        <v>1672</v>
      </c>
      <c r="N10" s="47"/>
      <c r="O10" s="47">
        <v>1</v>
      </c>
      <c r="P10" s="83" t="s">
        <v>1646</v>
      </c>
      <c r="Q10" s="47" t="s">
        <v>769</v>
      </c>
      <c r="R10" s="47">
        <v>2005</v>
      </c>
      <c r="S10" s="47" t="s">
        <v>1673</v>
      </c>
      <c r="T10" s="47">
        <v>0</v>
      </c>
      <c r="U10" s="47">
        <v>1</v>
      </c>
      <c r="V10" s="7">
        <v>70001</v>
      </c>
      <c r="W10" s="7">
        <v>1</v>
      </c>
      <c r="X10" s="7">
        <v>1</v>
      </c>
      <c r="Y10" s="45">
        <v>8000</v>
      </c>
      <c r="Z10" s="7">
        <v>108</v>
      </c>
      <c r="AA10" s="7">
        <v>1</v>
      </c>
      <c r="AB10">
        <v>1001</v>
      </c>
      <c r="AC10">
        <v>100</v>
      </c>
      <c r="AD10">
        <v>1</v>
      </c>
    </row>
    <row r="11" spans="1:33" ht="48.75" customHeight="1">
      <c r="A11" s="84">
        <v>109</v>
      </c>
      <c r="B11" s="7" t="s">
        <v>1601</v>
      </c>
      <c r="C11" s="85"/>
      <c r="D11" s="3" t="s">
        <v>1674</v>
      </c>
      <c r="E11" s="85">
        <v>18</v>
      </c>
      <c r="F11" s="87"/>
      <c r="G11" s="88" t="s">
        <v>1675</v>
      </c>
      <c r="H11" s="47">
        <v>1</v>
      </c>
      <c r="I11" s="47"/>
      <c r="J11" s="83" t="s">
        <v>1636</v>
      </c>
      <c r="K11" s="47" t="s">
        <v>1637</v>
      </c>
      <c r="L11" s="47" t="s">
        <v>1638</v>
      </c>
      <c r="M11" s="47" t="s">
        <v>1676</v>
      </c>
      <c r="N11" s="47">
        <v>1</v>
      </c>
      <c r="O11" s="47">
        <v>1</v>
      </c>
      <c r="P11" s="83" t="s">
        <v>1651</v>
      </c>
      <c r="Q11" s="47" t="s">
        <v>769</v>
      </c>
      <c r="R11" s="47">
        <v>2002</v>
      </c>
      <c r="S11" s="47" t="s">
        <v>1677</v>
      </c>
      <c r="T11" s="47">
        <v>0</v>
      </c>
      <c r="U11" s="47">
        <v>1</v>
      </c>
      <c r="V11" s="7">
        <v>70001</v>
      </c>
      <c r="W11" s="7">
        <v>1</v>
      </c>
      <c r="X11" s="7">
        <v>1</v>
      </c>
      <c r="Y11" s="45">
        <v>8000</v>
      </c>
      <c r="Z11" s="7">
        <v>109</v>
      </c>
      <c r="AA11" s="7">
        <v>1</v>
      </c>
      <c r="AB11">
        <v>1001</v>
      </c>
      <c r="AC11">
        <v>100</v>
      </c>
      <c r="AD11">
        <v>1</v>
      </c>
    </row>
    <row r="12" spans="1:33" ht="48.75" customHeight="1">
      <c r="A12" s="84">
        <v>110</v>
      </c>
      <c r="B12" s="7" t="s">
        <v>1601</v>
      </c>
      <c r="C12" s="85"/>
      <c r="D12" s="3" t="s">
        <v>1678</v>
      </c>
      <c r="E12" s="85">
        <v>20</v>
      </c>
      <c r="F12" s="87"/>
      <c r="G12" s="88" t="s">
        <v>1679</v>
      </c>
      <c r="H12" s="47">
        <v>1</v>
      </c>
      <c r="I12" s="47"/>
      <c r="J12" s="83" t="s">
        <v>1655</v>
      </c>
      <c r="K12" s="47" t="s">
        <v>767</v>
      </c>
      <c r="L12" s="47">
        <v>1003</v>
      </c>
      <c r="M12" s="47" t="s">
        <v>1680</v>
      </c>
      <c r="N12" s="47"/>
      <c r="O12" s="47">
        <v>1</v>
      </c>
      <c r="P12" s="83" t="s">
        <v>1640</v>
      </c>
      <c r="Q12" s="47" t="s">
        <v>769</v>
      </c>
      <c r="R12" s="47">
        <v>2004</v>
      </c>
      <c r="S12" s="47" t="s">
        <v>1681</v>
      </c>
      <c r="T12" s="47">
        <v>0</v>
      </c>
      <c r="U12" s="47">
        <v>1</v>
      </c>
      <c r="V12" s="7">
        <v>70001</v>
      </c>
      <c r="W12" s="7">
        <v>1</v>
      </c>
      <c r="X12" s="7">
        <v>1</v>
      </c>
      <c r="Y12" s="45">
        <v>8000</v>
      </c>
      <c r="Z12" s="7">
        <v>110</v>
      </c>
      <c r="AA12" s="7">
        <v>1</v>
      </c>
      <c r="AB12">
        <v>1001</v>
      </c>
      <c r="AC12">
        <v>1000</v>
      </c>
      <c r="AD12">
        <v>1</v>
      </c>
    </row>
    <row r="13" spans="1:33" ht="48.75" customHeight="1">
      <c r="A13" s="84">
        <v>111</v>
      </c>
      <c r="B13" s="7" t="s">
        <v>1601</v>
      </c>
      <c r="C13" s="85"/>
      <c r="D13" s="3" t="s">
        <v>1682</v>
      </c>
      <c r="E13" s="85">
        <v>22</v>
      </c>
      <c r="F13" s="87"/>
      <c r="G13" s="88" t="s">
        <v>1683</v>
      </c>
      <c r="H13" s="47">
        <v>1</v>
      </c>
      <c r="I13" s="47"/>
      <c r="J13" s="83" t="s">
        <v>1636</v>
      </c>
      <c r="K13" s="47" t="s">
        <v>1637</v>
      </c>
      <c r="L13" s="47" t="s">
        <v>1638</v>
      </c>
      <c r="M13" s="47" t="s">
        <v>1684</v>
      </c>
      <c r="N13" s="47">
        <v>1</v>
      </c>
      <c r="O13" s="47">
        <v>1</v>
      </c>
      <c r="P13" s="83" t="s">
        <v>1646</v>
      </c>
      <c r="Q13" s="47" t="s">
        <v>769</v>
      </c>
      <c r="R13" s="47">
        <v>2005</v>
      </c>
      <c r="S13" s="47" t="s">
        <v>1645</v>
      </c>
      <c r="T13" s="47">
        <v>0</v>
      </c>
      <c r="U13" s="47">
        <v>1</v>
      </c>
      <c r="V13" s="7">
        <v>70001</v>
      </c>
      <c r="W13" s="7">
        <v>1</v>
      </c>
      <c r="X13" s="7">
        <v>1</v>
      </c>
      <c r="Y13" s="45">
        <v>8000</v>
      </c>
      <c r="Z13" s="7">
        <v>111</v>
      </c>
      <c r="AA13" s="7">
        <v>1</v>
      </c>
      <c r="AB13">
        <v>1001</v>
      </c>
      <c r="AC13">
        <v>100</v>
      </c>
      <c r="AD13">
        <v>1</v>
      </c>
    </row>
    <row r="14" spans="1:33" ht="48.75" customHeight="1">
      <c r="A14" s="84">
        <v>112</v>
      </c>
      <c r="B14" s="7" t="s">
        <v>1601</v>
      </c>
      <c r="C14" s="85"/>
      <c r="D14" s="3" t="s">
        <v>1685</v>
      </c>
      <c r="E14" s="85">
        <v>24</v>
      </c>
      <c r="F14" s="87"/>
      <c r="G14" s="88" t="s">
        <v>1686</v>
      </c>
      <c r="H14" s="47">
        <v>1</v>
      </c>
      <c r="I14" s="47"/>
      <c r="J14" s="83" t="s">
        <v>1663</v>
      </c>
      <c r="K14" s="47" t="s">
        <v>767</v>
      </c>
      <c r="L14" s="47">
        <v>1001</v>
      </c>
      <c r="M14" s="47" t="s">
        <v>1687</v>
      </c>
      <c r="N14" s="47"/>
      <c r="O14" s="47">
        <v>1</v>
      </c>
      <c r="P14" s="83" t="s">
        <v>1651</v>
      </c>
      <c r="Q14" s="47" t="s">
        <v>769</v>
      </c>
      <c r="R14" s="47">
        <v>2002</v>
      </c>
      <c r="S14" s="47" t="s">
        <v>1647</v>
      </c>
      <c r="T14" s="47">
        <v>0</v>
      </c>
      <c r="U14" s="47">
        <v>1</v>
      </c>
      <c r="V14" s="7">
        <v>70001</v>
      </c>
      <c r="W14" s="7">
        <v>1</v>
      </c>
      <c r="X14" s="7">
        <v>1</v>
      </c>
      <c r="Y14" s="45">
        <v>8000</v>
      </c>
      <c r="Z14" s="7">
        <v>112</v>
      </c>
      <c r="AA14" s="7">
        <v>1</v>
      </c>
      <c r="AB14">
        <v>1001</v>
      </c>
      <c r="AC14">
        <v>100</v>
      </c>
      <c r="AD14">
        <v>1</v>
      </c>
    </row>
    <row r="15" spans="1:33" ht="48.75" customHeight="1">
      <c r="A15" s="84">
        <v>113</v>
      </c>
      <c r="B15" s="7" t="s">
        <v>1601</v>
      </c>
      <c r="C15" s="85"/>
      <c r="D15" s="3" t="s">
        <v>1688</v>
      </c>
      <c r="E15" s="85">
        <v>26</v>
      </c>
      <c r="F15" s="87"/>
      <c r="G15" s="88" t="s">
        <v>1689</v>
      </c>
      <c r="H15" s="47">
        <v>1</v>
      </c>
      <c r="I15" s="47"/>
      <c r="J15" s="83" t="s">
        <v>1636</v>
      </c>
      <c r="K15" s="47" t="s">
        <v>1637</v>
      </c>
      <c r="L15" s="89" t="s">
        <v>1638</v>
      </c>
      <c r="M15" s="47" t="s">
        <v>1690</v>
      </c>
      <c r="N15" s="47">
        <v>1</v>
      </c>
      <c r="O15" s="47">
        <v>1</v>
      </c>
      <c r="P15" s="83" t="s">
        <v>1640</v>
      </c>
      <c r="Q15" s="47" t="s">
        <v>769</v>
      </c>
      <c r="R15" s="47">
        <v>2004</v>
      </c>
      <c r="S15" s="47" t="s">
        <v>1691</v>
      </c>
      <c r="T15" s="47">
        <v>0</v>
      </c>
      <c r="U15" s="47">
        <v>1</v>
      </c>
      <c r="V15" s="7">
        <v>70001</v>
      </c>
      <c r="W15" s="7">
        <v>1</v>
      </c>
      <c r="X15" s="7">
        <v>1</v>
      </c>
      <c r="Y15" s="45">
        <v>8000</v>
      </c>
      <c r="Z15" s="7">
        <v>113</v>
      </c>
      <c r="AA15" s="7">
        <v>1</v>
      </c>
      <c r="AB15">
        <v>1001</v>
      </c>
      <c r="AC15">
        <v>100</v>
      </c>
      <c r="AD15">
        <v>1</v>
      </c>
    </row>
    <row r="16" spans="1:33" ht="48.75" customHeight="1">
      <c r="A16" s="84">
        <v>114</v>
      </c>
      <c r="B16" s="7" t="s">
        <v>1601</v>
      </c>
      <c r="C16" s="85"/>
      <c r="D16" s="3" t="s">
        <v>1692</v>
      </c>
      <c r="E16" s="85">
        <v>28</v>
      </c>
      <c r="F16" s="87"/>
      <c r="G16" s="88" t="s">
        <v>1693</v>
      </c>
      <c r="H16" s="47">
        <v>1</v>
      </c>
      <c r="I16" s="47"/>
      <c r="J16" s="83" t="s">
        <v>1644</v>
      </c>
      <c r="K16" s="47" t="s">
        <v>767</v>
      </c>
      <c r="L16" s="89">
        <v>1005</v>
      </c>
      <c r="M16" s="47" t="s">
        <v>1665</v>
      </c>
      <c r="N16" s="47"/>
      <c r="O16" s="47">
        <v>1</v>
      </c>
      <c r="P16" s="83" t="s">
        <v>1646</v>
      </c>
      <c r="Q16" s="47" t="s">
        <v>769</v>
      </c>
      <c r="R16" s="47">
        <v>2005</v>
      </c>
      <c r="S16" s="47" t="s">
        <v>1641</v>
      </c>
      <c r="T16" s="47">
        <v>0</v>
      </c>
      <c r="U16" s="47">
        <v>1</v>
      </c>
      <c r="V16" s="7">
        <v>70001</v>
      </c>
      <c r="W16" s="7">
        <v>1</v>
      </c>
      <c r="X16" s="7">
        <v>1</v>
      </c>
      <c r="Y16" s="45">
        <v>8000</v>
      </c>
      <c r="Z16" s="7">
        <v>114</v>
      </c>
      <c r="AA16" s="7">
        <v>1</v>
      </c>
      <c r="AB16">
        <v>1001</v>
      </c>
      <c r="AC16">
        <v>100</v>
      </c>
      <c r="AD16">
        <v>1</v>
      </c>
    </row>
    <row r="17" spans="1:36" ht="38.25" customHeight="1">
      <c r="A17">
        <v>115</v>
      </c>
      <c r="B17" t="s">
        <v>1601</v>
      </c>
      <c r="D17" s="80" t="s">
        <v>1694</v>
      </c>
      <c r="E17">
        <v>30</v>
      </c>
      <c r="G17" s="90" t="s">
        <v>1695</v>
      </c>
      <c r="H17">
        <v>1</v>
      </c>
      <c r="J17" s="80" t="s">
        <v>1636</v>
      </c>
      <c r="K17" t="s">
        <v>1637</v>
      </c>
      <c r="L17" t="s">
        <v>1638</v>
      </c>
      <c r="M17" t="s">
        <v>1696</v>
      </c>
      <c r="N17">
        <v>1</v>
      </c>
      <c r="O17">
        <v>1</v>
      </c>
      <c r="P17" s="80" t="s">
        <v>1651</v>
      </c>
      <c r="Q17" t="s">
        <v>769</v>
      </c>
      <c r="R17">
        <v>2002</v>
      </c>
      <c r="S17" t="s">
        <v>1697</v>
      </c>
      <c r="T17">
        <v>0</v>
      </c>
      <c r="U17">
        <v>1</v>
      </c>
      <c r="V17">
        <v>70001</v>
      </c>
      <c r="W17">
        <v>1</v>
      </c>
      <c r="X17">
        <v>1</v>
      </c>
      <c r="Y17">
        <v>8000</v>
      </c>
      <c r="Z17">
        <v>115</v>
      </c>
      <c r="AA17">
        <v>1</v>
      </c>
      <c r="AB17">
        <v>1001</v>
      </c>
      <c r="AC17">
        <v>100</v>
      </c>
      <c r="AD17">
        <v>1</v>
      </c>
    </row>
    <row r="18" spans="1:36" ht="42.75" customHeight="1">
      <c r="A18" s="91">
        <v>116</v>
      </c>
      <c r="B18" s="91" t="s">
        <v>1601</v>
      </c>
      <c r="C18" s="91"/>
      <c r="D18" s="92" t="s">
        <v>1698</v>
      </c>
      <c r="E18" s="91">
        <v>32</v>
      </c>
      <c r="F18" s="7"/>
      <c r="G18" s="93" t="s">
        <v>1699</v>
      </c>
      <c r="H18" s="91">
        <v>1</v>
      </c>
      <c r="I18" s="91"/>
      <c r="J18" s="92" t="s">
        <v>1655</v>
      </c>
      <c r="K18" s="91" t="s">
        <v>767</v>
      </c>
      <c r="L18" s="91">
        <v>1003</v>
      </c>
      <c r="M18" s="91" t="s">
        <v>1700</v>
      </c>
      <c r="N18" s="91"/>
      <c r="O18" s="91">
        <v>1</v>
      </c>
      <c r="P18" s="92" t="s">
        <v>1640</v>
      </c>
      <c r="Q18" s="91" t="s">
        <v>769</v>
      </c>
      <c r="R18" s="91">
        <v>2004</v>
      </c>
      <c r="S18" s="91" t="s">
        <v>1701</v>
      </c>
      <c r="T18" s="91">
        <v>0</v>
      </c>
      <c r="U18" s="91">
        <v>1</v>
      </c>
      <c r="V18" s="91">
        <v>70001</v>
      </c>
      <c r="W18" s="91">
        <v>1</v>
      </c>
      <c r="X18" s="91">
        <v>1</v>
      </c>
      <c r="Y18" s="91">
        <v>8000</v>
      </c>
      <c r="Z18" s="91">
        <v>116</v>
      </c>
      <c r="AA18" s="91">
        <v>1</v>
      </c>
      <c r="AB18" s="91">
        <v>1001</v>
      </c>
      <c r="AC18" s="91">
        <v>100</v>
      </c>
      <c r="AD18" s="91">
        <v>1</v>
      </c>
      <c r="AE18" s="91"/>
      <c r="AF18" s="91"/>
      <c r="AG18" s="91"/>
      <c r="AH18" s="91"/>
      <c r="AI18" s="91"/>
      <c r="AJ18" s="91"/>
    </row>
    <row r="19" spans="1:36" ht="42.75" customHeight="1">
      <c r="A19" s="7">
        <v>117</v>
      </c>
      <c r="B19" s="7" t="s">
        <v>1601</v>
      </c>
      <c r="C19" s="7"/>
      <c r="D19" s="3" t="s">
        <v>1702</v>
      </c>
      <c r="E19" s="7">
        <v>34</v>
      </c>
      <c r="F19" s="7"/>
      <c r="G19" s="82" t="s">
        <v>1703</v>
      </c>
      <c r="H19" s="47">
        <v>1</v>
      </c>
      <c r="J19" s="83" t="s">
        <v>1636</v>
      </c>
      <c r="K19" s="47" t="s">
        <v>1637</v>
      </c>
      <c r="L19" s="47" t="s">
        <v>1638</v>
      </c>
      <c r="M19" s="47" t="s">
        <v>1704</v>
      </c>
      <c r="N19" s="47">
        <v>1</v>
      </c>
      <c r="O19" s="47">
        <v>1</v>
      </c>
      <c r="P19" s="83" t="s">
        <v>1646</v>
      </c>
      <c r="Q19" s="47" t="s">
        <v>769</v>
      </c>
      <c r="R19" s="47">
        <v>2005</v>
      </c>
      <c r="S19" s="47" t="s">
        <v>1705</v>
      </c>
      <c r="T19" s="47">
        <v>0</v>
      </c>
      <c r="U19" s="47">
        <v>1</v>
      </c>
      <c r="V19">
        <v>70001</v>
      </c>
      <c r="W19">
        <v>1</v>
      </c>
      <c r="X19">
        <v>1</v>
      </c>
      <c r="Y19" s="45">
        <v>8000</v>
      </c>
      <c r="Z19">
        <v>117</v>
      </c>
      <c r="AA19">
        <v>1</v>
      </c>
      <c r="AB19">
        <v>1001</v>
      </c>
      <c r="AC19">
        <v>100</v>
      </c>
      <c r="AD19">
        <v>1</v>
      </c>
    </row>
    <row r="20" spans="1:36" ht="42.75" customHeight="1">
      <c r="A20" s="7">
        <v>118</v>
      </c>
      <c r="B20" s="7" t="s">
        <v>1601</v>
      </c>
      <c r="C20" s="7"/>
      <c r="D20" s="94" t="s">
        <v>1706</v>
      </c>
      <c r="E20" s="7">
        <v>36</v>
      </c>
      <c r="F20" s="7"/>
      <c r="G20" s="82" t="s">
        <v>1707</v>
      </c>
      <c r="H20" s="47">
        <v>1</v>
      </c>
      <c r="I20" s="47"/>
      <c r="J20" s="83" t="s">
        <v>1663</v>
      </c>
      <c r="K20" s="47" t="s">
        <v>767</v>
      </c>
      <c r="L20" s="47">
        <v>1001</v>
      </c>
      <c r="M20" s="47" t="s">
        <v>1708</v>
      </c>
      <c r="N20" s="47"/>
      <c r="O20" s="47">
        <v>1</v>
      </c>
      <c r="P20" s="83" t="s">
        <v>1651</v>
      </c>
      <c r="Q20" s="47" t="s">
        <v>769</v>
      </c>
      <c r="R20" s="47">
        <v>2002</v>
      </c>
      <c r="S20" s="47" t="s">
        <v>1709</v>
      </c>
      <c r="T20" s="47">
        <v>0</v>
      </c>
      <c r="U20" s="47">
        <v>1</v>
      </c>
      <c r="V20" s="7">
        <v>70001</v>
      </c>
      <c r="W20" s="7">
        <v>1</v>
      </c>
      <c r="X20" s="7">
        <v>1</v>
      </c>
      <c r="Y20" s="7">
        <v>8000</v>
      </c>
      <c r="Z20" s="7">
        <v>118</v>
      </c>
      <c r="AA20" s="7">
        <v>1</v>
      </c>
      <c r="AB20">
        <v>1001</v>
      </c>
      <c r="AC20">
        <v>100</v>
      </c>
      <c r="AD20">
        <v>1</v>
      </c>
    </row>
    <row r="21" spans="1:36" ht="42.75" customHeight="1">
      <c r="A21" s="7">
        <v>119</v>
      </c>
      <c r="B21" s="7" t="s">
        <v>1601</v>
      </c>
      <c r="C21" s="7"/>
      <c r="D21" s="94" t="s">
        <v>1710</v>
      </c>
      <c r="E21" s="7">
        <v>38</v>
      </c>
      <c r="F21" s="7"/>
      <c r="G21" s="82" t="s">
        <v>1711</v>
      </c>
      <c r="H21" s="47">
        <v>1</v>
      </c>
      <c r="I21" s="47"/>
      <c r="J21" s="83" t="s">
        <v>1636</v>
      </c>
      <c r="K21" s="47" t="s">
        <v>1637</v>
      </c>
      <c r="L21" s="47" t="s">
        <v>1638</v>
      </c>
      <c r="M21" s="47" t="s">
        <v>1712</v>
      </c>
      <c r="N21" s="47">
        <v>1</v>
      </c>
      <c r="O21" s="47">
        <v>1</v>
      </c>
      <c r="P21" s="83" t="s">
        <v>1640</v>
      </c>
      <c r="Q21" s="47" t="s">
        <v>769</v>
      </c>
      <c r="R21" s="47">
        <v>2004</v>
      </c>
      <c r="S21" s="47" t="s">
        <v>1713</v>
      </c>
      <c r="T21" s="47">
        <v>0</v>
      </c>
      <c r="U21" s="47">
        <v>1</v>
      </c>
      <c r="V21" s="7">
        <v>70001</v>
      </c>
      <c r="W21" s="7">
        <v>1</v>
      </c>
      <c r="X21" s="7">
        <v>1</v>
      </c>
      <c r="Y21" s="7">
        <v>8000</v>
      </c>
      <c r="Z21" s="7">
        <v>119</v>
      </c>
      <c r="AA21" s="7">
        <v>1</v>
      </c>
      <c r="AB21">
        <v>1001</v>
      </c>
      <c r="AC21">
        <v>100</v>
      </c>
      <c r="AD21">
        <v>1</v>
      </c>
    </row>
    <row r="22" spans="1:36" ht="42.75" customHeight="1">
      <c r="A22" s="7">
        <v>120</v>
      </c>
      <c r="B22" s="7" t="s">
        <v>1601</v>
      </c>
      <c r="C22" s="7"/>
      <c r="D22" s="94" t="s">
        <v>1714</v>
      </c>
      <c r="E22" s="7">
        <v>40</v>
      </c>
      <c r="F22" s="7"/>
      <c r="G22" s="82" t="s">
        <v>1715</v>
      </c>
      <c r="H22" s="47">
        <v>1</v>
      </c>
      <c r="I22" s="47"/>
      <c r="J22" s="83" t="s">
        <v>1644</v>
      </c>
      <c r="K22" s="47" t="s">
        <v>767</v>
      </c>
      <c r="L22" s="47">
        <v>1005</v>
      </c>
      <c r="M22" s="47" t="s">
        <v>1716</v>
      </c>
      <c r="N22" s="47"/>
      <c r="O22" s="47">
        <v>1</v>
      </c>
      <c r="P22" s="83" t="s">
        <v>1646</v>
      </c>
      <c r="Q22" s="47" t="s">
        <v>769</v>
      </c>
      <c r="R22" s="47">
        <v>2005</v>
      </c>
      <c r="S22" s="47" t="s">
        <v>1680</v>
      </c>
      <c r="T22" s="47">
        <v>0</v>
      </c>
      <c r="U22" s="47">
        <v>1</v>
      </c>
      <c r="V22" s="7">
        <v>70001</v>
      </c>
      <c r="W22" s="7">
        <v>1</v>
      </c>
      <c r="X22" s="7">
        <v>1</v>
      </c>
      <c r="Y22" s="7">
        <v>8000</v>
      </c>
      <c r="Z22" s="7">
        <v>120</v>
      </c>
      <c r="AA22" s="7">
        <v>1</v>
      </c>
      <c r="AB22">
        <v>1001</v>
      </c>
      <c r="AC22">
        <v>1000</v>
      </c>
      <c r="AD22">
        <v>1</v>
      </c>
    </row>
    <row r="23" spans="1:36" ht="42.75" customHeight="1">
      <c r="A23" s="7">
        <v>121</v>
      </c>
      <c r="B23" s="7" t="s">
        <v>1601</v>
      </c>
      <c r="C23" s="7"/>
      <c r="D23" s="94" t="s">
        <v>1717</v>
      </c>
      <c r="E23" s="7">
        <v>42</v>
      </c>
      <c r="F23" s="7"/>
      <c r="G23" s="82" t="s">
        <v>1718</v>
      </c>
      <c r="H23" s="47">
        <v>1</v>
      </c>
      <c r="I23" s="47"/>
      <c r="J23" s="83" t="s">
        <v>1636</v>
      </c>
      <c r="K23" s="47" t="s">
        <v>1637</v>
      </c>
      <c r="L23" s="47" t="s">
        <v>1638</v>
      </c>
      <c r="M23" s="47" t="s">
        <v>1719</v>
      </c>
      <c r="N23" s="47">
        <v>1</v>
      </c>
      <c r="O23" s="47">
        <v>1</v>
      </c>
      <c r="P23" s="83" t="s">
        <v>1651</v>
      </c>
      <c r="Q23" s="47" t="s">
        <v>769</v>
      </c>
      <c r="R23" s="47">
        <v>2002</v>
      </c>
      <c r="S23" s="47" t="s">
        <v>1720</v>
      </c>
      <c r="T23" s="47">
        <v>0</v>
      </c>
      <c r="U23" s="47">
        <v>1</v>
      </c>
      <c r="V23" s="7">
        <v>70001</v>
      </c>
      <c r="W23" s="7">
        <v>1</v>
      </c>
      <c r="X23" s="7">
        <v>1</v>
      </c>
      <c r="Y23" s="7">
        <v>8000</v>
      </c>
      <c r="Z23" s="7">
        <v>121</v>
      </c>
      <c r="AA23" s="7">
        <v>1</v>
      </c>
      <c r="AB23">
        <v>1001</v>
      </c>
      <c r="AC23">
        <v>100</v>
      </c>
      <c r="AD23">
        <v>1</v>
      </c>
    </row>
    <row r="24" spans="1:36" ht="42.75" customHeight="1">
      <c r="A24" s="7">
        <v>122</v>
      </c>
      <c r="B24" s="7" t="s">
        <v>1601</v>
      </c>
      <c r="C24" s="7"/>
      <c r="D24" s="94" t="s">
        <v>1721</v>
      </c>
      <c r="E24" s="7">
        <v>44</v>
      </c>
      <c r="F24" s="7"/>
      <c r="G24" s="82" t="s">
        <v>1722</v>
      </c>
      <c r="H24" s="47">
        <v>1</v>
      </c>
      <c r="I24" s="47"/>
      <c r="J24" s="83" t="s">
        <v>1655</v>
      </c>
      <c r="K24" s="47" t="s">
        <v>767</v>
      </c>
      <c r="L24" s="47">
        <v>1003</v>
      </c>
      <c r="M24" s="47" t="s">
        <v>1709</v>
      </c>
      <c r="N24" s="47"/>
      <c r="O24" s="47">
        <v>1</v>
      </c>
      <c r="P24" s="83" t="s">
        <v>1640</v>
      </c>
      <c r="Q24" s="47" t="s">
        <v>769</v>
      </c>
      <c r="R24" s="47">
        <v>2004</v>
      </c>
      <c r="S24" s="47" t="s">
        <v>1684</v>
      </c>
      <c r="T24" s="47">
        <v>0</v>
      </c>
      <c r="U24" s="47">
        <v>1</v>
      </c>
      <c r="V24" s="7">
        <v>70001</v>
      </c>
      <c r="W24" s="7">
        <v>1</v>
      </c>
      <c r="X24" s="7">
        <v>1</v>
      </c>
      <c r="Y24" s="7">
        <v>8000</v>
      </c>
      <c r="Z24" s="7">
        <v>122</v>
      </c>
      <c r="AA24" s="7">
        <v>1</v>
      </c>
      <c r="AB24">
        <v>1001</v>
      </c>
      <c r="AC24">
        <v>100</v>
      </c>
      <c r="AD24">
        <v>1</v>
      </c>
    </row>
    <row r="25" spans="1:36" ht="42.75" customHeight="1">
      <c r="A25" s="7">
        <v>123</v>
      </c>
      <c r="B25" s="7" t="s">
        <v>1601</v>
      </c>
      <c r="C25" s="7"/>
      <c r="D25" s="94" t="s">
        <v>1723</v>
      </c>
      <c r="E25" s="7">
        <v>46</v>
      </c>
      <c r="F25" s="7"/>
      <c r="G25" s="82" t="s">
        <v>1724</v>
      </c>
      <c r="H25" s="47">
        <v>1</v>
      </c>
      <c r="I25" s="47"/>
      <c r="J25" s="83" t="s">
        <v>1636</v>
      </c>
      <c r="K25" s="47" t="s">
        <v>1637</v>
      </c>
      <c r="L25" s="47" t="s">
        <v>1638</v>
      </c>
      <c r="M25" s="47" t="s">
        <v>1725</v>
      </c>
      <c r="N25" s="47">
        <v>1</v>
      </c>
      <c r="O25" s="47">
        <v>1</v>
      </c>
      <c r="P25" s="83" t="s">
        <v>1646</v>
      </c>
      <c r="Q25" s="47" t="s">
        <v>769</v>
      </c>
      <c r="R25" s="47">
        <v>2005</v>
      </c>
      <c r="S25" s="47" t="s">
        <v>1726</v>
      </c>
      <c r="T25" s="47">
        <v>0</v>
      </c>
      <c r="U25" s="47">
        <v>1</v>
      </c>
      <c r="V25" s="7">
        <v>70001</v>
      </c>
      <c r="W25" s="7">
        <v>1</v>
      </c>
      <c r="X25" s="7">
        <v>1</v>
      </c>
      <c r="Y25" s="7">
        <v>8000</v>
      </c>
      <c r="Z25" s="7">
        <v>123</v>
      </c>
      <c r="AA25" s="7">
        <v>1</v>
      </c>
      <c r="AB25">
        <v>1001</v>
      </c>
      <c r="AC25">
        <v>100</v>
      </c>
      <c r="AD25">
        <v>1</v>
      </c>
    </row>
    <row r="26" spans="1:36" ht="42.75" customHeight="1">
      <c r="A26" s="7">
        <v>124</v>
      </c>
      <c r="B26" s="7" t="s">
        <v>1601</v>
      </c>
      <c r="C26" s="7"/>
      <c r="D26" s="94" t="s">
        <v>1727</v>
      </c>
      <c r="E26" s="7">
        <v>48</v>
      </c>
      <c r="F26" s="7"/>
      <c r="G26" s="82" t="s">
        <v>1728</v>
      </c>
      <c r="H26" s="47">
        <v>1</v>
      </c>
      <c r="I26" s="47"/>
      <c r="J26" s="83" t="s">
        <v>1663</v>
      </c>
      <c r="K26" s="47" t="s">
        <v>767</v>
      </c>
      <c r="L26" s="47">
        <v>1001</v>
      </c>
      <c r="M26" s="47" t="s">
        <v>1729</v>
      </c>
      <c r="N26" s="47"/>
      <c r="O26" s="47">
        <v>1</v>
      </c>
      <c r="P26" s="83" t="s">
        <v>1651</v>
      </c>
      <c r="Q26" s="47" t="s">
        <v>769</v>
      </c>
      <c r="R26" s="47">
        <v>2002</v>
      </c>
      <c r="S26" s="47" t="s">
        <v>1730</v>
      </c>
      <c r="T26" s="47">
        <v>0</v>
      </c>
      <c r="U26" s="47">
        <v>1</v>
      </c>
      <c r="V26" s="7">
        <v>70001</v>
      </c>
      <c r="W26" s="7">
        <v>1</v>
      </c>
      <c r="X26" s="7">
        <v>1</v>
      </c>
      <c r="Y26" s="7">
        <v>8000</v>
      </c>
      <c r="Z26" s="7">
        <v>124</v>
      </c>
      <c r="AA26" s="7">
        <v>1</v>
      </c>
      <c r="AB26">
        <v>1001</v>
      </c>
      <c r="AC26">
        <v>100</v>
      </c>
      <c r="AD26">
        <v>1</v>
      </c>
    </row>
    <row r="27" spans="1:36" ht="42.75" customHeight="1">
      <c r="A27" s="7">
        <v>125</v>
      </c>
      <c r="B27" s="7" t="s">
        <v>1601</v>
      </c>
      <c r="C27" s="7"/>
      <c r="D27" s="94" t="s">
        <v>1731</v>
      </c>
      <c r="E27" s="7">
        <v>50</v>
      </c>
      <c r="F27" s="7"/>
      <c r="G27" s="82" t="s">
        <v>1732</v>
      </c>
      <c r="H27" s="47">
        <v>1</v>
      </c>
      <c r="I27" s="47"/>
      <c r="J27" s="83" t="s">
        <v>1636</v>
      </c>
      <c r="K27" s="47" t="s">
        <v>1637</v>
      </c>
      <c r="L27" s="47" t="s">
        <v>1638</v>
      </c>
      <c r="M27" s="47" t="s">
        <v>1733</v>
      </c>
      <c r="N27" s="47">
        <v>1</v>
      </c>
      <c r="O27" s="47">
        <v>1</v>
      </c>
      <c r="P27" s="83" t="s">
        <v>1640</v>
      </c>
      <c r="Q27" s="47" t="s">
        <v>769</v>
      </c>
      <c r="R27" s="47">
        <v>2004</v>
      </c>
      <c r="S27" s="47" t="s">
        <v>1734</v>
      </c>
      <c r="T27" s="47">
        <v>0</v>
      </c>
      <c r="U27" s="47">
        <v>1</v>
      </c>
      <c r="V27" s="7">
        <v>70001</v>
      </c>
      <c r="W27" s="7">
        <v>1</v>
      </c>
      <c r="X27" s="7">
        <v>1</v>
      </c>
      <c r="Y27" s="7">
        <v>8000</v>
      </c>
      <c r="Z27" s="7">
        <v>125</v>
      </c>
      <c r="AA27" s="7">
        <v>1</v>
      </c>
      <c r="AB27">
        <v>1001</v>
      </c>
      <c r="AC27">
        <v>100</v>
      </c>
      <c r="AD27">
        <v>1</v>
      </c>
    </row>
    <row r="28" spans="1:36" ht="42.75" customHeight="1">
      <c r="A28" s="7">
        <v>126</v>
      </c>
      <c r="B28" s="7" t="s">
        <v>1601</v>
      </c>
      <c r="C28" s="7"/>
      <c r="D28" s="94" t="s">
        <v>1735</v>
      </c>
      <c r="E28" s="7">
        <v>52</v>
      </c>
      <c r="F28" s="7"/>
      <c r="G28" s="82" t="s">
        <v>1736</v>
      </c>
      <c r="H28" s="47">
        <v>1</v>
      </c>
      <c r="I28" s="47"/>
      <c r="J28" s="83" t="s">
        <v>1644</v>
      </c>
      <c r="K28" s="47" t="s">
        <v>767</v>
      </c>
      <c r="L28" s="47">
        <v>1005</v>
      </c>
      <c r="M28" s="47" t="s">
        <v>1737</v>
      </c>
      <c r="N28" s="47"/>
      <c r="O28" s="47">
        <v>1</v>
      </c>
      <c r="P28" s="83" t="s">
        <v>1646</v>
      </c>
      <c r="Q28" s="47" t="s">
        <v>769</v>
      </c>
      <c r="R28" s="47">
        <v>2005</v>
      </c>
      <c r="S28" s="47" t="s">
        <v>1684</v>
      </c>
      <c r="T28" s="47">
        <v>0</v>
      </c>
      <c r="U28" s="47">
        <v>1</v>
      </c>
      <c r="V28" s="7">
        <v>70001</v>
      </c>
      <c r="W28" s="7">
        <v>1</v>
      </c>
      <c r="X28" s="7">
        <v>1</v>
      </c>
      <c r="Y28" s="7">
        <v>8000</v>
      </c>
      <c r="Z28" s="7">
        <v>126</v>
      </c>
      <c r="AA28" s="7">
        <v>1</v>
      </c>
      <c r="AB28">
        <v>1001</v>
      </c>
      <c r="AC28">
        <v>100</v>
      </c>
      <c r="AD28">
        <v>1</v>
      </c>
    </row>
    <row r="29" spans="1:36" ht="42.75" customHeight="1">
      <c r="A29" s="7">
        <v>127</v>
      </c>
      <c r="B29" s="7" t="s">
        <v>1601</v>
      </c>
      <c r="C29" s="7"/>
      <c r="D29" s="94" t="s">
        <v>1738</v>
      </c>
      <c r="E29" s="7">
        <v>54</v>
      </c>
      <c r="F29" s="7"/>
      <c r="G29" s="82" t="s">
        <v>1739</v>
      </c>
      <c r="H29" s="47">
        <v>1</v>
      </c>
      <c r="I29" s="47"/>
      <c r="J29" s="83" t="s">
        <v>1636</v>
      </c>
      <c r="K29" s="47" t="s">
        <v>1637</v>
      </c>
      <c r="L29" s="47" t="s">
        <v>1638</v>
      </c>
      <c r="M29" s="47" t="s">
        <v>1733</v>
      </c>
      <c r="N29" s="47">
        <v>1</v>
      </c>
      <c r="O29" s="47">
        <v>1</v>
      </c>
      <c r="P29" s="83" t="s">
        <v>1651</v>
      </c>
      <c r="Q29" s="47" t="s">
        <v>769</v>
      </c>
      <c r="R29" s="47">
        <v>2002</v>
      </c>
      <c r="S29" s="47" t="s">
        <v>1740</v>
      </c>
      <c r="T29" s="47">
        <v>0</v>
      </c>
      <c r="U29" s="47">
        <v>1</v>
      </c>
      <c r="V29" s="7">
        <v>70001</v>
      </c>
      <c r="W29" s="7">
        <v>1</v>
      </c>
      <c r="X29" s="7">
        <v>1</v>
      </c>
      <c r="Y29" s="7">
        <v>8000</v>
      </c>
      <c r="Z29" s="7">
        <v>127</v>
      </c>
      <c r="AA29" s="7">
        <v>1</v>
      </c>
      <c r="AB29">
        <v>1001</v>
      </c>
      <c r="AC29">
        <v>100</v>
      </c>
      <c r="AD29">
        <v>1</v>
      </c>
    </row>
    <row r="30" spans="1:36" ht="42.75" customHeight="1">
      <c r="A30" s="7">
        <v>128</v>
      </c>
      <c r="B30" s="7" t="s">
        <v>1601</v>
      </c>
      <c r="C30" s="7"/>
      <c r="D30" s="94" t="s">
        <v>1741</v>
      </c>
      <c r="E30" s="7">
        <v>56</v>
      </c>
      <c r="F30" s="7"/>
      <c r="G30" s="82" t="s">
        <v>1742</v>
      </c>
      <c r="H30" s="47">
        <v>1</v>
      </c>
      <c r="I30" s="47"/>
      <c r="J30" s="83" t="s">
        <v>1655</v>
      </c>
      <c r="K30" s="47" t="s">
        <v>767</v>
      </c>
      <c r="L30" s="47">
        <v>1003</v>
      </c>
      <c r="M30" s="47" t="s">
        <v>1737</v>
      </c>
      <c r="N30" s="47"/>
      <c r="O30" s="47">
        <v>1</v>
      </c>
      <c r="P30" s="83" t="s">
        <v>1640</v>
      </c>
      <c r="Q30" s="47" t="s">
        <v>769</v>
      </c>
      <c r="R30" s="47">
        <v>2004</v>
      </c>
      <c r="S30" s="47" t="s">
        <v>1639</v>
      </c>
      <c r="T30" s="47">
        <v>0</v>
      </c>
      <c r="U30" s="47">
        <v>1</v>
      </c>
      <c r="V30" s="7">
        <v>70001</v>
      </c>
      <c r="W30" s="7">
        <v>1</v>
      </c>
      <c r="X30" s="7">
        <v>1</v>
      </c>
      <c r="Y30" s="7">
        <v>8000</v>
      </c>
      <c r="Z30" s="7">
        <v>128</v>
      </c>
      <c r="AA30" s="7">
        <v>1</v>
      </c>
      <c r="AB30">
        <v>1001</v>
      </c>
      <c r="AC30">
        <v>100</v>
      </c>
      <c r="AD30">
        <v>1</v>
      </c>
    </row>
    <row r="31" spans="1:36" ht="42.75" customHeight="1">
      <c r="A31" s="7">
        <v>129</v>
      </c>
      <c r="B31" s="7" t="s">
        <v>1601</v>
      </c>
      <c r="C31" s="7"/>
      <c r="D31" s="94" t="s">
        <v>1743</v>
      </c>
      <c r="E31" s="7">
        <v>58</v>
      </c>
      <c r="F31" s="7"/>
      <c r="G31" s="82" t="s">
        <v>1744</v>
      </c>
      <c r="H31" s="47">
        <v>1</v>
      </c>
      <c r="I31" s="47"/>
      <c r="J31" s="83" t="s">
        <v>1636</v>
      </c>
      <c r="K31" s="47" t="s">
        <v>1637</v>
      </c>
      <c r="L31" s="47" t="s">
        <v>1638</v>
      </c>
      <c r="M31" s="47" t="s">
        <v>1745</v>
      </c>
      <c r="N31" s="47">
        <v>1</v>
      </c>
      <c r="O31" s="47">
        <v>1</v>
      </c>
      <c r="P31" s="83" t="s">
        <v>1646</v>
      </c>
      <c r="Q31" s="47" t="s">
        <v>769</v>
      </c>
      <c r="R31" s="47">
        <v>2005</v>
      </c>
      <c r="S31" s="47" t="s">
        <v>1746</v>
      </c>
      <c r="T31" s="47">
        <v>0</v>
      </c>
      <c r="U31" s="47">
        <v>1</v>
      </c>
      <c r="V31" s="7">
        <v>70001</v>
      </c>
      <c r="W31" s="7">
        <v>1</v>
      </c>
      <c r="X31" s="7">
        <v>1</v>
      </c>
      <c r="Y31" s="7">
        <v>8000</v>
      </c>
      <c r="Z31" s="7">
        <v>129</v>
      </c>
      <c r="AA31" s="7">
        <v>1</v>
      </c>
      <c r="AB31">
        <v>1001</v>
      </c>
      <c r="AC31">
        <v>100</v>
      </c>
      <c r="AD31">
        <v>1</v>
      </c>
    </row>
    <row r="32" spans="1:36" ht="42.75" customHeight="1">
      <c r="A32" s="7">
        <v>130</v>
      </c>
      <c r="B32" s="7" t="s">
        <v>1601</v>
      </c>
      <c r="C32" s="7"/>
      <c r="D32" s="94" t="s">
        <v>1747</v>
      </c>
      <c r="E32" s="7">
        <v>60</v>
      </c>
      <c r="F32" s="7"/>
      <c r="G32" s="82" t="s">
        <v>1748</v>
      </c>
      <c r="H32" s="47">
        <v>1</v>
      </c>
      <c r="I32" s="47"/>
      <c r="J32" s="83" t="s">
        <v>1663</v>
      </c>
      <c r="K32" s="47" t="s">
        <v>767</v>
      </c>
      <c r="L32" s="47">
        <v>1001</v>
      </c>
      <c r="M32" s="47" t="s">
        <v>1733</v>
      </c>
      <c r="N32" s="47"/>
      <c r="O32" s="47">
        <v>1</v>
      </c>
      <c r="P32" s="83" t="s">
        <v>1651</v>
      </c>
      <c r="Q32" s="47" t="s">
        <v>769</v>
      </c>
      <c r="R32" s="47">
        <v>2002</v>
      </c>
      <c r="S32" s="47" t="s">
        <v>1749</v>
      </c>
      <c r="T32" s="47">
        <v>0</v>
      </c>
      <c r="U32" s="47">
        <v>1</v>
      </c>
      <c r="V32" s="7">
        <v>70001</v>
      </c>
      <c r="W32" s="7">
        <v>1</v>
      </c>
      <c r="X32" s="7">
        <v>1</v>
      </c>
      <c r="Y32" s="7">
        <v>8000</v>
      </c>
      <c r="Z32" s="7">
        <v>130</v>
      </c>
      <c r="AA32" s="7">
        <v>1</v>
      </c>
      <c r="AB32">
        <v>1001</v>
      </c>
      <c r="AC32">
        <v>1000</v>
      </c>
      <c r="AD32">
        <v>1</v>
      </c>
    </row>
    <row r="33" spans="1:36" ht="42.75" customHeight="1">
      <c r="A33" s="7">
        <v>131</v>
      </c>
      <c r="B33" s="7" t="s">
        <v>1601</v>
      </c>
      <c r="C33" s="7"/>
      <c r="D33" s="94" t="s">
        <v>1750</v>
      </c>
      <c r="E33" s="7">
        <v>62</v>
      </c>
      <c r="F33" s="7"/>
      <c r="G33" s="82" t="s">
        <v>1751</v>
      </c>
      <c r="H33" s="47">
        <v>1</v>
      </c>
      <c r="I33" s="47"/>
      <c r="J33" s="83" t="s">
        <v>1636</v>
      </c>
      <c r="K33" s="47" t="s">
        <v>1637</v>
      </c>
      <c r="L33" s="47" t="s">
        <v>1638</v>
      </c>
      <c r="M33" s="47" t="s">
        <v>1752</v>
      </c>
      <c r="N33" s="47">
        <v>1</v>
      </c>
      <c r="O33" s="47">
        <v>1</v>
      </c>
      <c r="P33" s="83" t="s">
        <v>1640</v>
      </c>
      <c r="Q33" s="47" t="s">
        <v>769</v>
      </c>
      <c r="R33" s="47">
        <v>2004</v>
      </c>
      <c r="S33" s="47" t="s">
        <v>1753</v>
      </c>
      <c r="T33" s="47">
        <v>0</v>
      </c>
      <c r="U33" s="47">
        <v>1</v>
      </c>
      <c r="V33" s="7">
        <v>70001</v>
      </c>
      <c r="W33" s="7">
        <v>1</v>
      </c>
      <c r="X33" s="7">
        <v>1</v>
      </c>
      <c r="Y33" s="7">
        <v>8000</v>
      </c>
      <c r="Z33" s="7">
        <v>131</v>
      </c>
      <c r="AA33" s="7">
        <v>1</v>
      </c>
      <c r="AB33">
        <v>1001</v>
      </c>
      <c r="AC33">
        <v>100</v>
      </c>
      <c r="AD33">
        <v>1</v>
      </c>
    </row>
    <row r="34" spans="1:36" ht="42.75" customHeight="1">
      <c r="A34" s="7">
        <v>132</v>
      </c>
      <c r="B34" s="7" t="s">
        <v>1601</v>
      </c>
      <c r="C34" s="7"/>
      <c r="D34" s="94" t="s">
        <v>1754</v>
      </c>
      <c r="E34" s="7">
        <v>64</v>
      </c>
      <c r="F34" s="7"/>
      <c r="G34" s="82" t="s">
        <v>1755</v>
      </c>
      <c r="H34" s="47">
        <v>1</v>
      </c>
      <c r="I34" s="47"/>
      <c r="J34" s="83" t="s">
        <v>1644</v>
      </c>
      <c r="K34" s="47" t="s">
        <v>767</v>
      </c>
      <c r="L34" s="47">
        <v>1005</v>
      </c>
      <c r="M34" s="47" t="s">
        <v>1672</v>
      </c>
      <c r="N34" s="47"/>
      <c r="O34" s="47">
        <v>1</v>
      </c>
      <c r="P34" s="83" t="s">
        <v>1646</v>
      </c>
      <c r="Q34" s="47" t="s">
        <v>769</v>
      </c>
      <c r="R34" s="47">
        <v>2005</v>
      </c>
      <c r="S34" s="47" t="s">
        <v>1672</v>
      </c>
      <c r="T34" s="47">
        <v>0</v>
      </c>
      <c r="U34" s="47">
        <v>1</v>
      </c>
      <c r="V34" s="7">
        <v>70001</v>
      </c>
      <c r="W34" s="7">
        <v>1</v>
      </c>
      <c r="X34" s="7">
        <v>1</v>
      </c>
      <c r="Y34" s="7">
        <v>8000</v>
      </c>
      <c r="Z34" s="7">
        <v>132</v>
      </c>
      <c r="AA34" s="7">
        <v>1</v>
      </c>
      <c r="AB34">
        <v>1001</v>
      </c>
      <c r="AC34">
        <v>100</v>
      </c>
      <c r="AD34">
        <v>1</v>
      </c>
    </row>
    <row r="35" spans="1:36" ht="42.75" customHeight="1">
      <c r="A35" s="7">
        <v>133</v>
      </c>
      <c r="B35" s="7" t="s">
        <v>1601</v>
      </c>
      <c r="C35" s="7"/>
      <c r="D35" s="94" t="s">
        <v>1756</v>
      </c>
      <c r="E35" s="7">
        <v>66</v>
      </c>
      <c r="F35" s="7"/>
      <c r="G35" s="82" t="s">
        <v>1757</v>
      </c>
      <c r="H35" s="47">
        <v>1</v>
      </c>
      <c r="I35" s="47"/>
      <c r="J35" s="83" t="s">
        <v>1636</v>
      </c>
      <c r="K35" s="47" t="s">
        <v>1637</v>
      </c>
      <c r="L35" s="47" t="s">
        <v>1638</v>
      </c>
      <c r="M35" s="47" t="s">
        <v>1758</v>
      </c>
      <c r="N35" s="47">
        <v>1</v>
      </c>
      <c r="O35" s="47">
        <v>1</v>
      </c>
      <c r="P35" s="83" t="s">
        <v>1651</v>
      </c>
      <c r="Q35" s="47" t="s">
        <v>769</v>
      </c>
      <c r="R35" s="47">
        <v>2002</v>
      </c>
      <c r="S35" s="47" t="s">
        <v>1759</v>
      </c>
      <c r="T35" s="47">
        <v>0</v>
      </c>
      <c r="U35" s="47">
        <v>1</v>
      </c>
      <c r="V35" s="7">
        <v>70001</v>
      </c>
      <c r="W35" s="7">
        <v>1</v>
      </c>
      <c r="X35" s="7">
        <v>1</v>
      </c>
      <c r="Y35" s="7">
        <v>8000</v>
      </c>
      <c r="Z35" s="7">
        <v>133</v>
      </c>
      <c r="AA35" s="7">
        <v>1</v>
      </c>
      <c r="AB35">
        <v>1001</v>
      </c>
      <c r="AC35">
        <v>100</v>
      </c>
      <c r="AD35">
        <v>1</v>
      </c>
    </row>
    <row r="36" spans="1:36" ht="42.75" customHeight="1">
      <c r="A36" s="7">
        <v>134</v>
      </c>
      <c r="B36" s="7" t="s">
        <v>1601</v>
      </c>
      <c r="C36" s="7"/>
      <c r="D36" s="94" t="s">
        <v>1760</v>
      </c>
      <c r="E36" s="7">
        <v>68</v>
      </c>
      <c r="F36" s="7"/>
      <c r="G36" s="82" t="s">
        <v>1761</v>
      </c>
      <c r="H36" s="47">
        <v>1</v>
      </c>
      <c r="I36" s="47"/>
      <c r="J36" s="83" t="s">
        <v>1655</v>
      </c>
      <c r="K36" s="47" t="s">
        <v>767</v>
      </c>
      <c r="L36" s="47">
        <v>1003</v>
      </c>
      <c r="M36" s="47" t="s">
        <v>1665</v>
      </c>
      <c r="N36" s="47"/>
      <c r="O36" s="47">
        <v>1</v>
      </c>
      <c r="P36" s="83" t="s">
        <v>1640</v>
      </c>
      <c r="Q36" s="47" t="s">
        <v>769</v>
      </c>
      <c r="R36" s="47">
        <v>2004</v>
      </c>
      <c r="S36" s="47" t="s">
        <v>1762</v>
      </c>
      <c r="T36" s="47">
        <v>0</v>
      </c>
      <c r="U36" s="47">
        <v>1</v>
      </c>
      <c r="V36" s="7">
        <v>70001</v>
      </c>
      <c r="W36" s="7">
        <v>1</v>
      </c>
      <c r="X36" s="7">
        <v>1</v>
      </c>
      <c r="Y36" s="7">
        <v>8000</v>
      </c>
      <c r="Z36" s="7">
        <v>134</v>
      </c>
      <c r="AA36" s="7">
        <v>1</v>
      </c>
      <c r="AB36">
        <v>1001</v>
      </c>
      <c r="AC36">
        <v>100</v>
      </c>
      <c r="AD36">
        <v>1</v>
      </c>
    </row>
    <row r="37" spans="1:36" ht="42.75" customHeight="1">
      <c r="A37" s="7">
        <v>135</v>
      </c>
      <c r="B37" s="7" t="s">
        <v>1601</v>
      </c>
      <c r="C37" s="7"/>
      <c r="D37" s="94" t="s">
        <v>1763</v>
      </c>
      <c r="E37" s="7">
        <v>70</v>
      </c>
      <c r="F37" s="7"/>
      <c r="G37" s="82" t="s">
        <v>1764</v>
      </c>
      <c r="H37" s="47">
        <v>1</v>
      </c>
      <c r="I37" s="47"/>
      <c r="J37" s="83" t="s">
        <v>1636</v>
      </c>
      <c r="K37" s="47" t="s">
        <v>1637</v>
      </c>
      <c r="L37" s="47" t="s">
        <v>1638</v>
      </c>
      <c r="M37" s="47" t="s">
        <v>1765</v>
      </c>
      <c r="N37" s="47">
        <v>1</v>
      </c>
      <c r="O37" s="47">
        <v>1</v>
      </c>
      <c r="P37" s="83" t="s">
        <v>1646</v>
      </c>
      <c r="Q37" s="47" t="s">
        <v>769</v>
      </c>
      <c r="R37" s="47">
        <v>2005</v>
      </c>
      <c r="S37" s="47" t="s">
        <v>1647</v>
      </c>
      <c r="T37" s="47">
        <v>0</v>
      </c>
      <c r="U37" s="47">
        <v>1</v>
      </c>
      <c r="V37" s="7">
        <v>70001</v>
      </c>
      <c r="W37" s="7">
        <v>1</v>
      </c>
      <c r="X37" s="7">
        <v>1</v>
      </c>
      <c r="Y37" s="7">
        <v>8000</v>
      </c>
      <c r="Z37" s="7">
        <v>135</v>
      </c>
      <c r="AA37" s="7">
        <v>1</v>
      </c>
      <c r="AB37">
        <v>1001</v>
      </c>
      <c r="AC37">
        <v>100</v>
      </c>
      <c r="AD37">
        <v>1</v>
      </c>
    </row>
    <row r="38" spans="1:36" ht="42.75" customHeight="1">
      <c r="A38" s="7">
        <v>136</v>
      </c>
      <c r="B38" s="7" t="s">
        <v>1601</v>
      </c>
      <c r="C38" s="7"/>
      <c r="D38" s="94" t="s">
        <v>1766</v>
      </c>
      <c r="E38" s="7">
        <v>72</v>
      </c>
      <c r="F38" s="7"/>
      <c r="G38" s="82" t="s">
        <v>1767</v>
      </c>
      <c r="H38" s="47">
        <v>1</v>
      </c>
      <c r="I38" s="47"/>
      <c r="J38" s="83" t="s">
        <v>1663</v>
      </c>
      <c r="K38" s="47" t="s">
        <v>767</v>
      </c>
      <c r="L38" s="47">
        <v>1001</v>
      </c>
      <c r="M38" s="47" t="s">
        <v>1768</v>
      </c>
      <c r="N38" s="47"/>
      <c r="O38" s="47">
        <v>1</v>
      </c>
      <c r="P38" s="83" t="s">
        <v>1651</v>
      </c>
      <c r="Q38" s="47" t="s">
        <v>769</v>
      </c>
      <c r="R38" s="47">
        <v>2002</v>
      </c>
      <c r="S38" s="47" t="s">
        <v>1769</v>
      </c>
      <c r="T38" s="47">
        <v>0</v>
      </c>
      <c r="U38" s="47">
        <v>1</v>
      </c>
      <c r="V38" s="7">
        <v>70001</v>
      </c>
      <c r="W38" s="7">
        <v>1</v>
      </c>
      <c r="X38" s="7">
        <v>1</v>
      </c>
      <c r="Y38" s="7">
        <v>8000</v>
      </c>
      <c r="Z38" s="7">
        <v>136</v>
      </c>
      <c r="AA38" s="7">
        <v>1</v>
      </c>
      <c r="AB38">
        <v>1001</v>
      </c>
      <c r="AC38">
        <v>100</v>
      </c>
      <c r="AD38">
        <v>1</v>
      </c>
    </row>
    <row r="39" spans="1:36" ht="47.25" customHeight="1">
      <c r="A39" s="95">
        <v>137</v>
      </c>
      <c r="B39" s="95" t="s">
        <v>1601</v>
      </c>
      <c r="C39" s="95"/>
      <c r="D39" s="94" t="s">
        <v>1770</v>
      </c>
      <c r="E39" s="95">
        <v>74</v>
      </c>
      <c r="F39" s="96"/>
      <c r="G39" s="97" t="s">
        <v>1771</v>
      </c>
      <c r="H39" s="98">
        <v>1</v>
      </c>
      <c r="I39" s="98"/>
      <c r="J39" s="99" t="s">
        <v>1636</v>
      </c>
      <c r="K39" s="98" t="s">
        <v>1637</v>
      </c>
      <c r="L39" s="98" t="s">
        <v>1638</v>
      </c>
      <c r="M39" s="98" t="s">
        <v>1772</v>
      </c>
      <c r="N39" s="98">
        <v>1</v>
      </c>
      <c r="O39" s="98">
        <v>1</v>
      </c>
      <c r="P39" s="99" t="s">
        <v>1640</v>
      </c>
      <c r="Q39" s="98" t="s">
        <v>769</v>
      </c>
      <c r="R39" s="98">
        <v>2004</v>
      </c>
      <c r="S39" s="98" t="s">
        <v>1639</v>
      </c>
      <c r="T39" s="98">
        <v>0</v>
      </c>
      <c r="U39" s="47">
        <v>1</v>
      </c>
      <c r="V39" s="95">
        <v>70001</v>
      </c>
      <c r="W39" s="95">
        <v>1</v>
      </c>
      <c r="X39" s="95">
        <v>1</v>
      </c>
      <c r="Y39" s="95">
        <v>8000</v>
      </c>
      <c r="Z39" s="95">
        <v>137</v>
      </c>
      <c r="AA39" s="95">
        <v>1</v>
      </c>
      <c r="AB39" s="95">
        <v>1001</v>
      </c>
      <c r="AC39" s="95">
        <v>100</v>
      </c>
      <c r="AD39" s="95">
        <v>1</v>
      </c>
      <c r="AE39" s="95"/>
      <c r="AF39" s="95"/>
      <c r="AG39" s="95"/>
      <c r="AH39" s="95"/>
      <c r="AI39" s="95"/>
      <c r="AJ39" s="95"/>
    </row>
    <row r="40" spans="1:36" ht="42.75" customHeight="1">
      <c r="A40" s="7">
        <v>138</v>
      </c>
      <c r="B40" s="7" t="s">
        <v>1601</v>
      </c>
      <c r="C40" s="7"/>
      <c r="D40" s="94" t="s">
        <v>1773</v>
      </c>
      <c r="E40" s="7">
        <v>76</v>
      </c>
      <c r="F40" s="7"/>
      <c r="G40" s="82" t="s">
        <v>1774</v>
      </c>
      <c r="H40" s="47">
        <v>1</v>
      </c>
      <c r="I40" s="47"/>
      <c r="J40" s="83" t="s">
        <v>1644</v>
      </c>
      <c r="K40" s="47" t="s">
        <v>767</v>
      </c>
      <c r="L40" s="47">
        <v>1005</v>
      </c>
      <c r="M40" s="47" t="s">
        <v>1652</v>
      </c>
      <c r="N40" s="47"/>
      <c r="O40" s="47">
        <v>1</v>
      </c>
      <c r="P40" s="83" t="s">
        <v>1646</v>
      </c>
      <c r="Q40" s="47" t="s">
        <v>769</v>
      </c>
      <c r="R40" s="47">
        <v>2005</v>
      </c>
      <c r="S40" s="47" t="s">
        <v>1708</v>
      </c>
      <c r="T40" s="47">
        <v>0</v>
      </c>
      <c r="U40" s="47">
        <v>1</v>
      </c>
      <c r="V40" s="7">
        <v>70001</v>
      </c>
      <c r="W40" s="7">
        <v>1</v>
      </c>
      <c r="X40" s="7">
        <v>1</v>
      </c>
      <c r="Y40" s="7">
        <v>8000</v>
      </c>
      <c r="Z40" s="7">
        <v>138</v>
      </c>
      <c r="AA40" s="7">
        <v>1</v>
      </c>
      <c r="AB40">
        <v>1001</v>
      </c>
      <c r="AC40">
        <v>100</v>
      </c>
      <c r="AD40">
        <v>1</v>
      </c>
    </row>
    <row r="41" spans="1:36" ht="42.75" customHeight="1">
      <c r="A41" s="7">
        <v>139</v>
      </c>
      <c r="B41" s="7" t="s">
        <v>1601</v>
      </c>
      <c r="C41" s="7"/>
      <c r="D41" s="94" t="s">
        <v>1775</v>
      </c>
      <c r="E41" s="7">
        <v>78</v>
      </c>
      <c r="F41" s="7"/>
      <c r="G41" s="82" t="s">
        <v>1776</v>
      </c>
      <c r="H41" s="47">
        <v>1</v>
      </c>
      <c r="I41" s="47"/>
      <c r="J41" s="83" t="s">
        <v>1636</v>
      </c>
      <c r="K41" s="47" t="s">
        <v>1637</v>
      </c>
      <c r="L41" s="47" t="s">
        <v>1638</v>
      </c>
      <c r="M41" s="47" t="s">
        <v>1777</v>
      </c>
      <c r="N41" s="47">
        <v>1</v>
      </c>
      <c r="O41" s="47">
        <v>1</v>
      </c>
      <c r="P41" s="83" t="s">
        <v>1651</v>
      </c>
      <c r="Q41" s="47" t="s">
        <v>769</v>
      </c>
      <c r="R41" s="47">
        <v>2002</v>
      </c>
      <c r="S41" s="47" t="s">
        <v>1665</v>
      </c>
      <c r="T41" s="47">
        <v>0</v>
      </c>
      <c r="U41" s="47">
        <v>1</v>
      </c>
      <c r="V41" s="7">
        <v>70001</v>
      </c>
      <c r="W41" s="7">
        <v>1</v>
      </c>
      <c r="X41" s="7">
        <v>1</v>
      </c>
      <c r="Y41" s="7">
        <v>8000</v>
      </c>
      <c r="Z41" s="7">
        <v>139</v>
      </c>
      <c r="AA41" s="7">
        <v>1</v>
      </c>
      <c r="AB41">
        <v>1001</v>
      </c>
      <c r="AC41">
        <v>100</v>
      </c>
      <c r="AD41">
        <v>1</v>
      </c>
    </row>
    <row r="42" spans="1:36" ht="42.75" customHeight="1">
      <c r="A42" s="7">
        <v>140</v>
      </c>
      <c r="B42" s="7" t="s">
        <v>1601</v>
      </c>
      <c r="C42" s="7"/>
      <c r="D42" s="94" t="s">
        <v>1778</v>
      </c>
      <c r="E42" s="7">
        <v>80</v>
      </c>
      <c r="F42" s="7"/>
      <c r="G42" s="82" t="s">
        <v>1779</v>
      </c>
      <c r="H42" s="47">
        <v>1</v>
      </c>
      <c r="I42" s="47"/>
      <c r="J42" s="83" t="s">
        <v>1655</v>
      </c>
      <c r="K42" s="47" t="s">
        <v>767</v>
      </c>
      <c r="L42" s="47">
        <v>1003</v>
      </c>
      <c r="M42" s="47" t="s">
        <v>1780</v>
      </c>
      <c r="N42" s="47"/>
      <c r="O42" s="47">
        <v>1</v>
      </c>
      <c r="P42" s="83" t="s">
        <v>1640</v>
      </c>
      <c r="Q42" s="47" t="s">
        <v>769</v>
      </c>
      <c r="R42" s="47">
        <v>2004</v>
      </c>
      <c r="S42" s="47" t="s">
        <v>1781</v>
      </c>
      <c r="T42" s="47">
        <v>0</v>
      </c>
      <c r="U42" s="47">
        <v>1</v>
      </c>
      <c r="V42" s="7">
        <v>70001</v>
      </c>
      <c r="W42" s="7">
        <v>1</v>
      </c>
      <c r="X42" s="7">
        <v>1</v>
      </c>
      <c r="Y42" s="7">
        <v>8000</v>
      </c>
      <c r="Z42" s="7">
        <v>140</v>
      </c>
      <c r="AA42" s="7">
        <v>1</v>
      </c>
      <c r="AB42">
        <v>1001</v>
      </c>
      <c r="AC42">
        <v>1000</v>
      </c>
      <c r="AD42">
        <v>1</v>
      </c>
    </row>
    <row r="43" spans="1:36" ht="42.75" customHeight="1">
      <c r="A43" s="7">
        <v>141</v>
      </c>
      <c r="B43" s="7" t="s">
        <v>1601</v>
      </c>
      <c r="C43" s="7"/>
      <c r="D43" s="94" t="s">
        <v>1782</v>
      </c>
      <c r="E43" s="7">
        <v>82</v>
      </c>
      <c r="F43" s="7"/>
      <c r="G43" s="82" t="s">
        <v>1783</v>
      </c>
      <c r="H43" s="47">
        <v>1</v>
      </c>
      <c r="I43" s="47"/>
      <c r="J43" s="83" t="s">
        <v>1636</v>
      </c>
      <c r="K43" s="47" t="s">
        <v>1637</v>
      </c>
      <c r="L43" s="47" t="s">
        <v>1638</v>
      </c>
      <c r="M43" s="47" t="s">
        <v>1708</v>
      </c>
      <c r="N43" s="47">
        <v>1</v>
      </c>
      <c r="O43" s="47">
        <v>1</v>
      </c>
      <c r="P43" s="83" t="s">
        <v>1646</v>
      </c>
      <c r="Q43" s="47" t="s">
        <v>769</v>
      </c>
      <c r="R43" s="47">
        <v>2005</v>
      </c>
      <c r="S43" s="47" t="s">
        <v>1647</v>
      </c>
      <c r="T43" s="47">
        <v>0</v>
      </c>
      <c r="U43" s="47">
        <v>1</v>
      </c>
      <c r="V43" s="7">
        <v>70001</v>
      </c>
      <c r="W43" s="7">
        <v>1</v>
      </c>
      <c r="X43" s="7">
        <v>1</v>
      </c>
      <c r="Y43" s="7">
        <v>8000</v>
      </c>
      <c r="Z43" s="7">
        <v>141</v>
      </c>
      <c r="AA43" s="7">
        <v>1</v>
      </c>
      <c r="AB43">
        <v>1001</v>
      </c>
      <c r="AC43">
        <v>100</v>
      </c>
      <c r="AD43">
        <v>1</v>
      </c>
    </row>
    <row r="44" spans="1:36" ht="42.75" customHeight="1">
      <c r="A44" s="7">
        <v>142</v>
      </c>
      <c r="B44" s="7" t="s">
        <v>1601</v>
      </c>
      <c r="C44" s="7"/>
      <c r="D44" s="94" t="s">
        <v>1784</v>
      </c>
      <c r="E44" s="7">
        <v>84</v>
      </c>
      <c r="F44" s="7"/>
      <c r="G44" s="82" t="s">
        <v>1785</v>
      </c>
      <c r="H44" s="47">
        <v>1</v>
      </c>
      <c r="I44" s="47"/>
      <c r="J44" s="83" t="s">
        <v>1663</v>
      </c>
      <c r="K44" s="47" t="s">
        <v>767</v>
      </c>
      <c r="L44" s="47">
        <v>1001</v>
      </c>
      <c r="M44" s="47" t="s">
        <v>1786</v>
      </c>
      <c r="N44" s="47"/>
      <c r="O44" s="47">
        <v>1</v>
      </c>
      <c r="P44" s="83" t="s">
        <v>1651</v>
      </c>
      <c r="Q44" s="47" t="s">
        <v>769</v>
      </c>
      <c r="R44" s="47">
        <v>2002</v>
      </c>
      <c r="S44" s="47" t="s">
        <v>1787</v>
      </c>
      <c r="T44" s="47">
        <v>0</v>
      </c>
      <c r="U44" s="47">
        <v>1</v>
      </c>
      <c r="V44" s="7">
        <v>70001</v>
      </c>
      <c r="W44" s="7">
        <v>1</v>
      </c>
      <c r="X44" s="7">
        <v>1</v>
      </c>
      <c r="Y44" s="7">
        <v>8000</v>
      </c>
      <c r="Z44" s="7">
        <v>142</v>
      </c>
      <c r="AA44" s="7">
        <v>1</v>
      </c>
      <c r="AB44">
        <v>1001</v>
      </c>
      <c r="AC44">
        <v>100</v>
      </c>
      <c r="AD44">
        <v>1</v>
      </c>
    </row>
    <row r="45" spans="1:36" ht="42.75" customHeight="1">
      <c r="A45" s="7">
        <v>143</v>
      </c>
      <c r="B45" s="7" t="s">
        <v>1601</v>
      </c>
      <c r="C45" s="7"/>
      <c r="D45" s="94" t="s">
        <v>1788</v>
      </c>
      <c r="E45" s="7">
        <v>86</v>
      </c>
      <c r="F45" s="7"/>
      <c r="G45" s="82" t="s">
        <v>1789</v>
      </c>
      <c r="H45" s="47">
        <v>1</v>
      </c>
      <c r="I45" s="47"/>
      <c r="J45" s="83" t="s">
        <v>1636</v>
      </c>
      <c r="K45" s="47" t="s">
        <v>1637</v>
      </c>
      <c r="L45" s="47" t="s">
        <v>1638</v>
      </c>
      <c r="M45" s="47" t="s">
        <v>1790</v>
      </c>
      <c r="N45" s="47">
        <v>1</v>
      </c>
      <c r="O45" s="47">
        <v>1</v>
      </c>
      <c r="P45" s="83" t="s">
        <v>1640</v>
      </c>
      <c r="Q45" s="47" t="s">
        <v>769</v>
      </c>
      <c r="R45" s="47">
        <v>2004</v>
      </c>
      <c r="S45" s="47" t="s">
        <v>1791</v>
      </c>
      <c r="T45" s="47">
        <v>0</v>
      </c>
      <c r="U45" s="47">
        <v>1</v>
      </c>
      <c r="V45" s="7">
        <v>70001</v>
      </c>
      <c r="W45" s="7">
        <v>1</v>
      </c>
      <c r="X45" s="7">
        <v>1</v>
      </c>
      <c r="Y45" s="7">
        <v>8000</v>
      </c>
      <c r="Z45" s="7">
        <v>143</v>
      </c>
      <c r="AA45" s="7">
        <v>1</v>
      </c>
      <c r="AB45">
        <v>1001</v>
      </c>
      <c r="AC45">
        <v>100</v>
      </c>
      <c r="AD45">
        <v>1</v>
      </c>
    </row>
    <row r="46" spans="1:36" ht="42.75" customHeight="1">
      <c r="A46" s="7">
        <v>144</v>
      </c>
      <c r="B46" s="7" t="s">
        <v>1601</v>
      </c>
      <c r="C46" s="7"/>
      <c r="D46" s="94" t="s">
        <v>1792</v>
      </c>
      <c r="E46" s="7">
        <v>88</v>
      </c>
      <c r="F46" s="7"/>
      <c r="G46" s="82" t="s">
        <v>1793</v>
      </c>
      <c r="H46" s="47">
        <v>1</v>
      </c>
      <c r="I46" s="47"/>
      <c r="J46" s="83" t="s">
        <v>1644</v>
      </c>
      <c r="K46" s="47" t="s">
        <v>767</v>
      </c>
      <c r="L46" s="47">
        <v>1005</v>
      </c>
      <c r="M46" s="47" t="s">
        <v>1639</v>
      </c>
      <c r="N46" s="47"/>
      <c r="O46" s="47">
        <v>1</v>
      </c>
      <c r="P46" s="83" t="s">
        <v>1646</v>
      </c>
      <c r="Q46" s="47" t="s">
        <v>769</v>
      </c>
      <c r="R46" s="47">
        <v>2005</v>
      </c>
      <c r="S46" s="47" t="s">
        <v>1794</v>
      </c>
      <c r="T46" s="47">
        <v>0</v>
      </c>
      <c r="U46" s="47">
        <v>1</v>
      </c>
      <c r="V46" s="7">
        <v>70001</v>
      </c>
      <c r="W46" s="7">
        <v>1</v>
      </c>
      <c r="X46" s="7">
        <v>1</v>
      </c>
      <c r="Y46" s="7">
        <v>8000</v>
      </c>
      <c r="Z46" s="7">
        <v>144</v>
      </c>
      <c r="AA46" s="7">
        <v>1</v>
      </c>
      <c r="AB46">
        <v>1001</v>
      </c>
      <c r="AC46">
        <v>100</v>
      </c>
      <c r="AD46">
        <v>1</v>
      </c>
    </row>
    <row r="47" spans="1:36" ht="42.75" customHeight="1">
      <c r="A47" s="7">
        <v>145</v>
      </c>
      <c r="B47" s="7" t="s">
        <v>1601</v>
      </c>
      <c r="C47" s="7"/>
      <c r="D47" s="94" t="s">
        <v>1795</v>
      </c>
      <c r="E47" s="7">
        <v>90</v>
      </c>
      <c r="F47" s="7"/>
      <c r="G47" s="82" t="s">
        <v>1796</v>
      </c>
      <c r="H47" s="47">
        <v>1</v>
      </c>
      <c r="I47" s="47"/>
      <c r="J47" s="83" t="s">
        <v>1636</v>
      </c>
      <c r="K47" s="47" t="s">
        <v>1637</v>
      </c>
      <c r="L47" s="47" t="s">
        <v>1638</v>
      </c>
      <c r="M47" s="47" t="s">
        <v>1704</v>
      </c>
      <c r="N47" s="47">
        <v>1</v>
      </c>
      <c r="O47" s="47">
        <v>1</v>
      </c>
      <c r="P47" s="83" t="s">
        <v>1651</v>
      </c>
      <c r="Q47" s="47" t="s">
        <v>769</v>
      </c>
      <c r="R47" s="47">
        <v>2002</v>
      </c>
      <c r="S47" s="47" t="s">
        <v>1645</v>
      </c>
      <c r="T47" s="47">
        <v>0</v>
      </c>
      <c r="U47" s="47">
        <v>1</v>
      </c>
      <c r="V47" s="7">
        <v>70001</v>
      </c>
      <c r="W47" s="7">
        <v>1</v>
      </c>
      <c r="X47" s="7">
        <v>1</v>
      </c>
      <c r="Y47" s="7">
        <v>8000</v>
      </c>
      <c r="Z47" s="7">
        <v>145</v>
      </c>
      <c r="AA47" s="7">
        <v>1</v>
      </c>
      <c r="AB47">
        <v>1001</v>
      </c>
      <c r="AC47">
        <v>100</v>
      </c>
      <c r="AD47">
        <v>1</v>
      </c>
    </row>
    <row r="48" spans="1:36" ht="42.75" customHeight="1">
      <c r="A48" s="7">
        <v>146</v>
      </c>
      <c r="B48" s="7" t="s">
        <v>1601</v>
      </c>
      <c r="C48" s="7"/>
      <c r="D48" s="94" t="s">
        <v>1797</v>
      </c>
      <c r="E48" s="7">
        <v>92</v>
      </c>
      <c r="F48" s="7"/>
      <c r="G48" s="82" t="s">
        <v>1798</v>
      </c>
      <c r="H48" s="47">
        <v>1</v>
      </c>
      <c r="I48" s="47"/>
      <c r="J48" s="83" t="s">
        <v>1655</v>
      </c>
      <c r="K48" s="47" t="s">
        <v>767</v>
      </c>
      <c r="L48" s="47">
        <v>1003</v>
      </c>
      <c r="M48" s="47" t="s">
        <v>1665</v>
      </c>
      <c r="N48" s="47"/>
      <c r="O48" s="47">
        <v>1</v>
      </c>
      <c r="P48" s="83" t="s">
        <v>1640</v>
      </c>
      <c r="Q48" s="47" t="s">
        <v>769</v>
      </c>
      <c r="R48" s="47">
        <v>2004</v>
      </c>
      <c r="S48" s="47" t="s">
        <v>1737</v>
      </c>
      <c r="T48" s="47">
        <v>0</v>
      </c>
      <c r="U48" s="47">
        <v>1</v>
      </c>
      <c r="V48" s="7">
        <v>70001</v>
      </c>
      <c r="W48" s="7">
        <v>1</v>
      </c>
      <c r="X48" s="7">
        <v>1</v>
      </c>
      <c r="Y48" s="7">
        <v>8000</v>
      </c>
      <c r="Z48" s="7">
        <v>146</v>
      </c>
      <c r="AA48" s="7">
        <v>1</v>
      </c>
      <c r="AB48">
        <v>1001</v>
      </c>
      <c r="AC48">
        <v>100</v>
      </c>
      <c r="AD48">
        <v>1</v>
      </c>
    </row>
    <row r="49" spans="1:36" ht="42.75" customHeight="1">
      <c r="A49" s="7">
        <v>147</v>
      </c>
      <c r="B49" s="7" t="s">
        <v>1601</v>
      </c>
      <c r="C49" s="7"/>
      <c r="D49" s="94" t="s">
        <v>1799</v>
      </c>
      <c r="E49" s="7">
        <v>94</v>
      </c>
      <c r="F49" s="7"/>
      <c r="G49" s="82" t="s">
        <v>1800</v>
      </c>
      <c r="H49" s="47">
        <v>1</v>
      </c>
      <c r="I49" s="47"/>
      <c r="J49" s="83" t="s">
        <v>1636</v>
      </c>
      <c r="K49" s="47" t="s">
        <v>1637</v>
      </c>
      <c r="L49" s="47" t="s">
        <v>1638</v>
      </c>
      <c r="M49" s="47" t="s">
        <v>1801</v>
      </c>
      <c r="N49" s="47">
        <v>1</v>
      </c>
      <c r="O49" s="47">
        <v>1</v>
      </c>
      <c r="P49" s="83" t="s">
        <v>1646</v>
      </c>
      <c r="Q49" s="47" t="s">
        <v>769</v>
      </c>
      <c r="R49" s="47">
        <v>2005</v>
      </c>
      <c r="S49" s="47" t="s">
        <v>1802</v>
      </c>
      <c r="T49" s="47">
        <v>0</v>
      </c>
      <c r="U49" s="47">
        <v>1</v>
      </c>
      <c r="V49" s="7">
        <v>70001</v>
      </c>
      <c r="W49" s="7">
        <v>1</v>
      </c>
      <c r="X49" s="7">
        <v>1</v>
      </c>
      <c r="Y49" s="7">
        <v>8000</v>
      </c>
      <c r="Z49" s="7">
        <v>147</v>
      </c>
      <c r="AA49" s="7">
        <v>1</v>
      </c>
      <c r="AB49">
        <v>1001</v>
      </c>
      <c r="AC49">
        <v>100</v>
      </c>
      <c r="AD49">
        <v>1</v>
      </c>
    </row>
    <row r="50" spans="1:36" ht="42.75" customHeight="1">
      <c r="A50" s="7">
        <v>148</v>
      </c>
      <c r="B50" s="7" t="s">
        <v>1601</v>
      </c>
      <c r="C50" s="7"/>
      <c r="D50" s="94" t="s">
        <v>1803</v>
      </c>
      <c r="E50" s="7">
        <v>96</v>
      </c>
      <c r="F50" s="7"/>
      <c r="G50" s="82" t="s">
        <v>1804</v>
      </c>
      <c r="H50" s="47">
        <v>1</v>
      </c>
      <c r="I50" s="47"/>
      <c r="J50" s="83" t="s">
        <v>1663</v>
      </c>
      <c r="K50" s="47" t="s">
        <v>767</v>
      </c>
      <c r="L50" s="47">
        <v>1001</v>
      </c>
      <c r="M50" s="47" t="s">
        <v>1805</v>
      </c>
      <c r="N50" s="47"/>
      <c r="O50" s="47">
        <v>1</v>
      </c>
      <c r="P50" s="83" t="s">
        <v>1651</v>
      </c>
      <c r="Q50" s="47" t="s">
        <v>769</v>
      </c>
      <c r="R50" s="47">
        <v>2002</v>
      </c>
      <c r="S50" s="47" t="s">
        <v>1712</v>
      </c>
      <c r="T50" s="47">
        <v>0</v>
      </c>
      <c r="U50" s="47">
        <v>1</v>
      </c>
      <c r="V50" s="7">
        <v>70001</v>
      </c>
      <c r="W50" s="7">
        <v>1</v>
      </c>
      <c r="X50" s="7">
        <v>1</v>
      </c>
      <c r="Y50" s="7">
        <v>8000</v>
      </c>
      <c r="Z50" s="7">
        <v>148</v>
      </c>
      <c r="AA50" s="7">
        <v>1</v>
      </c>
      <c r="AB50">
        <v>1001</v>
      </c>
      <c r="AC50">
        <v>100</v>
      </c>
      <c r="AD50">
        <v>1</v>
      </c>
    </row>
    <row r="51" spans="1:36" ht="42.75" customHeight="1">
      <c r="A51" s="7">
        <v>149</v>
      </c>
      <c r="B51" s="7" t="s">
        <v>1601</v>
      </c>
      <c r="C51" s="7"/>
      <c r="D51" s="94" t="s">
        <v>1806</v>
      </c>
      <c r="E51" s="7">
        <v>98</v>
      </c>
      <c r="F51" s="7"/>
      <c r="G51" s="82" t="s">
        <v>1807</v>
      </c>
      <c r="H51" s="47">
        <v>1</v>
      </c>
      <c r="I51" s="47"/>
      <c r="J51" s="83" t="s">
        <v>1636</v>
      </c>
      <c r="K51" s="47" t="s">
        <v>1637</v>
      </c>
      <c r="L51" s="47" t="s">
        <v>1638</v>
      </c>
      <c r="M51" s="47" t="s">
        <v>1708</v>
      </c>
      <c r="N51" s="47">
        <v>1</v>
      </c>
      <c r="O51" s="47">
        <v>1</v>
      </c>
      <c r="P51" s="83" t="s">
        <v>1640</v>
      </c>
      <c r="Q51" s="47" t="s">
        <v>769</v>
      </c>
      <c r="R51" s="47">
        <v>2004</v>
      </c>
      <c r="S51" s="47" t="s">
        <v>1808</v>
      </c>
      <c r="T51" s="47">
        <v>0</v>
      </c>
      <c r="U51" s="47">
        <v>1</v>
      </c>
      <c r="V51" s="7">
        <v>70001</v>
      </c>
      <c r="W51" s="7">
        <v>1</v>
      </c>
      <c r="X51" s="7">
        <v>1</v>
      </c>
      <c r="Y51" s="7">
        <v>8000</v>
      </c>
      <c r="Z51" s="7">
        <v>149</v>
      </c>
      <c r="AA51" s="7">
        <v>1</v>
      </c>
      <c r="AB51">
        <v>1001</v>
      </c>
      <c r="AC51">
        <v>100</v>
      </c>
      <c r="AD51">
        <v>1</v>
      </c>
    </row>
    <row r="52" spans="1:36" ht="42.75" customHeight="1">
      <c r="A52" s="7">
        <v>150</v>
      </c>
      <c r="B52" s="7" t="s">
        <v>1601</v>
      </c>
      <c r="C52" s="7"/>
      <c r="D52" s="94" t="s">
        <v>1809</v>
      </c>
      <c r="E52" s="7">
        <v>100</v>
      </c>
      <c r="F52" s="7"/>
      <c r="G52" s="82" t="s">
        <v>1810</v>
      </c>
      <c r="H52" s="47">
        <v>1</v>
      </c>
      <c r="I52" s="47"/>
      <c r="J52" s="83" t="s">
        <v>1644</v>
      </c>
      <c r="K52" s="47" t="s">
        <v>767</v>
      </c>
      <c r="L52" s="47">
        <v>1005</v>
      </c>
      <c r="M52" s="47" t="s">
        <v>1811</v>
      </c>
      <c r="N52" s="47"/>
      <c r="O52" s="47">
        <v>1</v>
      </c>
      <c r="P52" s="83" t="s">
        <v>1646</v>
      </c>
      <c r="Q52" s="47" t="s">
        <v>769</v>
      </c>
      <c r="R52" s="47">
        <v>2005</v>
      </c>
      <c r="S52" s="47" t="s">
        <v>1812</v>
      </c>
      <c r="T52" s="47">
        <v>0</v>
      </c>
      <c r="U52" s="47">
        <v>1</v>
      </c>
      <c r="V52" s="7">
        <v>70001</v>
      </c>
      <c r="W52" s="7">
        <v>1</v>
      </c>
      <c r="X52" s="7">
        <v>1</v>
      </c>
      <c r="Y52" s="7">
        <v>8000</v>
      </c>
      <c r="Z52" s="7">
        <v>150</v>
      </c>
      <c r="AA52" s="7">
        <v>1</v>
      </c>
      <c r="AB52">
        <v>1001</v>
      </c>
      <c r="AC52">
        <v>1000</v>
      </c>
      <c r="AD52">
        <v>1</v>
      </c>
    </row>
    <row r="53" spans="1:36" ht="42.75" customHeight="1">
      <c r="A53" s="7">
        <v>151</v>
      </c>
      <c r="B53" s="7" t="s">
        <v>1601</v>
      </c>
      <c r="C53" s="7"/>
      <c r="D53" s="94" t="s">
        <v>1813</v>
      </c>
      <c r="E53" s="7">
        <v>102</v>
      </c>
      <c r="F53" s="7"/>
      <c r="G53" s="82" t="s">
        <v>1814</v>
      </c>
      <c r="H53" s="47">
        <v>1</v>
      </c>
      <c r="I53" s="47"/>
      <c r="J53" s="83" t="s">
        <v>1636</v>
      </c>
      <c r="K53" s="47" t="s">
        <v>1637</v>
      </c>
      <c r="L53" s="47" t="s">
        <v>1638</v>
      </c>
      <c r="M53" s="47" t="s">
        <v>1815</v>
      </c>
      <c r="N53" s="47">
        <v>1</v>
      </c>
      <c r="O53" s="47">
        <v>1</v>
      </c>
      <c r="P53" s="83" t="s">
        <v>1651</v>
      </c>
      <c r="Q53" s="47" t="s">
        <v>769</v>
      </c>
      <c r="R53" s="47">
        <v>2002</v>
      </c>
      <c r="S53" s="47" t="s">
        <v>1816</v>
      </c>
      <c r="T53" s="47">
        <v>0</v>
      </c>
      <c r="U53" s="47">
        <v>1</v>
      </c>
      <c r="V53" s="7">
        <v>70001</v>
      </c>
      <c r="W53" s="7">
        <v>1</v>
      </c>
      <c r="X53" s="7">
        <v>1</v>
      </c>
      <c r="Y53" s="7">
        <v>8000</v>
      </c>
      <c r="Z53" s="7">
        <v>151</v>
      </c>
      <c r="AA53" s="7">
        <v>1</v>
      </c>
      <c r="AB53">
        <v>1001</v>
      </c>
      <c r="AC53">
        <v>100</v>
      </c>
      <c r="AD53">
        <v>1</v>
      </c>
    </row>
    <row r="54" spans="1:36" ht="42.75" customHeight="1">
      <c r="A54" s="7">
        <v>152</v>
      </c>
      <c r="B54" s="7" t="s">
        <v>1601</v>
      </c>
      <c r="C54" s="7"/>
      <c r="D54" s="94" t="s">
        <v>1817</v>
      </c>
      <c r="E54" s="7">
        <v>104</v>
      </c>
      <c r="F54" s="7"/>
      <c r="G54" s="82" t="s">
        <v>1818</v>
      </c>
      <c r="H54" s="47">
        <v>1</v>
      </c>
      <c r="I54" s="47"/>
      <c r="J54" s="83" t="s">
        <v>1655</v>
      </c>
      <c r="K54" s="47" t="s">
        <v>767</v>
      </c>
      <c r="L54" s="47">
        <v>1003</v>
      </c>
      <c r="M54" s="47" t="s">
        <v>1819</v>
      </c>
      <c r="N54" s="47"/>
      <c r="O54" s="47">
        <v>1</v>
      </c>
      <c r="P54" s="83" t="s">
        <v>1640</v>
      </c>
      <c r="Q54" s="47" t="s">
        <v>769</v>
      </c>
      <c r="R54" s="47">
        <v>2004</v>
      </c>
      <c r="S54" s="47" t="s">
        <v>1820</v>
      </c>
      <c r="T54" s="47">
        <v>0</v>
      </c>
      <c r="U54" s="47">
        <v>1</v>
      </c>
      <c r="V54" s="7">
        <v>70001</v>
      </c>
      <c r="W54" s="7">
        <v>1</v>
      </c>
      <c r="X54" s="7">
        <v>1</v>
      </c>
      <c r="Y54" s="7">
        <v>8000</v>
      </c>
      <c r="Z54" s="7">
        <v>152</v>
      </c>
      <c r="AA54" s="7">
        <v>1</v>
      </c>
      <c r="AB54">
        <v>1001</v>
      </c>
      <c r="AC54">
        <v>100</v>
      </c>
      <c r="AD54">
        <v>1</v>
      </c>
    </row>
    <row r="55" spans="1:36" ht="42.75" customHeight="1">
      <c r="A55" s="7">
        <v>153</v>
      </c>
      <c r="B55" s="7" t="s">
        <v>1601</v>
      </c>
      <c r="C55" s="7"/>
      <c r="D55" s="94" t="s">
        <v>1821</v>
      </c>
      <c r="E55" s="7">
        <v>106</v>
      </c>
      <c r="F55" s="7"/>
      <c r="G55" s="82" t="s">
        <v>1822</v>
      </c>
      <c r="H55" s="47">
        <v>1</v>
      </c>
      <c r="I55" s="47"/>
      <c r="J55" s="83" t="s">
        <v>1636</v>
      </c>
      <c r="K55" s="47" t="s">
        <v>1637</v>
      </c>
      <c r="L55" s="47" t="s">
        <v>1638</v>
      </c>
      <c r="M55" s="47" t="s">
        <v>1823</v>
      </c>
      <c r="N55" s="47">
        <v>1</v>
      </c>
      <c r="O55" s="47">
        <v>1</v>
      </c>
      <c r="P55" s="83" t="s">
        <v>1646</v>
      </c>
      <c r="Q55" s="47" t="s">
        <v>769</v>
      </c>
      <c r="R55" s="47">
        <v>2005</v>
      </c>
      <c r="S55" s="47" t="s">
        <v>1824</v>
      </c>
      <c r="T55" s="47">
        <v>0</v>
      </c>
      <c r="U55" s="47">
        <v>1</v>
      </c>
      <c r="V55" s="7">
        <v>70001</v>
      </c>
      <c r="W55" s="7">
        <v>1</v>
      </c>
      <c r="X55" s="7">
        <v>1</v>
      </c>
      <c r="Y55" s="7">
        <v>8000</v>
      </c>
      <c r="Z55" s="7">
        <v>153</v>
      </c>
      <c r="AA55" s="7">
        <v>1</v>
      </c>
      <c r="AB55">
        <v>1001</v>
      </c>
      <c r="AC55">
        <v>100</v>
      </c>
      <c r="AD55">
        <v>1</v>
      </c>
    </row>
    <row r="56" spans="1:36" ht="42.75" customHeight="1">
      <c r="A56" s="7">
        <v>154</v>
      </c>
      <c r="B56" s="7" t="s">
        <v>1601</v>
      </c>
      <c r="C56" s="7"/>
      <c r="D56" s="94" t="s">
        <v>1825</v>
      </c>
      <c r="E56" s="7">
        <v>108</v>
      </c>
      <c r="F56" s="7"/>
      <c r="G56" s="82" t="s">
        <v>1826</v>
      </c>
      <c r="H56" s="47">
        <v>1</v>
      </c>
      <c r="I56" s="47"/>
      <c r="J56" s="83" t="s">
        <v>1663</v>
      </c>
      <c r="K56" s="47" t="s">
        <v>767</v>
      </c>
      <c r="L56" s="47">
        <v>1001</v>
      </c>
      <c r="M56" s="47" t="s">
        <v>1827</v>
      </c>
      <c r="N56" s="47"/>
      <c r="O56" s="47">
        <v>1</v>
      </c>
      <c r="P56" s="83" t="s">
        <v>1651</v>
      </c>
      <c r="Q56" s="47" t="s">
        <v>769</v>
      </c>
      <c r="R56" s="47">
        <v>2002</v>
      </c>
      <c r="S56" s="47" t="s">
        <v>1823</v>
      </c>
      <c r="T56" s="47">
        <v>0</v>
      </c>
      <c r="U56" s="47">
        <v>1</v>
      </c>
      <c r="V56" s="7">
        <v>70001</v>
      </c>
      <c r="W56" s="7">
        <v>1</v>
      </c>
      <c r="X56" s="7">
        <v>1</v>
      </c>
      <c r="Y56" s="7">
        <v>8000</v>
      </c>
      <c r="Z56" s="7">
        <v>154</v>
      </c>
      <c r="AA56" s="7">
        <v>1</v>
      </c>
      <c r="AB56">
        <v>1001</v>
      </c>
      <c r="AC56">
        <v>100</v>
      </c>
      <c r="AD56">
        <v>1</v>
      </c>
    </row>
    <row r="57" spans="1:36" ht="42.75" customHeight="1">
      <c r="A57" s="7">
        <v>155</v>
      </c>
      <c r="B57" s="7" t="s">
        <v>1601</v>
      </c>
      <c r="C57" s="7"/>
      <c r="D57" s="94" t="s">
        <v>1828</v>
      </c>
      <c r="E57" s="7">
        <v>110</v>
      </c>
      <c r="F57" s="7"/>
      <c r="G57" s="82" t="s">
        <v>1829</v>
      </c>
      <c r="H57" s="47">
        <v>1</v>
      </c>
      <c r="I57" s="47"/>
      <c r="J57" s="83" t="s">
        <v>1636</v>
      </c>
      <c r="K57" s="47" t="s">
        <v>1637</v>
      </c>
      <c r="L57" s="47" t="s">
        <v>1638</v>
      </c>
      <c r="M57" s="47" t="s">
        <v>1726</v>
      </c>
      <c r="N57" s="47">
        <v>1</v>
      </c>
      <c r="O57" s="47">
        <v>1</v>
      </c>
      <c r="P57" s="83" t="s">
        <v>1640</v>
      </c>
      <c r="Q57" s="47" t="s">
        <v>769</v>
      </c>
      <c r="R57" s="47">
        <v>2004</v>
      </c>
      <c r="S57" s="47" t="s">
        <v>1639</v>
      </c>
      <c r="T57" s="47">
        <v>0</v>
      </c>
      <c r="U57" s="47">
        <v>1</v>
      </c>
      <c r="V57" s="7">
        <v>70001</v>
      </c>
      <c r="W57" s="7">
        <v>1</v>
      </c>
      <c r="X57" s="7">
        <v>1</v>
      </c>
      <c r="Y57" s="7">
        <v>8000</v>
      </c>
      <c r="Z57" s="7">
        <v>155</v>
      </c>
      <c r="AA57" s="7">
        <v>1</v>
      </c>
      <c r="AB57">
        <v>1001</v>
      </c>
      <c r="AC57">
        <v>100</v>
      </c>
      <c r="AD57">
        <v>1</v>
      </c>
    </row>
    <row r="58" spans="1:36" ht="42.75" customHeight="1">
      <c r="A58" s="7">
        <v>156</v>
      </c>
      <c r="B58" s="7" t="s">
        <v>1601</v>
      </c>
      <c r="C58" s="7"/>
      <c r="D58" s="94" t="s">
        <v>1830</v>
      </c>
      <c r="E58" s="7">
        <v>112</v>
      </c>
      <c r="F58" s="7"/>
      <c r="G58" s="82" t="s">
        <v>1831</v>
      </c>
      <c r="H58" s="47">
        <v>1</v>
      </c>
      <c r="I58" s="47"/>
      <c r="J58" s="83" t="s">
        <v>1644</v>
      </c>
      <c r="K58" s="47" t="s">
        <v>767</v>
      </c>
      <c r="L58" s="47">
        <v>1005</v>
      </c>
      <c r="M58" s="47" t="s">
        <v>1832</v>
      </c>
      <c r="N58" s="47"/>
      <c r="O58" s="47">
        <v>1</v>
      </c>
      <c r="P58" s="83" t="s">
        <v>1646</v>
      </c>
      <c r="Q58" s="47" t="s">
        <v>769</v>
      </c>
      <c r="R58" s="47">
        <v>2005</v>
      </c>
      <c r="S58" s="47" t="s">
        <v>1833</v>
      </c>
      <c r="T58" s="47">
        <v>0</v>
      </c>
      <c r="U58" s="47">
        <v>1</v>
      </c>
      <c r="V58" s="7">
        <v>70001</v>
      </c>
      <c r="W58" s="7">
        <v>1</v>
      </c>
      <c r="X58" s="7">
        <v>1</v>
      </c>
      <c r="Y58" s="7">
        <v>8000</v>
      </c>
      <c r="Z58" s="7">
        <v>156</v>
      </c>
      <c r="AA58" s="7">
        <v>1</v>
      </c>
      <c r="AB58">
        <v>1001</v>
      </c>
      <c r="AC58">
        <v>100</v>
      </c>
      <c r="AD58">
        <v>1</v>
      </c>
    </row>
    <row r="59" spans="1:36" ht="47.25" customHeight="1">
      <c r="A59" s="100">
        <v>157</v>
      </c>
      <c r="B59" s="100" t="s">
        <v>1601</v>
      </c>
      <c r="C59" s="100"/>
      <c r="D59" s="94" t="s">
        <v>1834</v>
      </c>
      <c r="E59" s="100">
        <v>114</v>
      </c>
      <c r="F59" s="101"/>
      <c r="G59" s="102" t="s">
        <v>1835</v>
      </c>
      <c r="H59" s="103">
        <v>1</v>
      </c>
      <c r="I59" s="103"/>
      <c r="J59" s="83" t="s">
        <v>1636</v>
      </c>
      <c r="K59" s="103" t="s">
        <v>1637</v>
      </c>
      <c r="L59" s="103" t="s">
        <v>1638</v>
      </c>
      <c r="M59" s="103" t="s">
        <v>1665</v>
      </c>
      <c r="N59" s="103">
        <v>1</v>
      </c>
      <c r="O59" s="103">
        <v>1</v>
      </c>
      <c r="P59" s="104" t="s">
        <v>1651</v>
      </c>
      <c r="Q59" s="103" t="s">
        <v>769</v>
      </c>
      <c r="R59" s="47">
        <v>2002</v>
      </c>
      <c r="S59" s="47" t="s">
        <v>1836</v>
      </c>
      <c r="T59" s="103">
        <v>0</v>
      </c>
      <c r="U59" s="47">
        <v>1</v>
      </c>
      <c r="V59" s="100">
        <v>70001</v>
      </c>
      <c r="W59" s="100">
        <v>1</v>
      </c>
      <c r="X59" s="100">
        <v>1</v>
      </c>
      <c r="Y59" s="100">
        <v>8000</v>
      </c>
      <c r="Z59" s="100">
        <v>157</v>
      </c>
      <c r="AA59" s="100">
        <v>1</v>
      </c>
      <c r="AB59" s="100">
        <v>1001</v>
      </c>
      <c r="AC59" s="100">
        <v>100</v>
      </c>
      <c r="AD59" s="100">
        <v>1</v>
      </c>
      <c r="AE59" s="100"/>
      <c r="AF59" s="100"/>
      <c r="AG59" s="100"/>
      <c r="AH59" s="100"/>
      <c r="AI59" s="100"/>
      <c r="AJ59" s="100"/>
    </row>
    <row r="60" spans="1:36" ht="42.75" customHeight="1">
      <c r="A60" s="7">
        <v>158</v>
      </c>
      <c r="B60" s="7" t="s">
        <v>1601</v>
      </c>
      <c r="C60" s="7"/>
      <c r="D60" s="94" t="s">
        <v>1837</v>
      </c>
      <c r="E60" s="7">
        <v>116</v>
      </c>
      <c r="F60" s="7"/>
      <c r="G60" s="82" t="s">
        <v>1838</v>
      </c>
      <c r="H60" s="47">
        <v>1</v>
      </c>
      <c r="I60" s="47"/>
      <c r="J60" s="83" t="s">
        <v>1655</v>
      </c>
      <c r="K60" s="47" t="s">
        <v>767</v>
      </c>
      <c r="L60" s="47">
        <v>1003</v>
      </c>
      <c r="M60" s="47" t="s">
        <v>1839</v>
      </c>
      <c r="N60" s="47"/>
      <c r="O60" s="47">
        <v>1</v>
      </c>
      <c r="P60" s="83" t="s">
        <v>1640</v>
      </c>
      <c r="Q60" s="47" t="s">
        <v>769</v>
      </c>
      <c r="R60" s="47">
        <v>2004</v>
      </c>
      <c r="S60" s="47" t="s">
        <v>1726</v>
      </c>
      <c r="T60" s="47">
        <v>0</v>
      </c>
      <c r="U60" s="47">
        <v>1</v>
      </c>
      <c r="V60" s="7">
        <v>70001</v>
      </c>
      <c r="W60" s="7">
        <v>1</v>
      </c>
      <c r="X60" s="7">
        <v>1</v>
      </c>
      <c r="Y60" s="7">
        <v>8000</v>
      </c>
      <c r="Z60" s="7">
        <v>158</v>
      </c>
      <c r="AA60" s="7">
        <v>1</v>
      </c>
      <c r="AB60">
        <v>1001</v>
      </c>
      <c r="AC60">
        <v>100</v>
      </c>
      <c r="AD60">
        <v>1</v>
      </c>
    </row>
    <row r="61" spans="1:36" ht="42.75" customHeight="1">
      <c r="A61" s="7">
        <v>159</v>
      </c>
      <c r="B61" s="7" t="s">
        <v>1601</v>
      </c>
      <c r="C61" s="7"/>
      <c r="D61" s="94" t="s">
        <v>1840</v>
      </c>
      <c r="E61" s="7">
        <v>118</v>
      </c>
      <c r="F61" s="7"/>
      <c r="G61" s="82" t="s">
        <v>1841</v>
      </c>
      <c r="H61" s="47">
        <v>1</v>
      </c>
      <c r="I61" s="47"/>
      <c r="J61" s="83" t="s">
        <v>1636</v>
      </c>
      <c r="K61" s="47" t="s">
        <v>1637</v>
      </c>
      <c r="L61" s="47" t="s">
        <v>1638</v>
      </c>
      <c r="M61" s="47" t="s">
        <v>1824</v>
      </c>
      <c r="N61" s="47">
        <v>1</v>
      </c>
      <c r="O61" s="47">
        <v>1</v>
      </c>
      <c r="P61" s="83" t="s">
        <v>1646</v>
      </c>
      <c r="Q61" s="47" t="s">
        <v>769</v>
      </c>
      <c r="R61" s="47">
        <v>2005</v>
      </c>
      <c r="S61" s="47" t="s">
        <v>1842</v>
      </c>
      <c r="T61" s="47">
        <v>0</v>
      </c>
      <c r="U61" s="47">
        <v>1</v>
      </c>
      <c r="V61" s="7">
        <v>70001</v>
      </c>
      <c r="W61" s="7">
        <v>1</v>
      </c>
      <c r="X61" s="7">
        <v>1</v>
      </c>
      <c r="Y61" s="7">
        <v>8000</v>
      </c>
      <c r="Z61" s="7">
        <v>159</v>
      </c>
      <c r="AA61" s="7">
        <v>1</v>
      </c>
      <c r="AB61">
        <v>1001</v>
      </c>
      <c r="AC61">
        <v>100</v>
      </c>
      <c r="AD61">
        <v>1</v>
      </c>
    </row>
    <row r="62" spans="1:36" ht="42.75" customHeight="1">
      <c r="A62" s="7">
        <v>160</v>
      </c>
      <c r="B62" s="7" t="s">
        <v>1601</v>
      </c>
      <c r="C62" s="7"/>
      <c r="D62" s="94" t="s">
        <v>1843</v>
      </c>
      <c r="E62" s="7">
        <v>120</v>
      </c>
      <c r="F62" s="7"/>
      <c r="G62" s="82" t="s">
        <v>1844</v>
      </c>
      <c r="H62" s="47">
        <v>1</v>
      </c>
      <c r="I62" s="47"/>
      <c r="J62" s="83" t="s">
        <v>1663</v>
      </c>
      <c r="K62" s="47" t="s">
        <v>767</v>
      </c>
      <c r="L62" s="47">
        <v>1001</v>
      </c>
      <c r="M62" s="47" t="s">
        <v>1759</v>
      </c>
      <c r="N62" s="47"/>
      <c r="O62" s="47">
        <v>1</v>
      </c>
      <c r="P62" s="83" t="s">
        <v>1651</v>
      </c>
      <c r="Q62" s="47" t="s">
        <v>769</v>
      </c>
      <c r="R62" s="47">
        <v>2002</v>
      </c>
      <c r="S62" s="47" t="s">
        <v>1845</v>
      </c>
      <c r="T62" s="47">
        <v>0</v>
      </c>
      <c r="U62" s="47">
        <v>1</v>
      </c>
      <c r="V62" s="7">
        <v>70001</v>
      </c>
      <c r="W62" s="7">
        <v>1</v>
      </c>
      <c r="X62" s="7">
        <v>1</v>
      </c>
      <c r="Y62" s="7">
        <v>8000</v>
      </c>
      <c r="Z62" s="7">
        <v>160</v>
      </c>
      <c r="AA62" s="7">
        <v>1</v>
      </c>
      <c r="AB62">
        <v>1001</v>
      </c>
      <c r="AC62">
        <v>1000</v>
      </c>
      <c r="AD62">
        <v>1</v>
      </c>
    </row>
    <row r="63" spans="1:36" ht="42.75" customHeight="1">
      <c r="A63" s="7">
        <v>161</v>
      </c>
      <c r="B63" s="7" t="s">
        <v>1601</v>
      </c>
      <c r="C63" s="7"/>
      <c r="D63" s="94" t="s">
        <v>1846</v>
      </c>
      <c r="E63" s="7">
        <v>122</v>
      </c>
      <c r="F63" s="7"/>
      <c r="G63" s="82" t="s">
        <v>1847</v>
      </c>
      <c r="H63" s="47">
        <v>1</v>
      </c>
      <c r="I63" s="47"/>
      <c r="J63" s="83" t="s">
        <v>1636</v>
      </c>
      <c r="K63" s="47" t="s">
        <v>1637</v>
      </c>
      <c r="L63" s="47" t="s">
        <v>1638</v>
      </c>
      <c r="M63" s="47" t="s">
        <v>1848</v>
      </c>
      <c r="N63" s="47">
        <v>1</v>
      </c>
      <c r="O63" s="47">
        <v>1</v>
      </c>
      <c r="P63" s="83" t="s">
        <v>1640</v>
      </c>
      <c r="Q63" s="47" t="s">
        <v>769</v>
      </c>
      <c r="R63" s="47">
        <v>2004</v>
      </c>
      <c r="S63" s="47" t="s">
        <v>1849</v>
      </c>
      <c r="T63" s="47">
        <v>0</v>
      </c>
      <c r="U63" s="47">
        <v>1</v>
      </c>
      <c r="V63" s="7">
        <v>70001</v>
      </c>
      <c r="W63" s="7">
        <v>1</v>
      </c>
      <c r="X63" s="7">
        <v>1</v>
      </c>
      <c r="Y63" s="7">
        <v>8000</v>
      </c>
      <c r="Z63" s="7">
        <v>161</v>
      </c>
      <c r="AA63" s="7">
        <v>1</v>
      </c>
      <c r="AB63">
        <v>1001</v>
      </c>
      <c r="AC63">
        <v>100</v>
      </c>
      <c r="AD63">
        <v>1</v>
      </c>
    </row>
    <row r="64" spans="1:36" ht="42.75" customHeight="1">
      <c r="A64" s="7">
        <v>162</v>
      </c>
      <c r="B64" s="7" t="s">
        <v>1601</v>
      </c>
      <c r="C64" s="7"/>
      <c r="D64" s="94" t="s">
        <v>1850</v>
      </c>
      <c r="E64" s="7">
        <v>124</v>
      </c>
      <c r="F64" s="7"/>
      <c r="G64" s="82" t="s">
        <v>1851</v>
      </c>
      <c r="H64" s="47">
        <v>1</v>
      </c>
      <c r="I64" s="47"/>
      <c r="J64" s="83" t="s">
        <v>1644</v>
      </c>
      <c r="K64" s="47" t="s">
        <v>767</v>
      </c>
      <c r="L64" s="47">
        <v>1005</v>
      </c>
      <c r="M64" s="47" t="s">
        <v>1852</v>
      </c>
      <c r="N64" s="47"/>
      <c r="O64" s="47">
        <v>1</v>
      </c>
      <c r="P64" s="83" t="s">
        <v>1646</v>
      </c>
      <c r="Q64" s="47" t="s">
        <v>769</v>
      </c>
      <c r="R64" s="47">
        <v>2005</v>
      </c>
      <c r="S64" s="47" t="s">
        <v>1737</v>
      </c>
      <c r="T64" s="47">
        <v>0</v>
      </c>
      <c r="U64" s="47">
        <v>1</v>
      </c>
      <c r="V64" s="7">
        <v>70001</v>
      </c>
      <c r="W64" s="7">
        <v>1</v>
      </c>
      <c r="X64" s="7">
        <v>1</v>
      </c>
      <c r="Y64" s="7">
        <v>8000</v>
      </c>
      <c r="Z64" s="7">
        <v>162</v>
      </c>
      <c r="AA64" s="7">
        <v>1</v>
      </c>
      <c r="AB64">
        <v>1001</v>
      </c>
      <c r="AC64">
        <v>100</v>
      </c>
      <c r="AD64">
        <v>1</v>
      </c>
    </row>
    <row r="65" spans="1:30" ht="42.75" customHeight="1">
      <c r="A65" s="7">
        <v>163</v>
      </c>
      <c r="B65" s="7" t="s">
        <v>1601</v>
      </c>
      <c r="C65" s="7"/>
      <c r="D65" s="94" t="s">
        <v>1853</v>
      </c>
      <c r="E65" s="7">
        <v>126</v>
      </c>
      <c r="F65" s="7"/>
      <c r="G65" s="82" t="s">
        <v>1854</v>
      </c>
      <c r="H65" s="47">
        <v>1</v>
      </c>
      <c r="I65" s="47"/>
      <c r="J65" s="83" t="s">
        <v>1636</v>
      </c>
      <c r="K65" s="47" t="s">
        <v>1637</v>
      </c>
      <c r="L65" s="47" t="s">
        <v>1638</v>
      </c>
      <c r="M65" s="47" t="s">
        <v>1645</v>
      </c>
      <c r="N65" s="47">
        <v>1</v>
      </c>
      <c r="O65" s="47">
        <v>1</v>
      </c>
      <c r="P65" s="83" t="s">
        <v>1651</v>
      </c>
      <c r="Q65" s="47" t="s">
        <v>769</v>
      </c>
      <c r="R65" s="47">
        <v>2002</v>
      </c>
      <c r="S65" s="47" t="s">
        <v>1855</v>
      </c>
      <c r="T65" s="47">
        <v>0</v>
      </c>
      <c r="U65" s="47">
        <v>1</v>
      </c>
      <c r="V65" s="7">
        <v>70001</v>
      </c>
      <c r="W65" s="7">
        <v>1</v>
      </c>
      <c r="X65" s="7">
        <v>1</v>
      </c>
      <c r="Y65" s="7">
        <v>8000</v>
      </c>
      <c r="Z65" s="7">
        <v>163</v>
      </c>
      <c r="AA65" s="7">
        <v>1</v>
      </c>
      <c r="AB65">
        <v>1001</v>
      </c>
      <c r="AC65">
        <v>100</v>
      </c>
      <c r="AD65">
        <v>1</v>
      </c>
    </row>
    <row r="66" spans="1:30" ht="42.75" customHeight="1">
      <c r="A66" s="7">
        <v>164</v>
      </c>
      <c r="B66" s="7" t="s">
        <v>1601</v>
      </c>
      <c r="C66" s="7"/>
      <c r="D66" s="94" t="s">
        <v>1856</v>
      </c>
      <c r="E66" s="7">
        <v>128</v>
      </c>
      <c r="F66" s="7"/>
      <c r="G66" s="82" t="s">
        <v>1857</v>
      </c>
      <c r="H66" s="47">
        <v>1</v>
      </c>
      <c r="I66" s="47"/>
      <c r="J66" s="83" t="s">
        <v>1655</v>
      </c>
      <c r="K66" s="47" t="s">
        <v>767</v>
      </c>
      <c r="L66" s="47">
        <v>1003</v>
      </c>
      <c r="M66" s="47" t="s">
        <v>1858</v>
      </c>
      <c r="N66" s="47"/>
      <c r="O66" s="47">
        <v>1</v>
      </c>
      <c r="P66" s="83" t="s">
        <v>1640</v>
      </c>
      <c r="Q66" s="47" t="s">
        <v>769</v>
      </c>
      <c r="R66" s="47">
        <v>2004</v>
      </c>
      <c r="S66" s="47" t="s">
        <v>1769</v>
      </c>
      <c r="T66" s="47">
        <v>0</v>
      </c>
      <c r="U66" s="47">
        <v>1</v>
      </c>
      <c r="V66" s="7">
        <v>70001</v>
      </c>
      <c r="W66" s="7">
        <v>1</v>
      </c>
      <c r="X66" s="7">
        <v>1</v>
      </c>
      <c r="Y66" s="7">
        <v>8000</v>
      </c>
      <c r="Z66" s="7">
        <v>164</v>
      </c>
      <c r="AA66" s="7">
        <v>1</v>
      </c>
      <c r="AB66">
        <v>1001</v>
      </c>
      <c r="AC66">
        <v>100</v>
      </c>
      <c r="AD66">
        <v>1</v>
      </c>
    </row>
    <row r="67" spans="1:30" ht="42.75" customHeight="1">
      <c r="A67" s="7">
        <v>165</v>
      </c>
      <c r="B67" s="7" t="s">
        <v>1601</v>
      </c>
      <c r="C67" s="7"/>
      <c r="D67" s="94" t="s">
        <v>1859</v>
      </c>
      <c r="E67" s="7">
        <v>130</v>
      </c>
      <c r="F67" s="7"/>
      <c r="G67" s="82" t="s">
        <v>1860</v>
      </c>
      <c r="H67" s="47">
        <v>1</v>
      </c>
      <c r="I67" s="47"/>
      <c r="J67" s="83" t="s">
        <v>1636</v>
      </c>
      <c r="K67" s="47" t="s">
        <v>1637</v>
      </c>
      <c r="L67" s="47" t="s">
        <v>1638</v>
      </c>
      <c r="M67" s="47" t="s">
        <v>1684</v>
      </c>
      <c r="N67" s="47">
        <v>1</v>
      </c>
      <c r="O67" s="47">
        <v>1</v>
      </c>
      <c r="P67" s="83" t="s">
        <v>1646</v>
      </c>
      <c r="Q67" s="47" t="s">
        <v>769</v>
      </c>
      <c r="R67" s="47">
        <v>2005</v>
      </c>
      <c r="S67" s="47" t="s">
        <v>1704</v>
      </c>
      <c r="T67" s="47">
        <v>0</v>
      </c>
      <c r="U67" s="47">
        <v>1</v>
      </c>
      <c r="V67" s="7">
        <v>70001</v>
      </c>
      <c r="W67" s="7">
        <v>1</v>
      </c>
      <c r="X67" s="7">
        <v>1</v>
      </c>
      <c r="Y67" s="7">
        <v>8000</v>
      </c>
      <c r="Z67" s="7">
        <v>165</v>
      </c>
      <c r="AA67" s="7">
        <v>1</v>
      </c>
      <c r="AB67">
        <v>1001</v>
      </c>
      <c r="AC67">
        <v>100</v>
      </c>
      <c r="AD67">
        <v>1</v>
      </c>
    </row>
    <row r="68" spans="1:30" ht="42.75" customHeight="1">
      <c r="A68" s="7">
        <v>166</v>
      </c>
      <c r="B68" s="7" t="s">
        <v>1601</v>
      </c>
      <c r="C68" s="7"/>
      <c r="D68" s="94" t="s">
        <v>1861</v>
      </c>
      <c r="E68" s="7">
        <v>132</v>
      </c>
      <c r="F68" s="7"/>
      <c r="G68" s="82" t="s">
        <v>1862</v>
      </c>
      <c r="H68" s="47">
        <v>1</v>
      </c>
      <c r="I68" s="47"/>
      <c r="J68" s="83" t="s">
        <v>1663</v>
      </c>
      <c r="K68" s="47" t="s">
        <v>767</v>
      </c>
      <c r="L68" s="47">
        <v>1001</v>
      </c>
      <c r="M68" s="47" t="s">
        <v>1863</v>
      </c>
      <c r="N68" s="47"/>
      <c r="O68" s="47">
        <v>1</v>
      </c>
      <c r="P68" s="83" t="s">
        <v>1651</v>
      </c>
      <c r="Q68" s="47" t="s">
        <v>769</v>
      </c>
      <c r="R68" s="47">
        <v>2002</v>
      </c>
      <c r="S68" s="47" t="s">
        <v>1864</v>
      </c>
      <c r="T68" s="47">
        <v>0</v>
      </c>
      <c r="U68" s="47">
        <v>1</v>
      </c>
      <c r="V68" s="7">
        <v>70001</v>
      </c>
      <c r="W68" s="7">
        <v>1</v>
      </c>
      <c r="X68" s="7">
        <v>1</v>
      </c>
      <c r="Y68" s="7">
        <v>8000</v>
      </c>
      <c r="Z68" s="7">
        <v>166</v>
      </c>
      <c r="AA68" s="7">
        <v>1</v>
      </c>
      <c r="AB68">
        <v>1001</v>
      </c>
      <c r="AC68">
        <v>100</v>
      </c>
      <c r="AD68">
        <v>1</v>
      </c>
    </row>
    <row r="69" spans="1:30" ht="42.75" customHeight="1">
      <c r="A69" s="7">
        <v>167</v>
      </c>
      <c r="B69" s="7" t="s">
        <v>1601</v>
      </c>
      <c r="C69" s="7"/>
      <c r="D69" s="94" t="s">
        <v>1865</v>
      </c>
      <c r="E69" s="7">
        <v>134</v>
      </c>
      <c r="F69" s="7"/>
      <c r="G69" s="82" t="s">
        <v>1866</v>
      </c>
      <c r="H69" s="47">
        <v>1</v>
      </c>
      <c r="I69" s="47"/>
      <c r="J69" s="83" t="s">
        <v>1636</v>
      </c>
      <c r="K69" s="47" t="s">
        <v>1637</v>
      </c>
      <c r="L69" s="47" t="s">
        <v>1638</v>
      </c>
      <c r="M69" s="47" t="s">
        <v>1867</v>
      </c>
      <c r="N69" s="47">
        <v>1</v>
      </c>
      <c r="O69" s="47">
        <v>1</v>
      </c>
      <c r="P69" s="83" t="s">
        <v>1640</v>
      </c>
      <c r="Q69" s="47" t="s">
        <v>769</v>
      </c>
      <c r="R69" s="47">
        <v>2004</v>
      </c>
      <c r="S69" s="47" t="s">
        <v>1733</v>
      </c>
      <c r="T69" s="47">
        <v>0</v>
      </c>
      <c r="U69" s="47">
        <v>1</v>
      </c>
      <c r="V69" s="7">
        <v>70001</v>
      </c>
      <c r="W69" s="7">
        <v>1</v>
      </c>
      <c r="X69" s="7">
        <v>1</v>
      </c>
      <c r="Y69" s="7">
        <v>8000</v>
      </c>
      <c r="Z69" s="7">
        <v>167</v>
      </c>
      <c r="AA69" s="7">
        <v>1</v>
      </c>
      <c r="AB69">
        <v>1001</v>
      </c>
      <c r="AC69">
        <v>100</v>
      </c>
      <c r="AD69">
        <v>1</v>
      </c>
    </row>
    <row r="70" spans="1:30" ht="42.75" customHeight="1">
      <c r="A70" s="7">
        <v>168</v>
      </c>
      <c r="B70" s="7" t="s">
        <v>1601</v>
      </c>
      <c r="C70" s="7"/>
      <c r="D70" s="94" t="s">
        <v>1868</v>
      </c>
      <c r="E70" s="7">
        <v>136</v>
      </c>
      <c r="F70" s="7"/>
      <c r="G70" s="82" t="s">
        <v>1869</v>
      </c>
      <c r="H70" s="47">
        <v>1</v>
      </c>
      <c r="I70" s="47"/>
      <c r="J70" s="83" t="s">
        <v>1644</v>
      </c>
      <c r="K70" s="47" t="s">
        <v>767</v>
      </c>
      <c r="L70" s="47">
        <v>1005</v>
      </c>
      <c r="M70" s="47" t="s">
        <v>1729</v>
      </c>
      <c r="N70" s="47"/>
      <c r="O70" s="47">
        <v>1</v>
      </c>
      <c r="P70" s="83" t="s">
        <v>1646</v>
      </c>
      <c r="Q70" s="47" t="s">
        <v>769</v>
      </c>
      <c r="R70" s="47">
        <v>2005</v>
      </c>
      <c r="S70" s="47" t="s">
        <v>1870</v>
      </c>
      <c r="T70" s="47">
        <v>0</v>
      </c>
      <c r="U70" s="47">
        <v>1</v>
      </c>
      <c r="V70" s="7">
        <v>70001</v>
      </c>
      <c r="W70" s="7">
        <v>1</v>
      </c>
      <c r="X70" s="7">
        <v>1</v>
      </c>
      <c r="Y70" s="7">
        <v>8000</v>
      </c>
      <c r="Z70" s="7">
        <v>168</v>
      </c>
      <c r="AA70" s="7">
        <v>1</v>
      </c>
      <c r="AB70">
        <v>1001</v>
      </c>
      <c r="AC70">
        <v>100</v>
      </c>
      <c r="AD70">
        <v>1</v>
      </c>
    </row>
    <row r="71" spans="1:30" ht="42.75" customHeight="1">
      <c r="A71" s="7">
        <v>169</v>
      </c>
      <c r="B71" s="7" t="s">
        <v>1601</v>
      </c>
      <c r="C71" s="7"/>
      <c r="D71" s="94" t="s">
        <v>1871</v>
      </c>
      <c r="E71" s="7">
        <v>138</v>
      </c>
      <c r="F71" s="7"/>
      <c r="G71" s="82" t="s">
        <v>1872</v>
      </c>
      <c r="H71" s="47">
        <v>1</v>
      </c>
      <c r="I71" s="47"/>
      <c r="J71" s="83" t="s">
        <v>1636</v>
      </c>
      <c r="K71" s="47" t="s">
        <v>1637</v>
      </c>
      <c r="L71" s="47" t="s">
        <v>1638</v>
      </c>
      <c r="M71" s="47" t="s">
        <v>1705</v>
      </c>
      <c r="N71" s="47">
        <v>1</v>
      </c>
      <c r="O71" s="47">
        <v>1</v>
      </c>
      <c r="P71" s="83" t="s">
        <v>1651</v>
      </c>
      <c r="Q71" s="47" t="s">
        <v>769</v>
      </c>
      <c r="R71" s="47">
        <v>2002</v>
      </c>
      <c r="S71" s="47" t="s">
        <v>1665</v>
      </c>
      <c r="T71" s="47">
        <v>0</v>
      </c>
      <c r="U71" s="47">
        <v>1</v>
      </c>
      <c r="V71" s="7">
        <v>70001</v>
      </c>
      <c r="W71" s="7">
        <v>1</v>
      </c>
      <c r="X71" s="7">
        <v>1</v>
      </c>
      <c r="Y71" s="7">
        <v>8000</v>
      </c>
      <c r="Z71" s="7">
        <v>169</v>
      </c>
      <c r="AA71" s="7">
        <v>1</v>
      </c>
      <c r="AB71">
        <v>1001</v>
      </c>
      <c r="AC71">
        <v>100</v>
      </c>
      <c r="AD71">
        <v>1</v>
      </c>
    </row>
    <row r="72" spans="1:30" ht="42.75" customHeight="1">
      <c r="A72" s="7">
        <v>170</v>
      </c>
      <c r="B72" s="7" t="s">
        <v>1601</v>
      </c>
      <c r="C72" s="7"/>
      <c r="D72" s="94" t="s">
        <v>1873</v>
      </c>
      <c r="E72" s="7">
        <v>140</v>
      </c>
      <c r="F72" s="7"/>
      <c r="G72" s="82" t="s">
        <v>1874</v>
      </c>
      <c r="H72" s="47">
        <v>1</v>
      </c>
      <c r="I72" s="47"/>
      <c r="J72" s="83" t="s">
        <v>1655</v>
      </c>
      <c r="K72" s="47" t="s">
        <v>767</v>
      </c>
      <c r="L72" s="47">
        <v>1003</v>
      </c>
      <c r="M72" s="47" t="s">
        <v>1645</v>
      </c>
      <c r="N72" s="47"/>
      <c r="O72" s="47">
        <v>1</v>
      </c>
      <c r="P72" s="83" t="s">
        <v>1640</v>
      </c>
      <c r="Q72" s="47" t="s">
        <v>769</v>
      </c>
      <c r="R72" s="47">
        <v>2004</v>
      </c>
      <c r="S72" s="47" t="s">
        <v>1672</v>
      </c>
      <c r="T72" s="47">
        <v>0</v>
      </c>
      <c r="U72" s="47">
        <v>1</v>
      </c>
      <c r="V72" s="7">
        <v>70001</v>
      </c>
      <c r="W72" s="7">
        <v>1</v>
      </c>
      <c r="X72" s="7">
        <v>1</v>
      </c>
      <c r="Y72" s="7">
        <v>8000</v>
      </c>
      <c r="Z72" s="7">
        <v>170</v>
      </c>
      <c r="AA72" s="7">
        <v>1</v>
      </c>
      <c r="AB72">
        <v>1001</v>
      </c>
      <c r="AC72">
        <v>1000</v>
      </c>
      <c r="AD72">
        <v>1</v>
      </c>
    </row>
    <row r="73" spans="1:30" ht="42.75" customHeight="1">
      <c r="A73" s="7">
        <v>171</v>
      </c>
      <c r="B73" s="7" t="s">
        <v>1601</v>
      </c>
      <c r="C73" s="7"/>
      <c r="D73" s="94" t="s">
        <v>1875</v>
      </c>
      <c r="E73" s="7">
        <v>142</v>
      </c>
      <c r="F73" s="7"/>
      <c r="G73" s="82" t="s">
        <v>1876</v>
      </c>
      <c r="H73" s="47">
        <v>1</v>
      </c>
      <c r="I73" s="47"/>
      <c r="J73" s="83" t="s">
        <v>1636</v>
      </c>
      <c r="K73" s="47" t="s">
        <v>1637</v>
      </c>
      <c r="L73" s="47" t="s">
        <v>1638</v>
      </c>
      <c r="M73" s="47" t="s">
        <v>1672</v>
      </c>
      <c r="N73" s="47">
        <v>1</v>
      </c>
      <c r="O73" s="47">
        <v>1</v>
      </c>
      <c r="P73" s="83" t="s">
        <v>1646</v>
      </c>
      <c r="Q73" s="47" t="s">
        <v>769</v>
      </c>
      <c r="R73" s="47">
        <v>2005</v>
      </c>
      <c r="S73" s="47" t="s">
        <v>1832</v>
      </c>
      <c r="T73" s="47">
        <v>0</v>
      </c>
      <c r="U73" s="47">
        <v>1</v>
      </c>
      <c r="V73" s="7">
        <v>70001</v>
      </c>
      <c r="W73" s="7">
        <v>1</v>
      </c>
      <c r="X73" s="7">
        <v>1</v>
      </c>
      <c r="Y73" s="7">
        <v>8000</v>
      </c>
      <c r="Z73" s="7">
        <v>171</v>
      </c>
      <c r="AA73" s="7">
        <v>1</v>
      </c>
      <c r="AB73">
        <v>1001</v>
      </c>
      <c r="AC73">
        <v>100</v>
      </c>
      <c r="AD73">
        <v>1</v>
      </c>
    </row>
    <row r="74" spans="1:30" ht="42.75" customHeight="1">
      <c r="A74" s="7">
        <v>172</v>
      </c>
      <c r="B74" s="7" t="s">
        <v>1601</v>
      </c>
      <c r="C74" s="7"/>
      <c r="D74" s="94" t="s">
        <v>1877</v>
      </c>
      <c r="E74" s="7">
        <v>144</v>
      </c>
      <c r="F74" s="7"/>
      <c r="G74" s="82" t="s">
        <v>1878</v>
      </c>
      <c r="H74" s="47">
        <v>1</v>
      </c>
      <c r="I74" s="47"/>
      <c r="J74" s="83" t="s">
        <v>1663</v>
      </c>
      <c r="K74" s="47" t="s">
        <v>767</v>
      </c>
      <c r="L74" s="47">
        <v>1001</v>
      </c>
      <c r="M74" s="47" t="s">
        <v>1684</v>
      </c>
      <c r="N74" s="47"/>
      <c r="O74" s="47">
        <v>1</v>
      </c>
      <c r="P74" s="83" t="s">
        <v>1651</v>
      </c>
      <c r="Q74" s="47" t="s">
        <v>769</v>
      </c>
      <c r="R74" s="47">
        <v>2002</v>
      </c>
      <c r="S74" s="47" t="s">
        <v>1672</v>
      </c>
      <c r="T74" s="47">
        <v>0</v>
      </c>
      <c r="U74" s="47">
        <v>1</v>
      </c>
      <c r="V74" s="7">
        <v>70001</v>
      </c>
      <c r="W74" s="7">
        <v>1</v>
      </c>
      <c r="X74" s="7">
        <v>1</v>
      </c>
      <c r="Y74" s="7">
        <v>8000</v>
      </c>
      <c r="Z74" s="7">
        <v>172</v>
      </c>
      <c r="AA74" s="7">
        <v>1</v>
      </c>
      <c r="AB74">
        <v>1001</v>
      </c>
      <c r="AC74">
        <v>100</v>
      </c>
      <c r="AD74">
        <v>1</v>
      </c>
    </row>
    <row r="75" spans="1:30" ht="42.75" customHeight="1">
      <c r="A75" s="7">
        <v>173</v>
      </c>
      <c r="B75" s="7" t="s">
        <v>1601</v>
      </c>
      <c r="C75" s="7"/>
      <c r="D75" s="94" t="s">
        <v>1879</v>
      </c>
      <c r="E75" s="7">
        <v>146</v>
      </c>
      <c r="F75" s="7"/>
      <c r="G75" s="82" t="s">
        <v>1880</v>
      </c>
      <c r="H75" s="47">
        <v>1</v>
      </c>
      <c r="I75" s="47"/>
      <c r="J75" s="83" t="s">
        <v>1636</v>
      </c>
      <c r="K75" s="47" t="s">
        <v>1637</v>
      </c>
      <c r="L75" s="47" t="s">
        <v>1638</v>
      </c>
      <c r="M75" s="47" t="s">
        <v>1881</v>
      </c>
      <c r="N75" s="47">
        <v>1</v>
      </c>
      <c r="O75" s="47">
        <v>1</v>
      </c>
      <c r="P75" s="83" t="s">
        <v>1640</v>
      </c>
      <c r="Q75" s="47" t="s">
        <v>769</v>
      </c>
      <c r="R75" s="47">
        <v>2004</v>
      </c>
      <c r="S75" s="47" t="s">
        <v>1672</v>
      </c>
      <c r="T75" s="47">
        <v>0</v>
      </c>
      <c r="U75" s="47">
        <v>1</v>
      </c>
      <c r="V75" s="7">
        <v>70001</v>
      </c>
      <c r="W75" s="7">
        <v>1</v>
      </c>
      <c r="X75" s="7">
        <v>1</v>
      </c>
      <c r="Y75" s="7">
        <v>8000</v>
      </c>
      <c r="Z75" s="7">
        <v>173</v>
      </c>
      <c r="AA75" s="7">
        <v>1</v>
      </c>
      <c r="AB75">
        <v>1001</v>
      </c>
      <c r="AC75">
        <v>100</v>
      </c>
      <c r="AD75">
        <v>1</v>
      </c>
    </row>
    <row r="76" spans="1:30" ht="42.75" customHeight="1">
      <c r="A76" s="7">
        <v>174</v>
      </c>
      <c r="B76" s="7" t="s">
        <v>1601</v>
      </c>
      <c r="C76" s="7"/>
      <c r="D76" s="94" t="s">
        <v>1882</v>
      </c>
      <c r="E76" s="7">
        <v>148</v>
      </c>
      <c r="F76" s="7"/>
      <c r="G76" s="82" t="s">
        <v>1883</v>
      </c>
      <c r="H76" s="47">
        <v>1</v>
      </c>
      <c r="I76" s="47"/>
      <c r="J76" s="83" t="s">
        <v>1644</v>
      </c>
      <c r="K76" s="47" t="s">
        <v>767</v>
      </c>
      <c r="L76" s="47">
        <v>1005</v>
      </c>
      <c r="M76" s="47" t="s">
        <v>1726</v>
      </c>
      <c r="N76" s="47"/>
      <c r="O76" s="47">
        <v>1</v>
      </c>
      <c r="P76" s="83" t="s">
        <v>1646</v>
      </c>
      <c r="Q76" s="47" t="s">
        <v>769</v>
      </c>
      <c r="R76" s="47">
        <v>2005</v>
      </c>
      <c r="S76" s="47" t="s">
        <v>1884</v>
      </c>
      <c r="T76" s="47">
        <v>0</v>
      </c>
      <c r="U76" s="47">
        <v>1</v>
      </c>
      <c r="V76" s="7">
        <v>70001</v>
      </c>
      <c r="W76" s="7">
        <v>1</v>
      </c>
      <c r="X76" s="7">
        <v>1</v>
      </c>
      <c r="Y76" s="7">
        <v>8000</v>
      </c>
      <c r="Z76" s="7">
        <v>174</v>
      </c>
      <c r="AA76" s="7">
        <v>1</v>
      </c>
      <c r="AB76">
        <v>1001</v>
      </c>
      <c r="AC76">
        <v>100</v>
      </c>
      <c r="AD76">
        <v>1</v>
      </c>
    </row>
    <row r="77" spans="1:30" ht="42.75" customHeight="1">
      <c r="A77" s="7">
        <v>175</v>
      </c>
      <c r="B77" s="7" t="s">
        <v>1601</v>
      </c>
      <c r="C77" s="7"/>
      <c r="D77" s="94" t="s">
        <v>1885</v>
      </c>
      <c r="E77" s="7">
        <v>150</v>
      </c>
      <c r="F77" s="7"/>
      <c r="G77" s="82" t="s">
        <v>1886</v>
      </c>
      <c r="H77" s="47">
        <v>1</v>
      </c>
      <c r="I77" s="47"/>
      <c r="J77" s="83" t="s">
        <v>1636</v>
      </c>
      <c r="K77" s="47" t="s">
        <v>1637</v>
      </c>
      <c r="L77" s="47" t="s">
        <v>1638</v>
      </c>
      <c r="M77" s="47" t="s">
        <v>1647</v>
      </c>
      <c r="N77" s="47">
        <v>1</v>
      </c>
      <c r="O77" s="47">
        <v>1</v>
      </c>
      <c r="P77" s="83" t="s">
        <v>1651</v>
      </c>
      <c r="Q77" s="47" t="s">
        <v>769</v>
      </c>
      <c r="R77" s="47">
        <v>2002</v>
      </c>
      <c r="S77" s="47" t="s">
        <v>1887</v>
      </c>
      <c r="T77" s="47">
        <v>0</v>
      </c>
      <c r="U77" s="47">
        <v>1</v>
      </c>
      <c r="V77" s="7">
        <v>70001</v>
      </c>
      <c r="W77" s="7">
        <v>1</v>
      </c>
      <c r="X77" s="7">
        <v>1</v>
      </c>
      <c r="Y77" s="7">
        <v>8000</v>
      </c>
      <c r="Z77" s="7">
        <v>175</v>
      </c>
      <c r="AA77" s="7">
        <v>1</v>
      </c>
      <c r="AB77">
        <v>1001</v>
      </c>
      <c r="AC77">
        <v>100</v>
      </c>
      <c r="AD77">
        <v>1</v>
      </c>
    </row>
    <row r="78" spans="1:30" ht="42.75" customHeight="1">
      <c r="A78" s="7">
        <v>176</v>
      </c>
      <c r="B78" s="7" t="s">
        <v>1601</v>
      </c>
      <c r="C78" s="7"/>
      <c r="D78" s="94" t="s">
        <v>1888</v>
      </c>
      <c r="E78" s="7">
        <v>152</v>
      </c>
      <c r="F78" s="7"/>
      <c r="G78" s="82" t="s">
        <v>1889</v>
      </c>
      <c r="H78" s="47">
        <v>1</v>
      </c>
      <c r="I78" s="47"/>
      <c r="J78" s="83" t="s">
        <v>1655</v>
      </c>
      <c r="K78" s="47" t="s">
        <v>767</v>
      </c>
      <c r="L78" s="47">
        <v>1003</v>
      </c>
      <c r="M78" s="47" t="s">
        <v>1890</v>
      </c>
      <c r="N78" s="47"/>
      <c r="O78" s="47">
        <v>1</v>
      </c>
      <c r="P78" s="83" t="s">
        <v>1640</v>
      </c>
      <c r="Q78" s="47" t="s">
        <v>769</v>
      </c>
      <c r="R78" s="47">
        <v>2004</v>
      </c>
      <c r="S78" s="47" t="s">
        <v>1890</v>
      </c>
      <c r="T78" s="47">
        <v>0</v>
      </c>
      <c r="U78" s="47">
        <v>1</v>
      </c>
      <c r="V78" s="7">
        <v>70001</v>
      </c>
      <c r="W78" s="7">
        <v>1</v>
      </c>
      <c r="X78" s="7">
        <v>1</v>
      </c>
      <c r="Y78" s="7">
        <v>8000</v>
      </c>
      <c r="Z78" s="7">
        <v>176</v>
      </c>
      <c r="AA78" s="7">
        <v>1</v>
      </c>
      <c r="AB78">
        <v>1001</v>
      </c>
      <c r="AC78">
        <v>100</v>
      </c>
      <c r="AD78">
        <v>1</v>
      </c>
    </row>
    <row r="79" spans="1:30" ht="47.25" customHeight="1">
      <c r="A79" s="7">
        <v>177</v>
      </c>
      <c r="B79" s="7" t="s">
        <v>1601</v>
      </c>
      <c r="C79" s="7"/>
      <c r="D79" s="94" t="s">
        <v>1891</v>
      </c>
      <c r="E79" s="7">
        <v>154</v>
      </c>
      <c r="F79" s="87"/>
      <c r="G79" s="88" t="s">
        <v>1892</v>
      </c>
      <c r="H79" s="47">
        <v>1</v>
      </c>
      <c r="I79" s="47"/>
      <c r="J79" s="83" t="s">
        <v>1636</v>
      </c>
      <c r="K79" s="47" t="s">
        <v>1637</v>
      </c>
      <c r="L79" s="47" t="s">
        <v>1638</v>
      </c>
      <c r="M79" s="47" t="s">
        <v>1893</v>
      </c>
      <c r="N79" s="47">
        <v>1</v>
      </c>
      <c r="O79" s="47">
        <v>1</v>
      </c>
      <c r="P79" s="83" t="s">
        <v>1646</v>
      </c>
      <c r="Q79" s="47" t="s">
        <v>769</v>
      </c>
      <c r="R79" s="47">
        <v>2005</v>
      </c>
      <c r="S79" s="47" t="s">
        <v>1894</v>
      </c>
      <c r="T79" s="47">
        <v>0</v>
      </c>
      <c r="U79" s="47">
        <v>1</v>
      </c>
      <c r="V79" s="7">
        <v>70001</v>
      </c>
      <c r="W79" s="7">
        <v>1</v>
      </c>
      <c r="X79" s="7">
        <v>1</v>
      </c>
      <c r="Y79" s="7">
        <v>8000</v>
      </c>
      <c r="Z79" s="7">
        <v>177</v>
      </c>
      <c r="AA79" s="7">
        <v>1</v>
      </c>
      <c r="AB79">
        <v>1001</v>
      </c>
      <c r="AC79">
        <v>100</v>
      </c>
      <c r="AD79">
        <v>1</v>
      </c>
    </row>
    <row r="80" spans="1:30" ht="38.25" customHeight="1">
      <c r="A80">
        <v>178</v>
      </c>
      <c r="B80" t="s">
        <v>1601</v>
      </c>
      <c r="D80" s="80" t="s">
        <v>1895</v>
      </c>
      <c r="E80">
        <v>156</v>
      </c>
      <c r="G80" s="90" t="s">
        <v>1896</v>
      </c>
      <c r="H80">
        <v>1</v>
      </c>
      <c r="J80" s="80" t="s">
        <v>1663</v>
      </c>
      <c r="K80" t="s">
        <v>767</v>
      </c>
      <c r="L80">
        <v>1001</v>
      </c>
      <c r="M80" t="s">
        <v>1897</v>
      </c>
      <c r="O80">
        <v>1</v>
      </c>
      <c r="P80" s="80" t="s">
        <v>1651</v>
      </c>
      <c r="Q80" t="s">
        <v>769</v>
      </c>
      <c r="R80">
        <v>2002</v>
      </c>
      <c r="S80" t="s">
        <v>1704</v>
      </c>
      <c r="T80">
        <v>0</v>
      </c>
      <c r="U80">
        <v>1</v>
      </c>
      <c r="V80">
        <v>70001</v>
      </c>
      <c r="W80">
        <v>1</v>
      </c>
      <c r="X80">
        <v>1</v>
      </c>
      <c r="Y80">
        <v>8000</v>
      </c>
      <c r="Z80">
        <v>178</v>
      </c>
      <c r="AA80">
        <v>1</v>
      </c>
      <c r="AB80">
        <v>1001</v>
      </c>
      <c r="AC80">
        <v>100</v>
      </c>
      <c r="AD80">
        <v>1</v>
      </c>
    </row>
    <row r="81" spans="1:36" ht="42.75" customHeight="1">
      <c r="A81" s="7">
        <v>179</v>
      </c>
      <c r="B81" s="7" t="s">
        <v>1601</v>
      </c>
      <c r="C81" s="7"/>
      <c r="D81" s="3" t="s">
        <v>1898</v>
      </c>
      <c r="E81" s="7">
        <v>158</v>
      </c>
      <c r="F81" s="7"/>
      <c r="G81" s="82" t="s">
        <v>1899</v>
      </c>
      <c r="H81" s="7">
        <v>1</v>
      </c>
      <c r="I81" s="7"/>
      <c r="J81" s="3" t="s">
        <v>1636</v>
      </c>
      <c r="K81" s="7" t="s">
        <v>1637</v>
      </c>
      <c r="L81" s="7" t="s">
        <v>1638</v>
      </c>
      <c r="M81" s="7" t="s">
        <v>1900</v>
      </c>
      <c r="N81" s="7">
        <v>1</v>
      </c>
      <c r="O81" s="7">
        <v>1</v>
      </c>
      <c r="P81" s="3" t="s">
        <v>1640</v>
      </c>
      <c r="Q81" s="7" t="s">
        <v>769</v>
      </c>
      <c r="R81" s="7">
        <v>2004</v>
      </c>
      <c r="S81" s="7" t="s">
        <v>1901</v>
      </c>
      <c r="T81" s="7">
        <v>0</v>
      </c>
      <c r="U81" s="7">
        <v>1</v>
      </c>
      <c r="V81" s="7">
        <v>70001</v>
      </c>
      <c r="W81" s="7">
        <v>1</v>
      </c>
      <c r="X81" s="7">
        <v>1</v>
      </c>
      <c r="Y81" s="7">
        <v>8000</v>
      </c>
      <c r="Z81" s="7">
        <v>179</v>
      </c>
      <c r="AA81" s="7">
        <v>1</v>
      </c>
      <c r="AB81" s="7">
        <v>1001</v>
      </c>
      <c r="AC81" s="7">
        <v>100</v>
      </c>
      <c r="AD81" s="7">
        <v>1</v>
      </c>
      <c r="AE81" s="7"/>
      <c r="AF81" s="7"/>
      <c r="AG81" s="7"/>
      <c r="AH81" s="7"/>
      <c r="AI81" s="7"/>
      <c r="AJ81" s="7"/>
    </row>
    <row r="82" spans="1:36" ht="47.25" customHeight="1">
      <c r="A82" s="105">
        <v>180</v>
      </c>
      <c r="B82" s="7" t="s">
        <v>1601</v>
      </c>
      <c r="D82" s="3" t="s">
        <v>1902</v>
      </c>
      <c r="E82" s="7">
        <v>160</v>
      </c>
      <c r="F82" s="101"/>
      <c r="G82" s="102" t="s">
        <v>1903</v>
      </c>
      <c r="H82" s="47">
        <v>1</v>
      </c>
      <c r="I82" s="47"/>
      <c r="J82" s="83" t="s">
        <v>1644</v>
      </c>
      <c r="K82" s="47" t="s">
        <v>767</v>
      </c>
      <c r="L82" s="47">
        <v>1005</v>
      </c>
      <c r="M82" s="47" t="s">
        <v>1708</v>
      </c>
      <c r="N82" s="47"/>
      <c r="O82" s="47">
        <v>1</v>
      </c>
      <c r="P82" s="83" t="s">
        <v>1646</v>
      </c>
      <c r="Q82" s="47" t="s">
        <v>769</v>
      </c>
      <c r="R82" s="47">
        <v>2005</v>
      </c>
      <c r="S82" s="47" t="s">
        <v>1904</v>
      </c>
      <c r="T82" s="47">
        <v>0</v>
      </c>
      <c r="U82" s="47">
        <v>1</v>
      </c>
      <c r="V82" s="6">
        <v>70001</v>
      </c>
      <c r="W82" s="7">
        <v>1</v>
      </c>
      <c r="X82">
        <v>1</v>
      </c>
      <c r="Y82">
        <v>8000</v>
      </c>
      <c r="Z82">
        <v>180</v>
      </c>
      <c r="AA82">
        <v>1</v>
      </c>
      <c r="AB82">
        <v>1001</v>
      </c>
      <c r="AC82">
        <v>1000</v>
      </c>
      <c r="AD82">
        <v>1</v>
      </c>
    </row>
    <row r="83" spans="1:36" ht="47.25" customHeight="1">
      <c r="A83" s="105">
        <v>181</v>
      </c>
      <c r="B83" s="7" t="s">
        <v>1601</v>
      </c>
      <c r="D83" s="3" t="s">
        <v>1905</v>
      </c>
      <c r="E83" s="7">
        <v>162</v>
      </c>
      <c r="F83" s="101"/>
      <c r="G83" s="97" t="s">
        <v>1906</v>
      </c>
      <c r="H83" s="47">
        <v>1</v>
      </c>
      <c r="I83" s="47"/>
      <c r="J83" s="83" t="s">
        <v>1636</v>
      </c>
      <c r="K83" s="47" t="s">
        <v>1637</v>
      </c>
      <c r="L83" s="47" t="s">
        <v>1638</v>
      </c>
      <c r="M83" s="47" t="s">
        <v>1720</v>
      </c>
      <c r="N83" s="47">
        <v>1</v>
      </c>
      <c r="O83" s="47">
        <v>1</v>
      </c>
      <c r="P83" s="83" t="s">
        <v>1651</v>
      </c>
      <c r="Q83" s="47" t="s">
        <v>769</v>
      </c>
      <c r="R83" s="47">
        <v>2002</v>
      </c>
      <c r="S83" s="47" t="s">
        <v>1907</v>
      </c>
      <c r="T83" s="47">
        <v>0</v>
      </c>
      <c r="U83" s="47">
        <v>1</v>
      </c>
      <c r="V83" s="6">
        <v>70001</v>
      </c>
      <c r="W83" s="7">
        <v>1</v>
      </c>
      <c r="X83">
        <v>1</v>
      </c>
      <c r="Y83">
        <v>8000</v>
      </c>
      <c r="Z83">
        <v>181</v>
      </c>
      <c r="AA83">
        <v>1</v>
      </c>
      <c r="AB83">
        <v>1001</v>
      </c>
      <c r="AC83">
        <v>100</v>
      </c>
      <c r="AD83">
        <v>1</v>
      </c>
    </row>
    <row r="84" spans="1:36" ht="47.25" customHeight="1">
      <c r="A84" s="105">
        <v>182</v>
      </c>
      <c r="B84" s="7" t="s">
        <v>1601</v>
      </c>
      <c r="D84" s="3" t="s">
        <v>1908</v>
      </c>
      <c r="E84" s="7">
        <v>164</v>
      </c>
      <c r="F84" s="101"/>
      <c r="G84" s="88" t="s">
        <v>1909</v>
      </c>
      <c r="H84" s="47">
        <v>1</v>
      </c>
      <c r="I84" s="47"/>
      <c r="J84" s="83" t="s">
        <v>1655</v>
      </c>
      <c r="K84" s="47" t="s">
        <v>767</v>
      </c>
      <c r="L84" s="47">
        <v>1003</v>
      </c>
      <c r="M84" s="47" t="s">
        <v>1790</v>
      </c>
      <c r="N84" s="47"/>
      <c r="O84" s="47">
        <v>1</v>
      </c>
      <c r="P84" s="83" t="s">
        <v>1640</v>
      </c>
      <c r="Q84" s="47" t="s">
        <v>769</v>
      </c>
      <c r="R84" s="47">
        <v>2004</v>
      </c>
      <c r="S84" s="47" t="s">
        <v>1745</v>
      </c>
      <c r="T84" s="47">
        <v>0</v>
      </c>
      <c r="U84" s="47">
        <v>1</v>
      </c>
      <c r="V84" s="6">
        <v>70001</v>
      </c>
      <c r="W84" s="7">
        <v>1</v>
      </c>
      <c r="X84">
        <v>1</v>
      </c>
      <c r="Y84">
        <v>8000</v>
      </c>
      <c r="Z84">
        <v>182</v>
      </c>
      <c r="AA84">
        <v>1</v>
      </c>
      <c r="AB84">
        <v>1001</v>
      </c>
      <c r="AC84">
        <v>100</v>
      </c>
      <c r="AD84">
        <v>1</v>
      </c>
    </row>
    <row r="85" spans="1:36" ht="47.25" customHeight="1">
      <c r="A85" s="105">
        <v>183</v>
      </c>
      <c r="B85" s="7" t="s">
        <v>1601</v>
      </c>
      <c r="D85" s="3" t="s">
        <v>1910</v>
      </c>
      <c r="E85" s="7">
        <v>166</v>
      </c>
      <c r="F85" s="101"/>
      <c r="G85" s="88" t="s">
        <v>1911</v>
      </c>
      <c r="H85" s="47">
        <v>1</v>
      </c>
      <c r="I85" s="47"/>
      <c r="J85" s="80" t="s">
        <v>1636</v>
      </c>
      <c r="K85" s="47" t="s">
        <v>1637</v>
      </c>
      <c r="L85" s="47" t="s">
        <v>1638</v>
      </c>
      <c r="M85" s="47" t="s">
        <v>1759</v>
      </c>
      <c r="N85" s="47">
        <v>1</v>
      </c>
      <c r="O85" s="47">
        <v>1</v>
      </c>
      <c r="P85" s="83" t="s">
        <v>1646</v>
      </c>
      <c r="Q85" s="47" t="s">
        <v>769</v>
      </c>
      <c r="R85" s="47">
        <v>2005</v>
      </c>
      <c r="S85" s="47" t="s">
        <v>1708</v>
      </c>
      <c r="T85" s="47">
        <v>0</v>
      </c>
      <c r="U85" s="47">
        <v>1</v>
      </c>
      <c r="V85" s="6">
        <v>70001</v>
      </c>
      <c r="W85" s="7">
        <v>1</v>
      </c>
      <c r="X85">
        <v>1</v>
      </c>
      <c r="Y85">
        <v>8000</v>
      </c>
      <c r="Z85">
        <v>183</v>
      </c>
      <c r="AA85">
        <v>1</v>
      </c>
      <c r="AB85">
        <v>1001</v>
      </c>
      <c r="AC85">
        <v>100</v>
      </c>
      <c r="AD85">
        <v>1</v>
      </c>
    </row>
    <row r="86" spans="1:36" ht="47.25" customHeight="1">
      <c r="A86" s="105">
        <v>184</v>
      </c>
      <c r="B86" s="7" t="s">
        <v>1601</v>
      </c>
      <c r="D86" s="3" t="s">
        <v>1912</v>
      </c>
      <c r="E86" s="7">
        <v>168</v>
      </c>
      <c r="F86" s="101"/>
      <c r="G86" s="102" t="s">
        <v>1913</v>
      </c>
      <c r="H86" s="47">
        <v>1</v>
      </c>
      <c r="I86" s="47"/>
      <c r="J86" s="83" t="s">
        <v>1663</v>
      </c>
      <c r="K86" s="47" t="s">
        <v>767</v>
      </c>
      <c r="L86" s="47">
        <v>1001</v>
      </c>
      <c r="M86" s="47" t="s">
        <v>1645</v>
      </c>
      <c r="N86" s="47"/>
      <c r="O86" s="47">
        <v>1</v>
      </c>
      <c r="P86" s="83" t="s">
        <v>1651</v>
      </c>
      <c r="Q86" s="47" t="s">
        <v>769</v>
      </c>
      <c r="R86" s="47">
        <v>2002</v>
      </c>
      <c r="S86" s="47" t="s">
        <v>1914</v>
      </c>
      <c r="T86" s="47">
        <v>0</v>
      </c>
      <c r="U86" s="47">
        <v>1</v>
      </c>
      <c r="V86" s="6">
        <v>70001</v>
      </c>
      <c r="W86" s="7">
        <v>1</v>
      </c>
      <c r="X86">
        <v>1</v>
      </c>
      <c r="Y86">
        <v>8000</v>
      </c>
      <c r="Z86">
        <v>184</v>
      </c>
      <c r="AA86">
        <v>1</v>
      </c>
      <c r="AB86">
        <v>1001</v>
      </c>
      <c r="AC86">
        <v>100</v>
      </c>
      <c r="AD86">
        <v>1</v>
      </c>
    </row>
    <row r="87" spans="1:36" ht="47.25" customHeight="1">
      <c r="A87" s="105">
        <v>185</v>
      </c>
      <c r="B87" s="7" t="s">
        <v>1601</v>
      </c>
      <c r="D87" s="3" t="s">
        <v>1915</v>
      </c>
      <c r="E87" s="7">
        <v>170</v>
      </c>
      <c r="F87" s="101"/>
      <c r="G87" s="88" t="s">
        <v>1916</v>
      </c>
      <c r="H87" s="47">
        <v>1</v>
      </c>
      <c r="I87" s="47"/>
      <c r="J87" s="83" t="s">
        <v>1636</v>
      </c>
      <c r="K87" s="47" t="s">
        <v>1637</v>
      </c>
      <c r="L87" s="47" t="s">
        <v>1638</v>
      </c>
      <c r="M87" s="47" t="s">
        <v>1684</v>
      </c>
      <c r="N87" s="47">
        <v>1</v>
      </c>
      <c r="O87" s="47">
        <v>1</v>
      </c>
      <c r="P87" s="83" t="s">
        <v>1640</v>
      </c>
      <c r="Q87" s="47" t="s">
        <v>769</v>
      </c>
      <c r="R87" s="47">
        <v>2004</v>
      </c>
      <c r="S87" s="47" t="s">
        <v>1705</v>
      </c>
      <c r="T87" s="47">
        <v>0</v>
      </c>
      <c r="U87" s="47">
        <v>1</v>
      </c>
      <c r="V87" s="6">
        <v>70001</v>
      </c>
      <c r="W87" s="7">
        <v>1</v>
      </c>
      <c r="X87">
        <v>1</v>
      </c>
      <c r="Y87">
        <v>8000</v>
      </c>
      <c r="Z87">
        <v>185</v>
      </c>
      <c r="AA87">
        <v>1</v>
      </c>
      <c r="AB87">
        <v>1001</v>
      </c>
      <c r="AC87">
        <v>100</v>
      </c>
      <c r="AD87">
        <v>1</v>
      </c>
    </row>
    <row r="88" spans="1:36" ht="47.25" customHeight="1">
      <c r="A88" s="105">
        <v>186</v>
      </c>
      <c r="B88" s="7" t="s">
        <v>1601</v>
      </c>
      <c r="D88" s="3" t="s">
        <v>1917</v>
      </c>
      <c r="E88" s="7">
        <v>172</v>
      </c>
      <c r="F88" s="101"/>
      <c r="G88" s="88" t="s">
        <v>1918</v>
      </c>
      <c r="H88" s="47">
        <v>1</v>
      </c>
      <c r="I88" s="47"/>
      <c r="J88" s="80" t="s">
        <v>1644</v>
      </c>
      <c r="K88" s="47" t="s">
        <v>767</v>
      </c>
      <c r="L88" s="47">
        <v>1005</v>
      </c>
      <c r="M88" s="47" t="s">
        <v>1677</v>
      </c>
      <c r="N88" s="47"/>
      <c r="O88" s="47">
        <v>1</v>
      </c>
      <c r="P88" s="83" t="s">
        <v>1646</v>
      </c>
      <c r="Q88" s="47" t="s">
        <v>769</v>
      </c>
      <c r="R88" s="47">
        <v>2005</v>
      </c>
      <c r="S88" s="47" t="s">
        <v>1919</v>
      </c>
      <c r="T88" s="47">
        <v>0</v>
      </c>
      <c r="U88" s="47">
        <v>1</v>
      </c>
      <c r="V88" s="6">
        <v>70001</v>
      </c>
      <c r="W88" s="7">
        <v>1</v>
      </c>
      <c r="X88">
        <v>1</v>
      </c>
      <c r="Y88">
        <v>8000</v>
      </c>
      <c r="Z88">
        <v>186</v>
      </c>
      <c r="AA88">
        <v>1</v>
      </c>
      <c r="AB88">
        <v>1001</v>
      </c>
      <c r="AC88">
        <v>100</v>
      </c>
      <c r="AD88">
        <v>1</v>
      </c>
    </row>
    <row r="89" spans="1:36" ht="47.25" customHeight="1">
      <c r="A89" s="105">
        <v>187</v>
      </c>
      <c r="B89" s="7" t="s">
        <v>1601</v>
      </c>
      <c r="D89" s="3" t="s">
        <v>1920</v>
      </c>
      <c r="E89" s="7">
        <v>174</v>
      </c>
      <c r="F89" s="101"/>
      <c r="G89" s="102" t="s">
        <v>1921</v>
      </c>
      <c r="H89" s="47">
        <v>1</v>
      </c>
      <c r="I89" s="47"/>
      <c r="J89" s="83" t="s">
        <v>1636</v>
      </c>
      <c r="K89" s="47" t="s">
        <v>1637</v>
      </c>
      <c r="L89" s="47" t="s">
        <v>1638</v>
      </c>
      <c r="M89" s="47" t="s">
        <v>1824</v>
      </c>
      <c r="N89" s="47">
        <v>1</v>
      </c>
      <c r="O89" s="47">
        <v>1</v>
      </c>
      <c r="P89" s="83" t="s">
        <v>1651</v>
      </c>
      <c r="Q89" s="47" t="s">
        <v>769</v>
      </c>
      <c r="R89" s="47">
        <v>2002</v>
      </c>
      <c r="S89" s="47" t="s">
        <v>1669</v>
      </c>
      <c r="T89" s="47">
        <v>0</v>
      </c>
      <c r="U89" s="47">
        <v>1</v>
      </c>
      <c r="V89" s="6">
        <v>70001</v>
      </c>
      <c r="W89" s="7">
        <v>1</v>
      </c>
      <c r="X89">
        <v>1</v>
      </c>
      <c r="Y89">
        <v>8000</v>
      </c>
      <c r="Z89">
        <v>187</v>
      </c>
      <c r="AA89">
        <v>1</v>
      </c>
      <c r="AB89">
        <v>1001</v>
      </c>
      <c r="AC89">
        <v>100</v>
      </c>
      <c r="AD89">
        <v>1</v>
      </c>
    </row>
    <row r="90" spans="1:36" ht="47.25" customHeight="1">
      <c r="A90" s="7">
        <v>188</v>
      </c>
      <c r="B90" s="7" t="s">
        <v>1601</v>
      </c>
      <c r="D90" s="3" t="s">
        <v>1922</v>
      </c>
      <c r="E90" s="7">
        <v>176</v>
      </c>
      <c r="F90" s="101"/>
      <c r="G90" s="102" t="s">
        <v>1923</v>
      </c>
      <c r="H90" s="47">
        <v>1</v>
      </c>
      <c r="I90" s="47"/>
      <c r="J90" s="83" t="s">
        <v>1655</v>
      </c>
      <c r="K90" s="47" t="s">
        <v>767</v>
      </c>
      <c r="L90" s="47">
        <v>1003</v>
      </c>
      <c r="M90" s="47" t="s">
        <v>1924</v>
      </c>
      <c r="N90" s="47"/>
      <c r="O90" s="47">
        <v>1</v>
      </c>
      <c r="P90" s="83" t="s">
        <v>1640</v>
      </c>
      <c r="Q90" s="47" t="s">
        <v>769</v>
      </c>
      <c r="R90" s="47">
        <v>2004</v>
      </c>
      <c r="S90" s="47" t="s">
        <v>1925</v>
      </c>
      <c r="T90" s="47">
        <v>0</v>
      </c>
      <c r="U90" s="47">
        <v>1</v>
      </c>
      <c r="V90" s="6">
        <v>70001</v>
      </c>
      <c r="W90" s="7">
        <v>1</v>
      </c>
      <c r="X90">
        <v>1</v>
      </c>
      <c r="Y90">
        <v>8000</v>
      </c>
      <c r="Z90">
        <v>188</v>
      </c>
      <c r="AA90">
        <v>1</v>
      </c>
      <c r="AB90">
        <v>1001</v>
      </c>
      <c r="AC90">
        <v>100</v>
      </c>
      <c r="AD90">
        <v>1</v>
      </c>
    </row>
    <row r="91" spans="1:36" ht="47.25" customHeight="1">
      <c r="A91" s="7">
        <v>189</v>
      </c>
      <c r="B91" s="7" t="s">
        <v>1601</v>
      </c>
      <c r="D91" s="3" t="s">
        <v>1926</v>
      </c>
      <c r="E91" s="7">
        <v>178</v>
      </c>
      <c r="F91" s="101"/>
      <c r="G91" s="97" t="s">
        <v>1927</v>
      </c>
      <c r="H91" s="47">
        <v>1</v>
      </c>
      <c r="I91" s="47"/>
      <c r="J91" s="83" t="s">
        <v>1636</v>
      </c>
      <c r="K91" s="47" t="s">
        <v>1637</v>
      </c>
      <c r="L91" s="47" t="s">
        <v>1638</v>
      </c>
      <c r="M91" s="47" t="s">
        <v>1647</v>
      </c>
      <c r="N91" s="47">
        <v>1</v>
      </c>
      <c r="O91" s="47">
        <v>1</v>
      </c>
      <c r="P91" s="83" t="s">
        <v>1646</v>
      </c>
      <c r="Q91" s="47" t="s">
        <v>769</v>
      </c>
      <c r="R91" s="47">
        <v>2005</v>
      </c>
      <c r="S91" s="47" t="s">
        <v>1928</v>
      </c>
      <c r="T91" s="47">
        <v>0</v>
      </c>
      <c r="U91" s="47">
        <v>1</v>
      </c>
      <c r="V91" s="6">
        <v>70001</v>
      </c>
      <c r="W91" s="7">
        <v>1</v>
      </c>
      <c r="X91">
        <v>1</v>
      </c>
      <c r="Y91">
        <v>8000</v>
      </c>
      <c r="Z91">
        <v>189</v>
      </c>
      <c r="AA91">
        <v>1</v>
      </c>
      <c r="AB91">
        <v>1001</v>
      </c>
      <c r="AC91">
        <v>100</v>
      </c>
      <c r="AD91">
        <v>1</v>
      </c>
    </row>
    <row r="92" spans="1:36" ht="47.25" customHeight="1">
      <c r="A92" s="7">
        <v>190</v>
      </c>
      <c r="B92" s="7" t="s">
        <v>1601</v>
      </c>
      <c r="D92" s="3" t="s">
        <v>1929</v>
      </c>
      <c r="E92" s="7">
        <v>180</v>
      </c>
      <c r="F92" s="101"/>
      <c r="G92" s="88" t="s">
        <v>1930</v>
      </c>
      <c r="H92" s="47">
        <v>1</v>
      </c>
      <c r="I92" s="47"/>
      <c r="J92" s="83" t="s">
        <v>1663</v>
      </c>
      <c r="K92" s="47" t="s">
        <v>767</v>
      </c>
      <c r="L92" s="47">
        <v>1001</v>
      </c>
      <c r="M92" s="47" t="s">
        <v>1931</v>
      </c>
      <c r="N92" s="47"/>
      <c r="O92" s="47">
        <v>1</v>
      </c>
      <c r="P92" s="83" t="s">
        <v>1651</v>
      </c>
      <c r="Q92" s="47" t="s">
        <v>769</v>
      </c>
      <c r="R92" s="47">
        <v>2002</v>
      </c>
      <c r="S92" s="47" t="s">
        <v>1932</v>
      </c>
      <c r="T92" s="47">
        <v>0</v>
      </c>
      <c r="U92" s="47">
        <v>1</v>
      </c>
      <c r="V92" s="6">
        <v>70001</v>
      </c>
      <c r="W92" s="7">
        <v>1</v>
      </c>
      <c r="X92">
        <v>1</v>
      </c>
      <c r="Y92">
        <v>8000</v>
      </c>
      <c r="Z92">
        <v>190</v>
      </c>
      <c r="AA92">
        <v>1</v>
      </c>
      <c r="AB92">
        <v>1001</v>
      </c>
      <c r="AC92">
        <v>1000</v>
      </c>
      <c r="AD92">
        <v>1</v>
      </c>
    </row>
    <row r="93" spans="1:36" ht="47.25" customHeight="1">
      <c r="A93" s="7">
        <v>191</v>
      </c>
      <c r="B93" s="7" t="s">
        <v>1601</v>
      </c>
      <c r="D93" s="3" t="s">
        <v>1933</v>
      </c>
      <c r="E93" s="7">
        <v>182</v>
      </c>
      <c r="F93" s="101"/>
      <c r="G93" s="88" t="s">
        <v>1934</v>
      </c>
      <c r="H93" s="47">
        <v>1</v>
      </c>
      <c r="I93" s="47"/>
      <c r="J93" s="80" t="s">
        <v>1636</v>
      </c>
      <c r="K93" s="47" t="s">
        <v>1637</v>
      </c>
      <c r="L93" s="47" t="s">
        <v>1638</v>
      </c>
      <c r="M93" s="47" t="s">
        <v>1935</v>
      </c>
      <c r="N93" s="47">
        <v>1</v>
      </c>
      <c r="O93" s="47">
        <v>1</v>
      </c>
      <c r="P93" s="83" t="s">
        <v>1640</v>
      </c>
      <c r="Q93" s="47" t="s">
        <v>769</v>
      </c>
      <c r="R93" s="47">
        <v>2004</v>
      </c>
      <c r="S93" s="47" t="s">
        <v>1639</v>
      </c>
      <c r="T93" s="47">
        <v>0</v>
      </c>
      <c r="U93" s="47">
        <v>1</v>
      </c>
      <c r="V93" s="6">
        <v>70001</v>
      </c>
      <c r="W93" s="7">
        <v>1</v>
      </c>
      <c r="X93">
        <v>1</v>
      </c>
      <c r="Y93">
        <v>8000</v>
      </c>
      <c r="Z93">
        <v>191</v>
      </c>
      <c r="AA93">
        <v>1</v>
      </c>
      <c r="AB93">
        <v>1001</v>
      </c>
      <c r="AC93">
        <v>100</v>
      </c>
      <c r="AD93">
        <v>1</v>
      </c>
    </row>
    <row r="94" spans="1:36" ht="47.25" customHeight="1">
      <c r="A94" s="7">
        <v>192</v>
      </c>
      <c r="B94" s="7" t="s">
        <v>1601</v>
      </c>
      <c r="D94" s="3" t="s">
        <v>1936</v>
      </c>
      <c r="E94" s="7">
        <v>184</v>
      </c>
      <c r="F94" s="101"/>
      <c r="G94" s="102" t="s">
        <v>1937</v>
      </c>
      <c r="H94" s="47">
        <v>1</v>
      </c>
      <c r="I94" s="47"/>
      <c r="J94" s="83" t="s">
        <v>1644</v>
      </c>
      <c r="K94" s="47" t="s">
        <v>767</v>
      </c>
      <c r="L94" s="47">
        <v>1005</v>
      </c>
      <c r="M94" s="47" t="s">
        <v>1737</v>
      </c>
      <c r="N94" s="47"/>
      <c r="O94" s="47">
        <v>1</v>
      </c>
      <c r="P94" s="83" t="s">
        <v>1646</v>
      </c>
      <c r="Q94" s="47" t="s">
        <v>769</v>
      </c>
      <c r="R94" s="47">
        <v>2005</v>
      </c>
      <c r="S94" s="47" t="s">
        <v>1791</v>
      </c>
      <c r="T94" s="47">
        <v>0</v>
      </c>
      <c r="U94" s="47">
        <v>1</v>
      </c>
      <c r="V94" s="6">
        <v>70001</v>
      </c>
      <c r="W94" s="7">
        <v>1</v>
      </c>
      <c r="X94">
        <v>1</v>
      </c>
      <c r="Y94">
        <v>8000</v>
      </c>
      <c r="Z94">
        <v>192</v>
      </c>
      <c r="AA94">
        <v>1</v>
      </c>
      <c r="AB94">
        <v>1001</v>
      </c>
      <c r="AC94">
        <v>100</v>
      </c>
      <c r="AD94">
        <v>1</v>
      </c>
    </row>
    <row r="95" spans="1:36" ht="47.25" customHeight="1">
      <c r="A95" s="7">
        <v>193</v>
      </c>
      <c r="B95" s="7" t="s">
        <v>1601</v>
      </c>
      <c r="D95" s="3" t="s">
        <v>1938</v>
      </c>
      <c r="E95" s="7">
        <v>186</v>
      </c>
      <c r="F95" s="101"/>
      <c r="G95" s="88" t="s">
        <v>1939</v>
      </c>
      <c r="H95" s="47">
        <v>1</v>
      </c>
      <c r="I95" s="47"/>
      <c r="J95" s="83" t="s">
        <v>1636</v>
      </c>
      <c r="K95" s="47" t="s">
        <v>1637</v>
      </c>
      <c r="L95" s="47" t="s">
        <v>1638</v>
      </c>
      <c r="M95" s="47" t="s">
        <v>1940</v>
      </c>
      <c r="N95" s="47">
        <v>1</v>
      </c>
      <c r="O95" s="47">
        <v>1</v>
      </c>
      <c r="P95" s="83" t="s">
        <v>1651</v>
      </c>
      <c r="Q95" s="47" t="s">
        <v>769</v>
      </c>
      <c r="R95" s="47">
        <v>2002</v>
      </c>
      <c r="S95" s="47" t="s">
        <v>1665</v>
      </c>
      <c r="T95" s="47">
        <v>0</v>
      </c>
      <c r="U95" s="47">
        <v>1</v>
      </c>
      <c r="V95" s="6">
        <v>70001</v>
      </c>
      <c r="W95" s="7">
        <v>1</v>
      </c>
      <c r="X95">
        <v>1</v>
      </c>
      <c r="Y95">
        <v>8000</v>
      </c>
      <c r="Z95">
        <v>193</v>
      </c>
      <c r="AA95">
        <v>1</v>
      </c>
      <c r="AB95">
        <v>1001</v>
      </c>
      <c r="AC95">
        <v>100</v>
      </c>
      <c r="AD95">
        <v>1</v>
      </c>
    </row>
    <row r="96" spans="1:36" ht="47.25" customHeight="1">
      <c r="A96" s="7">
        <v>194</v>
      </c>
      <c r="B96" s="7" t="s">
        <v>1601</v>
      </c>
      <c r="D96" s="3" t="s">
        <v>1941</v>
      </c>
      <c r="E96" s="7">
        <v>188</v>
      </c>
      <c r="F96" s="101"/>
      <c r="G96" s="88" t="s">
        <v>1942</v>
      </c>
      <c r="H96" s="47">
        <v>1</v>
      </c>
      <c r="I96" s="47"/>
      <c r="J96" s="80" t="s">
        <v>1655</v>
      </c>
      <c r="K96" s="47" t="s">
        <v>767</v>
      </c>
      <c r="L96" s="47">
        <v>1003</v>
      </c>
      <c r="M96" s="47" t="s">
        <v>1737</v>
      </c>
      <c r="N96" s="47"/>
      <c r="O96" s="47">
        <v>1</v>
      </c>
      <c r="P96" s="83" t="s">
        <v>1640</v>
      </c>
      <c r="Q96" s="47" t="s">
        <v>769</v>
      </c>
      <c r="R96" s="47">
        <v>2004</v>
      </c>
      <c r="S96" s="47" t="s">
        <v>1647</v>
      </c>
      <c r="T96" s="47">
        <v>0</v>
      </c>
      <c r="U96" s="47">
        <v>1</v>
      </c>
      <c r="V96" s="6">
        <v>70001</v>
      </c>
      <c r="W96" s="7">
        <v>1</v>
      </c>
      <c r="X96">
        <v>1</v>
      </c>
      <c r="Y96">
        <v>8000</v>
      </c>
      <c r="Z96">
        <v>194</v>
      </c>
      <c r="AA96">
        <v>1</v>
      </c>
      <c r="AB96">
        <v>1001</v>
      </c>
      <c r="AC96">
        <v>100</v>
      </c>
      <c r="AD96">
        <v>1</v>
      </c>
    </row>
    <row r="97" spans="1:33" ht="47.25" customHeight="1">
      <c r="A97" s="7">
        <v>195</v>
      </c>
      <c r="B97" s="7" t="s">
        <v>1601</v>
      </c>
      <c r="D97" s="3" t="s">
        <v>1943</v>
      </c>
      <c r="E97" s="7">
        <v>190</v>
      </c>
      <c r="F97" s="101"/>
      <c r="G97" s="102" t="s">
        <v>1944</v>
      </c>
      <c r="H97" s="47">
        <v>1</v>
      </c>
      <c r="I97" s="47"/>
      <c r="J97" s="83" t="s">
        <v>1636</v>
      </c>
      <c r="K97" s="47" t="s">
        <v>1637</v>
      </c>
      <c r="L97" s="47" t="s">
        <v>1638</v>
      </c>
      <c r="M97" s="47" t="s">
        <v>1720</v>
      </c>
      <c r="N97" s="47">
        <v>1</v>
      </c>
      <c r="O97" s="47">
        <v>1</v>
      </c>
      <c r="P97" s="83" t="s">
        <v>1646</v>
      </c>
      <c r="Q97" s="47" t="s">
        <v>769</v>
      </c>
      <c r="R97" s="47">
        <v>2005</v>
      </c>
      <c r="S97" s="47" t="s">
        <v>1639</v>
      </c>
      <c r="T97" s="47">
        <v>0</v>
      </c>
      <c r="U97" s="47">
        <v>1</v>
      </c>
      <c r="V97" s="6">
        <v>70001</v>
      </c>
      <c r="W97" s="7">
        <v>1</v>
      </c>
      <c r="X97">
        <v>1</v>
      </c>
      <c r="Y97">
        <v>8000</v>
      </c>
      <c r="Z97">
        <v>195</v>
      </c>
      <c r="AA97">
        <v>1</v>
      </c>
      <c r="AB97">
        <v>1001</v>
      </c>
      <c r="AC97">
        <v>100</v>
      </c>
      <c r="AD97">
        <v>1</v>
      </c>
    </row>
    <row r="98" spans="1:33" ht="47.25" customHeight="1">
      <c r="A98" s="7">
        <v>196</v>
      </c>
      <c r="B98" s="7" t="s">
        <v>1601</v>
      </c>
      <c r="D98" s="3" t="s">
        <v>1945</v>
      </c>
      <c r="E98" s="7">
        <v>192</v>
      </c>
      <c r="F98" s="101"/>
      <c r="G98" s="102" t="s">
        <v>1946</v>
      </c>
      <c r="H98" s="47">
        <v>1</v>
      </c>
      <c r="I98" s="47"/>
      <c r="J98" s="83" t="s">
        <v>1663</v>
      </c>
      <c r="K98" s="47" t="s">
        <v>767</v>
      </c>
      <c r="L98" s="47">
        <v>1001</v>
      </c>
      <c r="M98" s="47" t="s">
        <v>1832</v>
      </c>
      <c r="N98" s="47"/>
      <c r="O98" s="47">
        <v>1</v>
      </c>
      <c r="P98" s="83" t="s">
        <v>1651</v>
      </c>
      <c r="Q98" s="47" t="s">
        <v>769</v>
      </c>
      <c r="R98" s="47">
        <v>2002</v>
      </c>
      <c r="S98" s="47" t="s">
        <v>1947</v>
      </c>
      <c r="T98" s="47">
        <v>0</v>
      </c>
      <c r="U98" s="47">
        <v>1</v>
      </c>
      <c r="V98" s="6">
        <v>70001</v>
      </c>
      <c r="W98" s="7">
        <v>1</v>
      </c>
      <c r="X98">
        <v>1</v>
      </c>
      <c r="Y98">
        <v>8000</v>
      </c>
      <c r="Z98">
        <v>196</v>
      </c>
      <c r="AA98">
        <v>1</v>
      </c>
      <c r="AB98">
        <v>1001</v>
      </c>
      <c r="AC98">
        <v>100</v>
      </c>
      <c r="AD98">
        <v>1</v>
      </c>
    </row>
    <row r="99" spans="1:33" ht="47.25" customHeight="1">
      <c r="A99" s="7">
        <v>197</v>
      </c>
      <c r="B99" s="7" t="s">
        <v>1601</v>
      </c>
      <c r="D99" s="3" t="s">
        <v>1948</v>
      </c>
      <c r="E99" s="7">
        <v>194</v>
      </c>
      <c r="F99" s="101"/>
      <c r="G99" s="97" t="s">
        <v>1949</v>
      </c>
      <c r="H99" s="47">
        <v>1</v>
      </c>
      <c r="I99" s="47"/>
      <c r="J99" s="83" t="s">
        <v>1636</v>
      </c>
      <c r="K99" s="47" t="s">
        <v>1637</v>
      </c>
      <c r="L99" s="47" t="s">
        <v>1638</v>
      </c>
      <c r="M99" s="47" t="s">
        <v>1672</v>
      </c>
      <c r="N99" s="47">
        <v>1</v>
      </c>
      <c r="O99" s="47">
        <v>1</v>
      </c>
      <c r="P99" s="83" t="s">
        <v>1640</v>
      </c>
      <c r="Q99" s="47" t="s">
        <v>769</v>
      </c>
      <c r="R99" s="47">
        <v>2004</v>
      </c>
      <c r="S99" s="47" t="s">
        <v>1737</v>
      </c>
      <c r="T99" s="47">
        <v>0</v>
      </c>
      <c r="U99" s="47">
        <v>1</v>
      </c>
      <c r="V99" s="6">
        <v>70001</v>
      </c>
      <c r="W99" s="7">
        <v>1</v>
      </c>
      <c r="X99">
        <v>1</v>
      </c>
      <c r="Y99">
        <v>8000</v>
      </c>
      <c r="Z99">
        <v>197</v>
      </c>
      <c r="AA99">
        <v>1</v>
      </c>
      <c r="AB99">
        <v>1001</v>
      </c>
      <c r="AC99">
        <v>100</v>
      </c>
      <c r="AD99">
        <v>1</v>
      </c>
    </row>
    <row r="100" spans="1:33" ht="47.25" customHeight="1">
      <c r="A100" s="7">
        <v>198</v>
      </c>
      <c r="B100" s="7" t="s">
        <v>1601</v>
      </c>
      <c r="D100" s="3" t="s">
        <v>1950</v>
      </c>
      <c r="E100" s="7">
        <v>196</v>
      </c>
      <c r="F100" s="101"/>
      <c r="G100" s="88" t="s">
        <v>1951</v>
      </c>
      <c r="H100" s="47">
        <v>1</v>
      </c>
      <c r="I100" s="47"/>
      <c r="J100" s="83" t="s">
        <v>1644</v>
      </c>
      <c r="K100" s="47" t="s">
        <v>767</v>
      </c>
      <c r="L100" s="47">
        <v>1005</v>
      </c>
      <c r="M100" s="47" t="s">
        <v>1665</v>
      </c>
      <c r="N100" s="47"/>
      <c r="O100" s="47">
        <v>1</v>
      </c>
      <c r="P100" s="83" t="s">
        <v>1646</v>
      </c>
      <c r="Q100" s="47" t="s">
        <v>769</v>
      </c>
      <c r="R100" s="47">
        <v>2005</v>
      </c>
      <c r="S100" s="47" t="s">
        <v>1952</v>
      </c>
      <c r="T100" s="47">
        <v>0</v>
      </c>
      <c r="U100" s="47">
        <v>1</v>
      </c>
      <c r="V100" s="6">
        <v>70001</v>
      </c>
      <c r="W100" s="7">
        <v>1</v>
      </c>
      <c r="X100">
        <v>1</v>
      </c>
      <c r="Y100">
        <v>8000</v>
      </c>
      <c r="Z100">
        <v>198</v>
      </c>
      <c r="AA100">
        <v>1</v>
      </c>
      <c r="AB100">
        <v>1001</v>
      </c>
      <c r="AC100">
        <v>100</v>
      </c>
      <c r="AD100">
        <v>1</v>
      </c>
    </row>
    <row r="101" spans="1:33" ht="47.25" customHeight="1">
      <c r="A101" s="7">
        <v>199</v>
      </c>
      <c r="B101" s="7" t="s">
        <v>1601</v>
      </c>
      <c r="D101" s="3" t="s">
        <v>1953</v>
      </c>
      <c r="E101" s="7">
        <v>198</v>
      </c>
      <c r="F101" s="101"/>
      <c r="G101" s="88" t="s">
        <v>1954</v>
      </c>
      <c r="H101" s="47">
        <v>1</v>
      </c>
      <c r="I101" s="47"/>
      <c r="J101" s="80" t="s">
        <v>1636</v>
      </c>
      <c r="K101" s="47" t="s">
        <v>1637</v>
      </c>
      <c r="L101" s="47" t="s">
        <v>1638</v>
      </c>
      <c r="M101" s="47" t="s">
        <v>1955</v>
      </c>
      <c r="N101" s="47">
        <v>1</v>
      </c>
      <c r="O101" s="47">
        <v>1</v>
      </c>
      <c r="P101" s="83" t="s">
        <v>1651</v>
      </c>
      <c r="Q101" s="47" t="s">
        <v>769</v>
      </c>
      <c r="R101" s="47">
        <v>2002</v>
      </c>
      <c r="S101" s="47" t="s">
        <v>1672</v>
      </c>
      <c r="T101" s="47">
        <v>0</v>
      </c>
      <c r="U101" s="47">
        <v>1</v>
      </c>
      <c r="V101" s="6">
        <v>70001</v>
      </c>
      <c r="W101" s="7">
        <v>1</v>
      </c>
      <c r="X101">
        <v>1</v>
      </c>
      <c r="Y101">
        <v>8000</v>
      </c>
      <c r="Z101">
        <v>199</v>
      </c>
      <c r="AA101">
        <v>1</v>
      </c>
      <c r="AB101">
        <v>1001</v>
      </c>
      <c r="AC101">
        <v>100</v>
      </c>
      <c r="AD101">
        <v>1</v>
      </c>
    </row>
    <row r="102" spans="1:33" ht="47.25" customHeight="1">
      <c r="A102" s="7">
        <v>200</v>
      </c>
      <c r="B102" s="7" t="s">
        <v>1601</v>
      </c>
      <c r="D102" s="3" t="s">
        <v>1956</v>
      </c>
      <c r="E102" s="7">
        <v>200</v>
      </c>
      <c r="F102" s="101"/>
      <c r="G102" s="102" t="s">
        <v>1957</v>
      </c>
      <c r="H102" s="47">
        <v>1</v>
      </c>
      <c r="I102" s="47"/>
      <c r="J102" s="83" t="s">
        <v>1655</v>
      </c>
      <c r="K102" s="47" t="s">
        <v>767</v>
      </c>
      <c r="L102" s="47">
        <v>1003</v>
      </c>
      <c r="M102" s="47" t="s">
        <v>1729</v>
      </c>
      <c r="N102" s="47"/>
      <c r="O102" s="47">
        <v>1</v>
      </c>
      <c r="P102" s="83" t="s">
        <v>1640</v>
      </c>
      <c r="Q102" s="47" t="s">
        <v>769</v>
      </c>
      <c r="R102" s="47">
        <v>2004</v>
      </c>
      <c r="S102" s="47" t="s">
        <v>1958</v>
      </c>
      <c r="T102" s="47">
        <v>0</v>
      </c>
      <c r="U102" s="47">
        <v>1</v>
      </c>
      <c r="V102" s="6">
        <v>70001</v>
      </c>
      <c r="W102" s="7">
        <v>1</v>
      </c>
      <c r="X102">
        <v>1</v>
      </c>
      <c r="Y102">
        <v>8000</v>
      </c>
      <c r="Z102">
        <v>200</v>
      </c>
      <c r="AA102">
        <v>1</v>
      </c>
      <c r="AB102">
        <v>1001</v>
      </c>
      <c r="AC102">
        <v>1000</v>
      </c>
      <c r="AD102">
        <v>1</v>
      </c>
    </row>
    <row r="103" spans="1:33" ht="15.75" customHeight="1">
      <c r="A103" s="7"/>
      <c r="B103" s="7"/>
      <c r="D103" s="7"/>
      <c r="E103" s="7"/>
      <c r="F103" s="101"/>
      <c r="G103" s="87"/>
      <c r="H103" s="47"/>
      <c r="I103" s="47"/>
      <c r="J103" s="47"/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6"/>
      <c r="W103" s="7"/>
    </row>
    <row r="104" spans="1:33" ht="15.75" customHeight="1">
      <c r="A104" s="7" t="s">
        <v>1603</v>
      </c>
      <c r="B104" s="7" t="s">
        <v>733</v>
      </c>
      <c r="C104" t="s">
        <v>1604</v>
      </c>
      <c r="D104" s="7" t="s">
        <v>1605</v>
      </c>
      <c r="E104" s="7" t="s">
        <v>63</v>
      </c>
      <c r="F104" s="101" t="s">
        <v>1606</v>
      </c>
      <c r="G104" s="87" t="s">
        <v>1607</v>
      </c>
      <c r="H104" s="47" t="s">
        <v>1608</v>
      </c>
      <c r="I104" s="47" t="s">
        <v>1609</v>
      </c>
      <c r="J104" t="s">
        <v>1610</v>
      </c>
      <c r="K104" s="47" t="s">
        <v>1611</v>
      </c>
      <c r="L104" s="47" t="s">
        <v>1612</v>
      </c>
      <c r="M104" s="47" t="s">
        <v>1613</v>
      </c>
      <c r="N104" s="47" t="s">
        <v>1614</v>
      </c>
      <c r="O104" s="47" t="s">
        <v>1615</v>
      </c>
      <c r="P104" s="47" t="s">
        <v>1616</v>
      </c>
      <c r="Q104" s="47" t="s">
        <v>1617</v>
      </c>
      <c r="R104" s="47" t="s">
        <v>1618</v>
      </c>
      <c r="S104" s="47" t="s">
        <v>1619</v>
      </c>
      <c r="T104" s="47" t="s">
        <v>1620</v>
      </c>
      <c r="U104" s="47" t="s">
        <v>1621</v>
      </c>
      <c r="V104" s="6" t="s">
        <v>1622</v>
      </c>
      <c r="W104" s="7" t="s">
        <v>1623</v>
      </c>
      <c r="X104" t="s">
        <v>1624</v>
      </c>
      <c r="Y104" t="s">
        <v>1625</v>
      </c>
      <c r="Z104" t="s">
        <v>1626</v>
      </c>
      <c r="AA104" t="s">
        <v>1627</v>
      </c>
    </row>
    <row r="105" spans="1:33" ht="38.25" customHeight="1">
      <c r="A105">
        <v>100</v>
      </c>
      <c r="B105" t="s">
        <v>1959</v>
      </c>
      <c r="D105" t="s">
        <v>1960</v>
      </c>
      <c r="E105">
        <v>100</v>
      </c>
      <c r="G105" s="90" t="s">
        <v>1961</v>
      </c>
      <c r="J105" s="80"/>
      <c r="P105" s="80"/>
    </row>
    <row r="106" spans="1:33" ht="38.25" customHeight="1">
      <c r="A106">
        <v>1000</v>
      </c>
      <c r="B106" t="s">
        <v>1959</v>
      </c>
      <c r="C106">
        <v>1</v>
      </c>
      <c r="D106" t="s">
        <v>1962</v>
      </c>
      <c r="E106">
        <v>1</v>
      </c>
      <c r="G106" s="90" t="s">
        <v>1963</v>
      </c>
      <c r="H106">
        <v>1</v>
      </c>
      <c r="I106">
        <v>1220</v>
      </c>
      <c r="J106" s="80" t="s">
        <v>1964</v>
      </c>
      <c r="K106" t="s">
        <v>767</v>
      </c>
      <c r="L106">
        <v>9002</v>
      </c>
      <c r="M106" t="s">
        <v>1780</v>
      </c>
      <c r="O106">
        <v>0.6</v>
      </c>
      <c r="P106" s="80" t="s">
        <v>1965</v>
      </c>
      <c r="Q106" t="s">
        <v>769</v>
      </c>
      <c r="R106">
        <v>9010</v>
      </c>
      <c r="S106" t="s">
        <v>1734</v>
      </c>
      <c r="U106">
        <v>0.8</v>
      </c>
      <c r="V106">
        <v>70001</v>
      </c>
      <c r="W106">
        <v>1</v>
      </c>
      <c r="X106">
        <v>1</v>
      </c>
      <c r="Y106">
        <v>70002</v>
      </c>
      <c r="Z106">
        <v>1</v>
      </c>
      <c r="AA106">
        <v>1</v>
      </c>
      <c r="AB106">
        <v>1001</v>
      </c>
      <c r="AC106">
        <v>300</v>
      </c>
      <c r="AD106">
        <v>1</v>
      </c>
      <c r="AE106">
        <v>8000</v>
      </c>
      <c r="AF106">
        <v>100</v>
      </c>
      <c r="AG106">
        <v>1</v>
      </c>
    </row>
    <row r="107" spans="1:33" ht="38.25" customHeight="1">
      <c r="A107">
        <v>1001</v>
      </c>
      <c r="B107" t="s">
        <v>1959</v>
      </c>
      <c r="C107">
        <v>1</v>
      </c>
      <c r="D107" t="s">
        <v>1966</v>
      </c>
      <c r="E107">
        <v>1</v>
      </c>
      <c r="G107" s="90" t="s">
        <v>1967</v>
      </c>
      <c r="I107">
        <v>1345</v>
      </c>
      <c r="J107" s="80" t="s">
        <v>1964</v>
      </c>
      <c r="K107" t="s">
        <v>767</v>
      </c>
      <c r="L107">
        <v>9001</v>
      </c>
      <c r="M107" t="s">
        <v>1968</v>
      </c>
      <c r="O107">
        <v>0.8</v>
      </c>
      <c r="P107" s="80" t="s">
        <v>1965</v>
      </c>
      <c r="Q107" t="s">
        <v>769</v>
      </c>
      <c r="R107">
        <v>9003</v>
      </c>
      <c r="S107" t="s">
        <v>1969</v>
      </c>
      <c r="U107">
        <v>0.3</v>
      </c>
      <c r="V107">
        <v>70001</v>
      </c>
      <c r="W107">
        <v>1</v>
      </c>
      <c r="X107">
        <v>1</v>
      </c>
      <c r="Y107">
        <v>70002</v>
      </c>
      <c r="Z107">
        <v>1</v>
      </c>
      <c r="AA107">
        <v>1</v>
      </c>
      <c r="AB107">
        <v>1001</v>
      </c>
      <c r="AC107">
        <v>300</v>
      </c>
      <c r="AD107">
        <v>1</v>
      </c>
      <c r="AE107">
        <v>8000</v>
      </c>
      <c r="AF107">
        <v>100</v>
      </c>
      <c r="AG107">
        <v>1</v>
      </c>
    </row>
    <row r="108" spans="1:33" ht="38.25" customHeight="1">
      <c r="A108">
        <v>1002</v>
      </c>
      <c r="B108" t="s">
        <v>1959</v>
      </c>
      <c r="C108">
        <v>1</v>
      </c>
      <c r="D108" t="s">
        <v>1970</v>
      </c>
      <c r="E108">
        <v>2</v>
      </c>
      <c r="G108" s="90" t="s">
        <v>1971</v>
      </c>
      <c r="I108">
        <v>1470</v>
      </c>
      <c r="J108" s="80" t="s">
        <v>1964</v>
      </c>
      <c r="K108" t="s">
        <v>767</v>
      </c>
      <c r="L108">
        <v>9005</v>
      </c>
      <c r="M108" t="s">
        <v>1972</v>
      </c>
      <c r="O108">
        <v>0.5</v>
      </c>
      <c r="P108" s="80" t="s">
        <v>1965</v>
      </c>
      <c r="Q108" t="s">
        <v>769</v>
      </c>
      <c r="R108">
        <v>9003</v>
      </c>
      <c r="S108" t="s">
        <v>1973</v>
      </c>
      <c r="U108">
        <v>0.9</v>
      </c>
      <c r="V108">
        <v>70001</v>
      </c>
      <c r="W108">
        <v>1</v>
      </c>
      <c r="X108">
        <v>1</v>
      </c>
      <c r="Y108">
        <v>70002</v>
      </c>
      <c r="Z108">
        <v>1</v>
      </c>
      <c r="AA108">
        <v>1</v>
      </c>
      <c r="AB108">
        <v>1001</v>
      </c>
      <c r="AC108">
        <v>300</v>
      </c>
      <c r="AD108">
        <v>1</v>
      </c>
      <c r="AE108">
        <v>8000</v>
      </c>
      <c r="AF108">
        <v>100</v>
      </c>
      <c r="AG108">
        <v>1</v>
      </c>
    </row>
    <row r="109" spans="1:33" ht="38.25" customHeight="1">
      <c r="A109">
        <v>1003</v>
      </c>
      <c r="B109" t="s">
        <v>1959</v>
      </c>
      <c r="C109">
        <v>1</v>
      </c>
      <c r="D109" t="s">
        <v>1974</v>
      </c>
      <c r="E109">
        <v>2</v>
      </c>
      <c r="G109" s="90" t="s">
        <v>1975</v>
      </c>
      <c r="I109">
        <v>1595</v>
      </c>
      <c r="J109" s="80" t="s">
        <v>1964</v>
      </c>
      <c r="K109" t="s">
        <v>767</v>
      </c>
      <c r="L109">
        <v>9002</v>
      </c>
      <c r="M109" t="s">
        <v>1696</v>
      </c>
      <c r="O109">
        <v>0.9</v>
      </c>
      <c r="P109" s="80" t="s">
        <v>1965</v>
      </c>
      <c r="Q109" t="s">
        <v>769</v>
      </c>
      <c r="R109">
        <v>9007</v>
      </c>
      <c r="S109">
        <v>3</v>
      </c>
      <c r="U109">
        <v>0.6</v>
      </c>
      <c r="V109">
        <v>70001</v>
      </c>
      <c r="W109">
        <v>1</v>
      </c>
      <c r="X109">
        <v>1</v>
      </c>
      <c r="Y109">
        <v>70002</v>
      </c>
      <c r="Z109">
        <v>1</v>
      </c>
      <c r="AA109">
        <v>1</v>
      </c>
      <c r="AB109">
        <v>1001</v>
      </c>
      <c r="AC109">
        <v>300</v>
      </c>
      <c r="AD109">
        <v>1</v>
      </c>
      <c r="AE109">
        <v>8000</v>
      </c>
      <c r="AF109">
        <v>100</v>
      </c>
      <c r="AG109">
        <v>1</v>
      </c>
    </row>
    <row r="110" spans="1:33" ht="38.25" customHeight="1">
      <c r="A110">
        <v>1004</v>
      </c>
      <c r="B110" t="s">
        <v>1959</v>
      </c>
      <c r="C110">
        <v>1</v>
      </c>
      <c r="D110" t="s">
        <v>1976</v>
      </c>
      <c r="E110">
        <v>3</v>
      </c>
      <c r="G110" s="90" t="s">
        <v>1977</v>
      </c>
      <c r="I110">
        <v>1720</v>
      </c>
      <c r="J110" s="80" t="s">
        <v>1964</v>
      </c>
      <c r="K110" t="s">
        <v>767</v>
      </c>
      <c r="L110">
        <v>9008</v>
      </c>
      <c r="M110">
        <v>9</v>
      </c>
      <c r="O110">
        <v>0.1</v>
      </c>
      <c r="P110" s="80" t="s">
        <v>1965</v>
      </c>
      <c r="Q110" t="s">
        <v>769</v>
      </c>
      <c r="R110">
        <v>9004</v>
      </c>
      <c r="S110" t="s">
        <v>1978</v>
      </c>
      <c r="U110">
        <v>0.4</v>
      </c>
      <c r="V110">
        <v>70001</v>
      </c>
      <c r="W110">
        <v>1</v>
      </c>
      <c r="X110">
        <v>1</v>
      </c>
      <c r="Y110">
        <v>70002</v>
      </c>
      <c r="Z110">
        <v>1</v>
      </c>
      <c r="AA110">
        <v>1</v>
      </c>
      <c r="AB110">
        <v>1001</v>
      </c>
      <c r="AC110">
        <v>300</v>
      </c>
      <c r="AD110">
        <v>1</v>
      </c>
      <c r="AE110">
        <v>8000</v>
      </c>
      <c r="AF110">
        <v>100</v>
      </c>
      <c r="AG110">
        <v>1</v>
      </c>
    </row>
    <row r="111" spans="1:33" ht="38.25" customHeight="1">
      <c r="A111">
        <v>1005</v>
      </c>
      <c r="B111" t="s">
        <v>1959</v>
      </c>
      <c r="C111">
        <v>1</v>
      </c>
      <c r="D111" t="s">
        <v>1979</v>
      </c>
      <c r="E111">
        <v>3</v>
      </c>
      <c r="G111" s="90" t="s">
        <v>1980</v>
      </c>
      <c r="I111">
        <v>1845</v>
      </c>
      <c r="J111" s="80" t="s">
        <v>1964</v>
      </c>
      <c r="K111" t="s">
        <v>767</v>
      </c>
      <c r="L111">
        <v>9006</v>
      </c>
      <c r="M111" t="s">
        <v>1981</v>
      </c>
      <c r="O111">
        <v>0.8</v>
      </c>
      <c r="P111" s="80" t="s">
        <v>1965</v>
      </c>
      <c r="Q111" t="s">
        <v>769</v>
      </c>
      <c r="R111">
        <v>9003</v>
      </c>
      <c r="S111" t="s">
        <v>1982</v>
      </c>
      <c r="U111">
        <v>0.8</v>
      </c>
      <c r="V111">
        <v>70001</v>
      </c>
      <c r="W111">
        <v>1</v>
      </c>
      <c r="X111">
        <v>1</v>
      </c>
      <c r="Y111">
        <v>70002</v>
      </c>
      <c r="Z111">
        <v>1</v>
      </c>
      <c r="AA111">
        <v>1</v>
      </c>
      <c r="AB111">
        <v>1001</v>
      </c>
      <c r="AC111">
        <v>300</v>
      </c>
      <c r="AD111">
        <v>1</v>
      </c>
      <c r="AE111">
        <v>8000</v>
      </c>
      <c r="AF111">
        <v>100</v>
      </c>
      <c r="AG111">
        <v>1</v>
      </c>
    </row>
    <row r="112" spans="1:33" ht="38.25" customHeight="1">
      <c r="A112">
        <v>1006</v>
      </c>
      <c r="B112" t="s">
        <v>1959</v>
      </c>
      <c r="C112">
        <v>1</v>
      </c>
      <c r="D112" t="s">
        <v>1983</v>
      </c>
      <c r="E112">
        <v>4</v>
      </c>
      <c r="G112" s="90" t="s">
        <v>1984</v>
      </c>
      <c r="I112">
        <v>1970</v>
      </c>
      <c r="J112" s="80" t="s">
        <v>1964</v>
      </c>
      <c r="K112" t="s">
        <v>767</v>
      </c>
      <c r="L112">
        <v>9005</v>
      </c>
      <c r="M112" t="s">
        <v>1955</v>
      </c>
      <c r="O112">
        <v>0.3</v>
      </c>
      <c r="P112" s="80" t="s">
        <v>1965</v>
      </c>
      <c r="Q112" t="s">
        <v>769</v>
      </c>
      <c r="R112">
        <v>9003</v>
      </c>
      <c r="S112" t="s">
        <v>1802</v>
      </c>
      <c r="U112">
        <v>0.2</v>
      </c>
      <c r="V112">
        <v>70001</v>
      </c>
      <c r="W112">
        <v>1</v>
      </c>
      <c r="X112">
        <v>1</v>
      </c>
      <c r="Y112">
        <v>70002</v>
      </c>
      <c r="Z112">
        <v>1</v>
      </c>
      <c r="AA112">
        <v>1</v>
      </c>
      <c r="AB112">
        <v>1001</v>
      </c>
      <c r="AC112">
        <v>300</v>
      </c>
      <c r="AD112">
        <v>1</v>
      </c>
      <c r="AE112">
        <v>8000</v>
      </c>
      <c r="AF112">
        <v>100</v>
      </c>
      <c r="AG112">
        <v>1</v>
      </c>
    </row>
    <row r="113" spans="1:33" ht="38.25" customHeight="1">
      <c r="A113">
        <v>1007</v>
      </c>
      <c r="B113" t="s">
        <v>1959</v>
      </c>
      <c r="C113">
        <v>1</v>
      </c>
      <c r="D113" t="s">
        <v>1985</v>
      </c>
      <c r="E113">
        <v>4</v>
      </c>
      <c r="G113" s="90" t="s">
        <v>1986</v>
      </c>
      <c r="I113">
        <v>2095</v>
      </c>
      <c r="J113" s="80" t="s">
        <v>1964</v>
      </c>
      <c r="K113" t="s">
        <v>767</v>
      </c>
      <c r="L113">
        <v>9008</v>
      </c>
      <c r="M113">
        <v>10</v>
      </c>
      <c r="O113">
        <v>0.5</v>
      </c>
      <c r="P113" s="80" t="s">
        <v>1965</v>
      </c>
      <c r="Q113" t="s">
        <v>769</v>
      </c>
      <c r="R113">
        <v>9003</v>
      </c>
      <c r="S113" t="s">
        <v>1849</v>
      </c>
      <c r="U113">
        <v>0.8</v>
      </c>
      <c r="V113">
        <v>70001</v>
      </c>
      <c r="W113">
        <v>1</v>
      </c>
      <c r="X113">
        <v>1</v>
      </c>
      <c r="Y113">
        <v>70002</v>
      </c>
      <c r="Z113">
        <v>1</v>
      </c>
      <c r="AA113">
        <v>1</v>
      </c>
      <c r="AB113">
        <v>1001</v>
      </c>
      <c r="AC113">
        <v>300</v>
      </c>
      <c r="AD113">
        <v>1</v>
      </c>
      <c r="AE113">
        <v>8000</v>
      </c>
      <c r="AF113">
        <v>100</v>
      </c>
      <c r="AG113">
        <v>1</v>
      </c>
    </row>
    <row r="114" spans="1:33" ht="38.25" customHeight="1">
      <c r="A114">
        <v>1008</v>
      </c>
      <c r="B114" t="s">
        <v>1959</v>
      </c>
      <c r="C114">
        <v>1</v>
      </c>
      <c r="D114" t="s">
        <v>1987</v>
      </c>
      <c r="E114">
        <v>5</v>
      </c>
      <c r="G114" s="90" t="s">
        <v>1988</v>
      </c>
      <c r="I114">
        <v>2220</v>
      </c>
      <c r="J114" s="80" t="s">
        <v>1964</v>
      </c>
      <c r="K114" t="s">
        <v>767</v>
      </c>
      <c r="L114">
        <v>9011</v>
      </c>
      <c r="M114" t="s">
        <v>1989</v>
      </c>
      <c r="O114">
        <v>0.2</v>
      </c>
      <c r="P114" s="80" t="s">
        <v>1965</v>
      </c>
      <c r="Q114" t="s">
        <v>769</v>
      </c>
      <c r="R114">
        <v>9007</v>
      </c>
      <c r="S114">
        <v>5</v>
      </c>
      <c r="U114">
        <v>0.3</v>
      </c>
      <c r="V114">
        <v>70001</v>
      </c>
      <c r="W114">
        <v>1</v>
      </c>
      <c r="X114">
        <v>1</v>
      </c>
      <c r="Y114">
        <v>70002</v>
      </c>
      <c r="Z114">
        <v>1</v>
      </c>
      <c r="AA114">
        <v>1</v>
      </c>
      <c r="AB114">
        <v>1001</v>
      </c>
      <c r="AC114">
        <v>300</v>
      </c>
      <c r="AD114">
        <v>1</v>
      </c>
      <c r="AE114">
        <v>8000</v>
      </c>
      <c r="AF114">
        <v>100</v>
      </c>
      <c r="AG114">
        <v>1</v>
      </c>
    </row>
    <row r="115" spans="1:33" ht="38.25" customHeight="1">
      <c r="A115">
        <v>1009</v>
      </c>
      <c r="B115" t="s">
        <v>1959</v>
      </c>
      <c r="C115">
        <v>1</v>
      </c>
      <c r="D115" t="s">
        <v>1990</v>
      </c>
      <c r="E115">
        <v>5</v>
      </c>
      <c r="G115" s="90" t="s">
        <v>1991</v>
      </c>
      <c r="I115">
        <v>2345</v>
      </c>
      <c r="J115" s="80" t="s">
        <v>1964</v>
      </c>
      <c r="K115" t="s">
        <v>767</v>
      </c>
      <c r="L115">
        <v>9002</v>
      </c>
      <c r="M115">
        <v>2</v>
      </c>
      <c r="O115">
        <v>0.3</v>
      </c>
      <c r="P115" s="80" t="s">
        <v>1965</v>
      </c>
      <c r="Q115" t="s">
        <v>769</v>
      </c>
      <c r="R115">
        <v>9003</v>
      </c>
      <c r="S115">
        <v>12</v>
      </c>
      <c r="U115">
        <v>0.9</v>
      </c>
      <c r="V115">
        <v>70001</v>
      </c>
      <c r="W115">
        <v>1</v>
      </c>
      <c r="X115">
        <v>1</v>
      </c>
      <c r="Y115">
        <v>70002</v>
      </c>
      <c r="Z115">
        <v>1</v>
      </c>
      <c r="AA115">
        <v>1</v>
      </c>
      <c r="AB115">
        <v>1001</v>
      </c>
      <c r="AC115">
        <v>300</v>
      </c>
      <c r="AD115">
        <v>1</v>
      </c>
      <c r="AE115">
        <v>8000</v>
      </c>
      <c r="AF115">
        <v>100</v>
      </c>
      <c r="AG115">
        <v>1</v>
      </c>
    </row>
    <row r="116" spans="1:33" ht="38.25" customHeight="1">
      <c r="A116">
        <v>1010</v>
      </c>
      <c r="B116" t="s">
        <v>1959</v>
      </c>
      <c r="C116">
        <v>1</v>
      </c>
      <c r="D116" t="s">
        <v>1992</v>
      </c>
      <c r="E116">
        <v>6</v>
      </c>
      <c r="G116" s="90" t="s">
        <v>1993</v>
      </c>
      <c r="I116">
        <v>2470</v>
      </c>
      <c r="J116" s="80" t="s">
        <v>1964</v>
      </c>
      <c r="K116" t="s">
        <v>767</v>
      </c>
      <c r="L116">
        <v>9002</v>
      </c>
      <c r="M116">
        <v>4</v>
      </c>
      <c r="O116">
        <v>0.6</v>
      </c>
      <c r="P116" s="80" t="s">
        <v>1965</v>
      </c>
      <c r="Q116" t="s">
        <v>769</v>
      </c>
      <c r="R116">
        <v>9008</v>
      </c>
      <c r="S116" t="s">
        <v>1790</v>
      </c>
      <c r="U116">
        <v>0.7</v>
      </c>
      <c r="V116">
        <v>70001</v>
      </c>
      <c r="W116">
        <v>1</v>
      </c>
      <c r="X116">
        <v>1</v>
      </c>
      <c r="Y116">
        <v>70002</v>
      </c>
      <c r="Z116">
        <v>1</v>
      </c>
      <c r="AA116">
        <v>1</v>
      </c>
      <c r="AB116">
        <v>1001</v>
      </c>
      <c r="AC116">
        <v>300</v>
      </c>
      <c r="AD116">
        <v>1</v>
      </c>
      <c r="AE116">
        <v>8000</v>
      </c>
      <c r="AF116">
        <v>100</v>
      </c>
      <c r="AG116">
        <v>1</v>
      </c>
    </row>
    <row r="117" spans="1:33" ht="38.25" customHeight="1">
      <c r="A117">
        <v>1011</v>
      </c>
      <c r="B117" t="s">
        <v>1959</v>
      </c>
      <c r="C117">
        <v>1</v>
      </c>
      <c r="D117" t="s">
        <v>1994</v>
      </c>
      <c r="E117">
        <v>6</v>
      </c>
      <c r="G117" s="90" t="s">
        <v>1995</v>
      </c>
      <c r="I117">
        <v>2595</v>
      </c>
      <c r="J117" s="80" t="s">
        <v>1964</v>
      </c>
      <c r="K117" t="s">
        <v>767</v>
      </c>
      <c r="L117">
        <v>9006</v>
      </c>
      <c r="M117" t="s">
        <v>1996</v>
      </c>
      <c r="O117">
        <v>0.6</v>
      </c>
      <c r="P117" s="80" t="s">
        <v>1965</v>
      </c>
      <c r="Q117" t="s">
        <v>769</v>
      </c>
      <c r="R117">
        <v>9011</v>
      </c>
      <c r="S117">
        <v>3</v>
      </c>
      <c r="U117">
        <v>0.4</v>
      </c>
      <c r="V117">
        <v>70001</v>
      </c>
      <c r="W117">
        <v>1</v>
      </c>
      <c r="X117">
        <v>1</v>
      </c>
      <c r="Y117">
        <v>70002</v>
      </c>
      <c r="Z117">
        <v>1</v>
      </c>
      <c r="AA117">
        <v>1</v>
      </c>
      <c r="AB117">
        <v>1001</v>
      </c>
      <c r="AC117">
        <v>300</v>
      </c>
      <c r="AD117">
        <v>1</v>
      </c>
      <c r="AE117">
        <v>8000</v>
      </c>
      <c r="AF117">
        <v>100</v>
      </c>
      <c r="AG117">
        <v>1</v>
      </c>
    </row>
    <row r="118" spans="1:33" ht="38.25" customHeight="1">
      <c r="A118">
        <v>1012</v>
      </c>
      <c r="B118" t="s">
        <v>1959</v>
      </c>
      <c r="C118">
        <v>1</v>
      </c>
      <c r="D118" t="s">
        <v>1997</v>
      </c>
      <c r="E118">
        <v>7</v>
      </c>
      <c r="G118" s="90" t="s">
        <v>1998</v>
      </c>
      <c r="I118">
        <v>2720</v>
      </c>
      <c r="J118" s="80" t="s">
        <v>1964</v>
      </c>
      <c r="K118" t="s">
        <v>767</v>
      </c>
      <c r="L118">
        <v>9002</v>
      </c>
      <c r="M118" t="s">
        <v>1745</v>
      </c>
      <c r="O118">
        <v>0.5</v>
      </c>
      <c r="P118" s="80" t="s">
        <v>1965</v>
      </c>
      <c r="Q118" t="s">
        <v>769</v>
      </c>
      <c r="R118">
        <v>9007</v>
      </c>
      <c r="S118" t="s">
        <v>1786</v>
      </c>
      <c r="U118">
        <v>0.2</v>
      </c>
      <c r="V118">
        <v>70001</v>
      </c>
      <c r="W118">
        <v>1</v>
      </c>
      <c r="X118">
        <v>1</v>
      </c>
      <c r="Y118">
        <v>70002</v>
      </c>
      <c r="Z118">
        <v>1</v>
      </c>
      <c r="AA118">
        <v>1</v>
      </c>
      <c r="AB118">
        <v>1001</v>
      </c>
      <c r="AC118">
        <v>300</v>
      </c>
      <c r="AD118">
        <v>1</v>
      </c>
      <c r="AE118">
        <v>8000</v>
      </c>
      <c r="AF118">
        <v>100</v>
      </c>
      <c r="AG118">
        <v>1</v>
      </c>
    </row>
    <row r="119" spans="1:33" ht="38.25" customHeight="1">
      <c r="A119">
        <v>1013</v>
      </c>
      <c r="B119" t="s">
        <v>1959</v>
      </c>
      <c r="C119">
        <v>1</v>
      </c>
      <c r="D119" t="s">
        <v>1999</v>
      </c>
      <c r="E119">
        <v>7</v>
      </c>
      <c r="G119" s="90" t="s">
        <v>2000</v>
      </c>
      <c r="I119">
        <v>2845</v>
      </c>
      <c r="J119" s="80" t="s">
        <v>1964</v>
      </c>
      <c r="K119" t="s">
        <v>767</v>
      </c>
      <c r="L119">
        <v>9008</v>
      </c>
      <c r="M119" t="s">
        <v>2001</v>
      </c>
      <c r="O119">
        <v>0.2</v>
      </c>
      <c r="P119" s="80" t="s">
        <v>1965</v>
      </c>
      <c r="Q119" t="s">
        <v>769</v>
      </c>
      <c r="R119">
        <v>9011</v>
      </c>
      <c r="S119" t="s">
        <v>2002</v>
      </c>
      <c r="U119">
        <v>0.6</v>
      </c>
      <c r="V119">
        <v>70001</v>
      </c>
      <c r="W119">
        <v>1</v>
      </c>
      <c r="X119">
        <v>1</v>
      </c>
      <c r="Y119">
        <v>70002</v>
      </c>
      <c r="Z119">
        <v>1</v>
      </c>
      <c r="AA119">
        <v>1</v>
      </c>
      <c r="AB119">
        <v>1001</v>
      </c>
      <c r="AC119">
        <v>300</v>
      </c>
      <c r="AD119">
        <v>1</v>
      </c>
      <c r="AE119">
        <v>8000</v>
      </c>
      <c r="AF119">
        <v>100</v>
      </c>
      <c r="AG119">
        <v>1</v>
      </c>
    </row>
    <row r="120" spans="1:33" ht="38.25" customHeight="1">
      <c r="A120">
        <v>1014</v>
      </c>
      <c r="B120" t="s">
        <v>1959</v>
      </c>
      <c r="C120">
        <v>1</v>
      </c>
      <c r="D120" t="s">
        <v>2003</v>
      </c>
      <c r="E120">
        <v>8</v>
      </c>
      <c r="G120" s="90" t="s">
        <v>2004</v>
      </c>
      <c r="I120">
        <v>2970</v>
      </c>
      <c r="J120" s="80" t="s">
        <v>1964</v>
      </c>
      <c r="K120" t="s">
        <v>767</v>
      </c>
      <c r="L120">
        <v>9002</v>
      </c>
      <c r="M120" t="s">
        <v>1845</v>
      </c>
      <c r="O120">
        <v>0.6</v>
      </c>
      <c r="P120" s="80" t="s">
        <v>1965</v>
      </c>
      <c r="Q120" t="s">
        <v>769</v>
      </c>
      <c r="R120">
        <v>9010</v>
      </c>
      <c r="S120" t="s">
        <v>2005</v>
      </c>
      <c r="U120">
        <v>0.9</v>
      </c>
      <c r="V120">
        <v>70001</v>
      </c>
      <c r="W120">
        <v>1</v>
      </c>
      <c r="X120">
        <v>1</v>
      </c>
      <c r="Y120">
        <v>70002</v>
      </c>
      <c r="Z120">
        <v>1</v>
      </c>
      <c r="AA120">
        <v>1</v>
      </c>
      <c r="AB120">
        <v>1001</v>
      </c>
      <c r="AC120">
        <v>300</v>
      </c>
      <c r="AD120">
        <v>1</v>
      </c>
      <c r="AE120">
        <v>8000</v>
      </c>
      <c r="AF120">
        <v>100</v>
      </c>
      <c r="AG120">
        <v>1</v>
      </c>
    </row>
    <row r="121" spans="1:33" ht="38.25" customHeight="1">
      <c r="A121">
        <v>1015</v>
      </c>
      <c r="B121" t="s">
        <v>1959</v>
      </c>
      <c r="C121">
        <v>1</v>
      </c>
      <c r="D121" t="s">
        <v>2006</v>
      </c>
      <c r="E121">
        <v>8</v>
      </c>
      <c r="G121" s="90" t="s">
        <v>2007</v>
      </c>
      <c r="I121">
        <v>3095</v>
      </c>
      <c r="J121" s="80" t="s">
        <v>1964</v>
      </c>
      <c r="K121" t="s">
        <v>767</v>
      </c>
      <c r="L121">
        <v>9005</v>
      </c>
      <c r="M121">
        <v>9</v>
      </c>
      <c r="O121">
        <v>0.5</v>
      </c>
      <c r="P121" s="80" t="s">
        <v>1965</v>
      </c>
      <c r="Q121" t="s">
        <v>769</v>
      </c>
      <c r="R121">
        <v>9004</v>
      </c>
      <c r="S121" t="s">
        <v>2008</v>
      </c>
      <c r="U121">
        <v>0.5</v>
      </c>
      <c r="V121">
        <v>70001</v>
      </c>
      <c r="W121">
        <v>1</v>
      </c>
      <c r="X121">
        <v>1</v>
      </c>
      <c r="Y121">
        <v>70002</v>
      </c>
      <c r="Z121">
        <v>1</v>
      </c>
      <c r="AA121">
        <v>1</v>
      </c>
      <c r="AB121">
        <v>1001</v>
      </c>
      <c r="AC121">
        <v>300</v>
      </c>
      <c r="AD121">
        <v>1</v>
      </c>
      <c r="AE121">
        <v>8000</v>
      </c>
      <c r="AF121">
        <v>100</v>
      </c>
      <c r="AG121">
        <v>1</v>
      </c>
    </row>
    <row r="122" spans="1:33" ht="38.25" customHeight="1">
      <c r="A122">
        <v>1016</v>
      </c>
      <c r="B122" t="s">
        <v>1959</v>
      </c>
      <c r="C122">
        <v>1</v>
      </c>
      <c r="D122" t="s">
        <v>2009</v>
      </c>
      <c r="E122">
        <v>9</v>
      </c>
      <c r="G122" s="90" t="s">
        <v>2010</v>
      </c>
      <c r="I122">
        <v>3220</v>
      </c>
      <c r="J122" s="80" t="s">
        <v>1964</v>
      </c>
      <c r="K122" t="s">
        <v>767</v>
      </c>
      <c r="L122">
        <v>9011</v>
      </c>
      <c r="M122">
        <v>6</v>
      </c>
      <c r="O122">
        <v>0.7</v>
      </c>
      <c r="P122" s="80" t="s">
        <v>1965</v>
      </c>
      <c r="Q122" t="s">
        <v>769</v>
      </c>
      <c r="R122">
        <v>9012</v>
      </c>
      <c r="S122" t="s">
        <v>2011</v>
      </c>
      <c r="U122">
        <v>0.5</v>
      </c>
      <c r="V122">
        <v>70001</v>
      </c>
      <c r="W122">
        <v>1</v>
      </c>
      <c r="X122">
        <v>1</v>
      </c>
      <c r="Y122">
        <v>70002</v>
      </c>
      <c r="Z122">
        <v>1</v>
      </c>
      <c r="AA122">
        <v>1</v>
      </c>
      <c r="AB122">
        <v>1001</v>
      </c>
      <c r="AC122">
        <v>300</v>
      </c>
      <c r="AD122">
        <v>1</v>
      </c>
      <c r="AE122">
        <v>8000</v>
      </c>
      <c r="AF122">
        <v>100</v>
      </c>
      <c r="AG122">
        <v>1</v>
      </c>
    </row>
    <row r="123" spans="1:33" ht="38.25" customHeight="1">
      <c r="A123">
        <v>1017</v>
      </c>
      <c r="B123" t="s">
        <v>1959</v>
      </c>
      <c r="C123">
        <v>1</v>
      </c>
      <c r="D123" t="s">
        <v>2012</v>
      </c>
      <c r="E123">
        <v>9</v>
      </c>
      <c r="G123" s="90" t="s">
        <v>2013</v>
      </c>
      <c r="I123">
        <v>3345</v>
      </c>
      <c r="J123" s="80" t="s">
        <v>1964</v>
      </c>
      <c r="K123" t="s">
        <v>767</v>
      </c>
      <c r="L123">
        <v>9002</v>
      </c>
      <c r="M123">
        <v>10</v>
      </c>
      <c r="O123">
        <v>0.9</v>
      </c>
      <c r="P123" s="80" t="s">
        <v>1965</v>
      </c>
      <c r="Q123" t="s">
        <v>769</v>
      </c>
      <c r="R123">
        <v>9008</v>
      </c>
      <c r="S123">
        <v>1</v>
      </c>
      <c r="U123">
        <v>0.4</v>
      </c>
      <c r="V123">
        <v>70001</v>
      </c>
      <c r="W123">
        <v>1</v>
      </c>
      <c r="X123">
        <v>1</v>
      </c>
      <c r="Y123">
        <v>70002</v>
      </c>
      <c r="Z123">
        <v>1</v>
      </c>
      <c r="AA123">
        <v>1</v>
      </c>
      <c r="AB123">
        <v>1001</v>
      </c>
      <c r="AC123">
        <v>300</v>
      </c>
      <c r="AD123">
        <v>1</v>
      </c>
      <c r="AE123">
        <v>8000</v>
      </c>
      <c r="AF123">
        <v>150</v>
      </c>
      <c r="AG123">
        <v>1</v>
      </c>
    </row>
    <row r="124" spans="1:33" ht="38.25" customHeight="1">
      <c r="A124">
        <v>1018</v>
      </c>
      <c r="B124" t="s">
        <v>1959</v>
      </c>
      <c r="C124">
        <v>1</v>
      </c>
      <c r="D124" t="s">
        <v>2014</v>
      </c>
      <c r="E124">
        <v>10</v>
      </c>
      <c r="G124" s="90" t="s">
        <v>2015</v>
      </c>
      <c r="I124">
        <v>3470</v>
      </c>
      <c r="J124" s="80" t="s">
        <v>1964</v>
      </c>
      <c r="K124" t="s">
        <v>767</v>
      </c>
      <c r="L124">
        <v>9002</v>
      </c>
      <c r="M124" t="s">
        <v>2016</v>
      </c>
      <c r="O124">
        <v>0.2</v>
      </c>
      <c r="P124" s="80" t="s">
        <v>1965</v>
      </c>
      <c r="Q124" t="s">
        <v>769</v>
      </c>
      <c r="R124">
        <v>9010</v>
      </c>
      <c r="S124">
        <v>11</v>
      </c>
      <c r="U124">
        <v>0.8</v>
      </c>
      <c r="V124">
        <v>70001</v>
      </c>
      <c r="W124">
        <v>1</v>
      </c>
      <c r="X124">
        <v>1</v>
      </c>
      <c r="Y124">
        <v>70002</v>
      </c>
      <c r="Z124">
        <v>1</v>
      </c>
      <c r="AA124">
        <v>1</v>
      </c>
      <c r="AB124">
        <v>1001</v>
      </c>
      <c r="AC124">
        <v>300</v>
      </c>
      <c r="AD124">
        <v>1</v>
      </c>
      <c r="AE124">
        <v>8000</v>
      </c>
      <c r="AF124">
        <v>150</v>
      </c>
      <c r="AG124">
        <v>1</v>
      </c>
    </row>
    <row r="125" spans="1:33" ht="38.25" customHeight="1">
      <c r="A125">
        <v>1019</v>
      </c>
      <c r="B125" t="s">
        <v>1959</v>
      </c>
      <c r="C125">
        <v>1</v>
      </c>
      <c r="D125" t="s">
        <v>2017</v>
      </c>
      <c r="E125">
        <v>10</v>
      </c>
      <c r="G125" s="90" t="s">
        <v>2018</v>
      </c>
      <c r="I125">
        <v>3595</v>
      </c>
      <c r="J125" s="80" t="s">
        <v>1964</v>
      </c>
      <c r="K125" t="s">
        <v>767</v>
      </c>
      <c r="L125">
        <v>9002</v>
      </c>
      <c r="M125" t="s">
        <v>2019</v>
      </c>
      <c r="O125">
        <v>0.7</v>
      </c>
      <c r="P125" s="80" t="s">
        <v>1965</v>
      </c>
      <c r="Q125" t="s">
        <v>769</v>
      </c>
      <c r="R125">
        <v>9008</v>
      </c>
      <c r="S125" t="s">
        <v>1858</v>
      </c>
      <c r="U125">
        <v>0.7</v>
      </c>
      <c r="V125">
        <v>70001</v>
      </c>
      <c r="W125">
        <v>1</v>
      </c>
      <c r="X125">
        <v>1</v>
      </c>
      <c r="Y125">
        <v>70002</v>
      </c>
      <c r="Z125">
        <v>1</v>
      </c>
      <c r="AA125">
        <v>1</v>
      </c>
      <c r="AB125">
        <v>1001</v>
      </c>
      <c r="AC125">
        <v>300</v>
      </c>
      <c r="AD125">
        <v>1</v>
      </c>
      <c r="AE125">
        <v>8000</v>
      </c>
      <c r="AF125">
        <v>150</v>
      </c>
      <c r="AG125">
        <v>1</v>
      </c>
    </row>
    <row r="126" spans="1:33" ht="38.25" customHeight="1">
      <c r="A126">
        <v>1020</v>
      </c>
      <c r="B126" t="s">
        <v>1959</v>
      </c>
      <c r="C126">
        <v>1</v>
      </c>
      <c r="D126" t="s">
        <v>2020</v>
      </c>
      <c r="E126">
        <v>11</v>
      </c>
      <c r="G126" s="90" t="s">
        <v>2021</v>
      </c>
      <c r="I126">
        <v>3720</v>
      </c>
      <c r="J126" s="80" t="s">
        <v>1964</v>
      </c>
      <c r="K126" t="s">
        <v>767</v>
      </c>
      <c r="L126">
        <v>9002</v>
      </c>
      <c r="M126" t="s">
        <v>2022</v>
      </c>
      <c r="O126">
        <v>0.3</v>
      </c>
      <c r="P126" s="80" t="s">
        <v>1965</v>
      </c>
      <c r="Q126" t="s">
        <v>769</v>
      </c>
      <c r="R126">
        <v>9012</v>
      </c>
      <c r="S126" t="s">
        <v>2023</v>
      </c>
      <c r="U126">
        <v>0.7</v>
      </c>
      <c r="V126">
        <v>70001</v>
      </c>
      <c r="W126">
        <v>1</v>
      </c>
      <c r="X126">
        <v>1</v>
      </c>
      <c r="Y126">
        <v>70002</v>
      </c>
      <c r="Z126">
        <v>1</v>
      </c>
      <c r="AA126">
        <v>1</v>
      </c>
      <c r="AB126">
        <v>1001</v>
      </c>
      <c r="AC126">
        <v>300</v>
      </c>
      <c r="AD126">
        <v>1</v>
      </c>
      <c r="AE126">
        <v>8000</v>
      </c>
      <c r="AF126">
        <v>150</v>
      </c>
      <c r="AG126">
        <v>1</v>
      </c>
    </row>
    <row r="127" spans="1:33" ht="38.25" customHeight="1">
      <c r="A127">
        <v>1021</v>
      </c>
      <c r="B127" t="s">
        <v>1959</v>
      </c>
      <c r="C127">
        <v>1</v>
      </c>
      <c r="D127" t="s">
        <v>2024</v>
      </c>
      <c r="E127">
        <v>11</v>
      </c>
      <c r="G127" s="90" t="s">
        <v>2025</v>
      </c>
      <c r="I127">
        <v>3845</v>
      </c>
      <c r="J127" s="80" t="s">
        <v>1964</v>
      </c>
      <c r="K127" t="s">
        <v>767</v>
      </c>
      <c r="L127">
        <v>9012</v>
      </c>
      <c r="M127" t="s">
        <v>2026</v>
      </c>
      <c r="O127">
        <v>0.9</v>
      </c>
      <c r="P127" s="80" t="s">
        <v>1965</v>
      </c>
      <c r="Q127" t="s">
        <v>769</v>
      </c>
      <c r="R127">
        <v>9010</v>
      </c>
      <c r="S127" t="s">
        <v>1812</v>
      </c>
      <c r="U127">
        <v>0.7</v>
      </c>
      <c r="V127">
        <v>70001</v>
      </c>
      <c r="W127">
        <v>1</v>
      </c>
      <c r="X127">
        <v>1</v>
      </c>
      <c r="Y127">
        <v>70002</v>
      </c>
      <c r="Z127">
        <v>1</v>
      </c>
      <c r="AA127">
        <v>1</v>
      </c>
      <c r="AB127">
        <v>1001</v>
      </c>
      <c r="AC127">
        <v>300</v>
      </c>
      <c r="AD127">
        <v>1</v>
      </c>
      <c r="AE127">
        <v>8000</v>
      </c>
      <c r="AF127">
        <v>150</v>
      </c>
      <c r="AG127">
        <v>1</v>
      </c>
    </row>
    <row r="128" spans="1:33" ht="38.25" customHeight="1">
      <c r="A128">
        <v>1022</v>
      </c>
      <c r="B128" t="s">
        <v>1959</v>
      </c>
      <c r="C128">
        <v>1</v>
      </c>
      <c r="D128" t="s">
        <v>2027</v>
      </c>
      <c r="E128">
        <v>12</v>
      </c>
      <c r="G128" s="90" t="s">
        <v>2028</v>
      </c>
      <c r="I128">
        <v>3970</v>
      </c>
      <c r="J128" s="80" t="s">
        <v>1964</v>
      </c>
      <c r="K128" t="s">
        <v>767</v>
      </c>
      <c r="L128">
        <v>9006</v>
      </c>
      <c r="M128" t="s">
        <v>1656</v>
      </c>
      <c r="O128">
        <v>0.2</v>
      </c>
      <c r="P128" s="80" t="s">
        <v>1965</v>
      </c>
      <c r="Q128" t="s">
        <v>769</v>
      </c>
      <c r="R128">
        <v>9010</v>
      </c>
      <c r="S128" t="s">
        <v>1955</v>
      </c>
      <c r="U128">
        <v>0.9</v>
      </c>
      <c r="V128">
        <v>70001</v>
      </c>
      <c r="W128">
        <v>1</v>
      </c>
      <c r="X128">
        <v>1</v>
      </c>
      <c r="Y128">
        <v>70002</v>
      </c>
      <c r="Z128">
        <v>1</v>
      </c>
      <c r="AA128">
        <v>1</v>
      </c>
      <c r="AB128">
        <v>1001</v>
      </c>
      <c r="AC128">
        <v>300</v>
      </c>
      <c r="AD128">
        <v>1</v>
      </c>
      <c r="AE128">
        <v>8000</v>
      </c>
      <c r="AF128">
        <v>200</v>
      </c>
      <c r="AG128">
        <v>1</v>
      </c>
    </row>
    <row r="129" spans="1:33" ht="38.25" customHeight="1">
      <c r="A129">
        <v>1023</v>
      </c>
      <c r="B129" t="s">
        <v>1959</v>
      </c>
      <c r="C129">
        <v>1</v>
      </c>
      <c r="D129" t="s">
        <v>2029</v>
      </c>
      <c r="E129">
        <v>12</v>
      </c>
      <c r="G129" s="90" t="s">
        <v>2030</v>
      </c>
      <c r="I129">
        <v>4095</v>
      </c>
      <c r="J129" s="80" t="s">
        <v>1964</v>
      </c>
      <c r="K129" t="s">
        <v>767</v>
      </c>
      <c r="L129">
        <v>9007</v>
      </c>
      <c r="M129">
        <v>6</v>
      </c>
      <c r="O129">
        <v>0.1</v>
      </c>
      <c r="P129" s="80" t="s">
        <v>1965</v>
      </c>
      <c r="Q129" t="s">
        <v>769</v>
      </c>
      <c r="R129">
        <v>9011</v>
      </c>
      <c r="S129" t="s">
        <v>2031</v>
      </c>
      <c r="U129">
        <v>0.9</v>
      </c>
      <c r="V129">
        <v>70001</v>
      </c>
      <c r="W129">
        <v>1</v>
      </c>
      <c r="X129">
        <v>1</v>
      </c>
      <c r="Y129">
        <v>70002</v>
      </c>
      <c r="Z129">
        <v>1</v>
      </c>
      <c r="AA129">
        <v>1</v>
      </c>
      <c r="AB129">
        <v>1001</v>
      </c>
      <c r="AC129">
        <v>300</v>
      </c>
      <c r="AD129">
        <v>1</v>
      </c>
      <c r="AE129">
        <v>8000</v>
      </c>
      <c r="AF129">
        <v>200</v>
      </c>
      <c r="AG129">
        <v>1</v>
      </c>
    </row>
    <row r="130" spans="1:33" ht="38.25" customHeight="1">
      <c r="A130">
        <v>1024</v>
      </c>
      <c r="B130" t="s">
        <v>1959</v>
      </c>
      <c r="C130">
        <v>1</v>
      </c>
      <c r="D130" t="s">
        <v>2032</v>
      </c>
      <c r="E130">
        <v>13</v>
      </c>
      <c r="G130" s="90" t="s">
        <v>2033</v>
      </c>
      <c r="I130">
        <v>4220</v>
      </c>
      <c r="J130" s="80" t="s">
        <v>1964</v>
      </c>
      <c r="K130" t="s">
        <v>767</v>
      </c>
      <c r="L130">
        <v>9011</v>
      </c>
      <c r="M130">
        <v>13</v>
      </c>
      <c r="O130">
        <v>0.8</v>
      </c>
      <c r="P130" s="80" t="s">
        <v>1965</v>
      </c>
      <c r="Q130" t="s">
        <v>769</v>
      </c>
      <c r="R130">
        <v>9003</v>
      </c>
      <c r="S130" t="s">
        <v>1968</v>
      </c>
      <c r="U130">
        <v>0.9</v>
      </c>
      <c r="V130">
        <v>70001</v>
      </c>
      <c r="W130">
        <v>1</v>
      </c>
      <c r="X130">
        <v>1</v>
      </c>
      <c r="Y130">
        <v>70002</v>
      </c>
      <c r="Z130">
        <v>1</v>
      </c>
      <c r="AA130">
        <v>1</v>
      </c>
      <c r="AB130">
        <v>1001</v>
      </c>
      <c r="AC130">
        <v>300</v>
      </c>
      <c r="AD130">
        <v>1</v>
      </c>
      <c r="AE130">
        <v>8000</v>
      </c>
      <c r="AF130">
        <v>200</v>
      </c>
      <c r="AG130">
        <v>1</v>
      </c>
    </row>
    <row r="131" spans="1:33" ht="38.25" customHeight="1">
      <c r="A131">
        <v>1025</v>
      </c>
      <c r="B131" t="s">
        <v>1959</v>
      </c>
      <c r="C131">
        <v>1</v>
      </c>
      <c r="D131" t="s">
        <v>2034</v>
      </c>
      <c r="E131">
        <v>13</v>
      </c>
      <c r="G131" s="90" t="s">
        <v>2035</v>
      </c>
      <c r="I131">
        <v>4345</v>
      </c>
      <c r="J131" s="80" t="s">
        <v>1964</v>
      </c>
      <c r="K131" t="s">
        <v>767</v>
      </c>
      <c r="L131">
        <v>9012</v>
      </c>
      <c r="M131">
        <v>11</v>
      </c>
      <c r="O131">
        <v>0.8</v>
      </c>
      <c r="P131" s="80" t="s">
        <v>1965</v>
      </c>
      <c r="Q131" t="s">
        <v>769</v>
      </c>
      <c r="R131">
        <v>9010</v>
      </c>
      <c r="S131" t="s">
        <v>2036</v>
      </c>
      <c r="U131">
        <v>0.8</v>
      </c>
      <c r="V131">
        <v>70001</v>
      </c>
      <c r="W131">
        <v>1</v>
      </c>
      <c r="X131">
        <v>1</v>
      </c>
      <c r="Y131">
        <v>70002</v>
      </c>
      <c r="Z131">
        <v>1</v>
      </c>
      <c r="AA131">
        <v>1</v>
      </c>
      <c r="AB131">
        <v>1001</v>
      </c>
      <c r="AC131">
        <v>300</v>
      </c>
      <c r="AD131">
        <v>1</v>
      </c>
      <c r="AE131">
        <v>8000</v>
      </c>
      <c r="AF131">
        <v>200</v>
      </c>
      <c r="AG131">
        <v>1</v>
      </c>
    </row>
    <row r="132" spans="1:33" ht="38.25" customHeight="1">
      <c r="A132">
        <v>1026</v>
      </c>
      <c r="B132" t="s">
        <v>1959</v>
      </c>
      <c r="C132">
        <v>1</v>
      </c>
      <c r="D132" t="s">
        <v>2037</v>
      </c>
      <c r="E132">
        <v>14</v>
      </c>
      <c r="G132" s="90" t="s">
        <v>2038</v>
      </c>
      <c r="I132">
        <v>4470</v>
      </c>
      <c r="J132" s="80" t="s">
        <v>1964</v>
      </c>
      <c r="K132" t="s">
        <v>767</v>
      </c>
      <c r="L132">
        <v>9012</v>
      </c>
      <c r="M132">
        <v>7</v>
      </c>
      <c r="O132">
        <v>0.9</v>
      </c>
      <c r="P132" s="80" t="s">
        <v>1965</v>
      </c>
      <c r="Q132" t="s">
        <v>769</v>
      </c>
      <c r="R132">
        <v>9007</v>
      </c>
      <c r="S132" t="s">
        <v>2039</v>
      </c>
      <c r="U132">
        <v>0.5</v>
      </c>
      <c r="V132">
        <v>70001</v>
      </c>
      <c r="W132">
        <v>1</v>
      </c>
      <c r="X132">
        <v>1</v>
      </c>
      <c r="Y132">
        <v>70002</v>
      </c>
      <c r="Z132">
        <v>1</v>
      </c>
      <c r="AA132">
        <v>1</v>
      </c>
      <c r="AB132">
        <v>1001</v>
      </c>
      <c r="AC132">
        <v>300</v>
      </c>
      <c r="AD132">
        <v>1</v>
      </c>
      <c r="AE132">
        <v>8000</v>
      </c>
      <c r="AF132">
        <v>250</v>
      </c>
      <c r="AG132">
        <v>1</v>
      </c>
    </row>
    <row r="133" spans="1:33" ht="38.25" customHeight="1">
      <c r="A133">
        <v>1027</v>
      </c>
      <c r="B133" t="s">
        <v>1959</v>
      </c>
      <c r="C133">
        <v>1</v>
      </c>
      <c r="D133" t="s">
        <v>2040</v>
      </c>
      <c r="E133">
        <v>14</v>
      </c>
      <c r="G133" s="90" t="s">
        <v>2041</v>
      </c>
      <c r="I133">
        <v>4595</v>
      </c>
      <c r="J133" s="80" t="s">
        <v>1964</v>
      </c>
      <c r="K133" t="s">
        <v>767</v>
      </c>
      <c r="L133">
        <v>9005</v>
      </c>
      <c r="M133">
        <v>12</v>
      </c>
      <c r="O133">
        <v>0.6</v>
      </c>
      <c r="P133" s="80" t="s">
        <v>1965</v>
      </c>
      <c r="Q133" t="s">
        <v>769</v>
      </c>
      <c r="R133">
        <v>9004</v>
      </c>
      <c r="S133">
        <v>4</v>
      </c>
      <c r="U133">
        <v>0.1</v>
      </c>
      <c r="V133">
        <v>70001</v>
      </c>
      <c r="W133">
        <v>1</v>
      </c>
      <c r="X133">
        <v>1</v>
      </c>
      <c r="Y133">
        <v>70002</v>
      </c>
      <c r="Z133">
        <v>1</v>
      </c>
      <c r="AA133">
        <v>1</v>
      </c>
      <c r="AB133">
        <v>1001</v>
      </c>
      <c r="AC133">
        <v>300</v>
      </c>
      <c r="AD133">
        <v>1</v>
      </c>
      <c r="AE133">
        <v>8000</v>
      </c>
      <c r="AF133">
        <v>250</v>
      </c>
      <c r="AG133">
        <v>1</v>
      </c>
    </row>
    <row r="134" spans="1:33" ht="38.25" customHeight="1">
      <c r="A134">
        <v>1028</v>
      </c>
      <c r="B134" t="s">
        <v>1959</v>
      </c>
      <c r="C134">
        <v>1</v>
      </c>
      <c r="D134" t="s">
        <v>2042</v>
      </c>
      <c r="E134">
        <v>15</v>
      </c>
      <c r="G134" s="90" t="s">
        <v>2043</v>
      </c>
      <c r="I134">
        <v>4720</v>
      </c>
      <c r="J134" s="80" t="s">
        <v>1964</v>
      </c>
      <c r="K134" t="s">
        <v>767</v>
      </c>
      <c r="L134">
        <v>9002</v>
      </c>
      <c r="M134" t="s">
        <v>1734</v>
      </c>
      <c r="O134">
        <v>0.2</v>
      </c>
      <c r="P134" s="80" t="s">
        <v>1965</v>
      </c>
      <c r="Q134" t="s">
        <v>769</v>
      </c>
      <c r="R134">
        <v>9004</v>
      </c>
      <c r="S134" t="s">
        <v>2044</v>
      </c>
      <c r="U134">
        <v>0.2</v>
      </c>
      <c r="V134">
        <v>70001</v>
      </c>
      <c r="W134">
        <v>1</v>
      </c>
      <c r="X134">
        <v>1</v>
      </c>
      <c r="Y134">
        <v>70002</v>
      </c>
      <c r="Z134">
        <v>1</v>
      </c>
      <c r="AA134">
        <v>1</v>
      </c>
      <c r="AB134">
        <v>1001</v>
      </c>
      <c r="AC134">
        <v>300</v>
      </c>
      <c r="AD134">
        <v>1</v>
      </c>
      <c r="AE134">
        <v>8000</v>
      </c>
      <c r="AF134">
        <v>250</v>
      </c>
      <c r="AG134">
        <v>1</v>
      </c>
    </row>
    <row r="135" spans="1:33" ht="38.25" customHeight="1">
      <c r="A135">
        <v>1029</v>
      </c>
      <c r="B135" t="s">
        <v>1959</v>
      </c>
      <c r="C135">
        <v>1</v>
      </c>
      <c r="D135" t="s">
        <v>2045</v>
      </c>
      <c r="E135">
        <v>15</v>
      </c>
      <c r="G135" s="90" t="s">
        <v>2046</v>
      </c>
      <c r="I135">
        <v>4845</v>
      </c>
      <c r="J135" s="80" t="s">
        <v>1964</v>
      </c>
      <c r="K135" t="s">
        <v>767</v>
      </c>
      <c r="L135">
        <v>9008</v>
      </c>
      <c r="M135" t="s">
        <v>1870</v>
      </c>
      <c r="O135">
        <v>0.8</v>
      </c>
      <c r="P135" s="80" t="s">
        <v>1965</v>
      </c>
      <c r="Q135" t="s">
        <v>769</v>
      </c>
      <c r="R135">
        <v>9010</v>
      </c>
      <c r="S135">
        <v>2</v>
      </c>
      <c r="U135">
        <v>0.4</v>
      </c>
      <c r="V135">
        <v>70001</v>
      </c>
      <c r="W135">
        <v>1</v>
      </c>
      <c r="X135">
        <v>1</v>
      </c>
      <c r="Y135">
        <v>70002</v>
      </c>
      <c r="Z135">
        <v>1</v>
      </c>
      <c r="AA135">
        <v>1</v>
      </c>
      <c r="AB135">
        <v>1001</v>
      </c>
      <c r="AC135">
        <v>300</v>
      </c>
      <c r="AD135">
        <v>1</v>
      </c>
      <c r="AE135">
        <v>8000</v>
      </c>
      <c r="AF135">
        <v>250</v>
      </c>
      <c r="AG135">
        <v>1</v>
      </c>
    </row>
    <row r="136" spans="1:33" ht="38.25" customHeight="1">
      <c r="A136">
        <v>1030</v>
      </c>
      <c r="B136" t="s">
        <v>1959</v>
      </c>
      <c r="C136">
        <v>2</v>
      </c>
      <c r="D136" t="s">
        <v>2047</v>
      </c>
      <c r="E136">
        <v>16</v>
      </c>
      <c r="G136" s="90" t="s">
        <v>2048</v>
      </c>
      <c r="I136">
        <v>4970</v>
      </c>
      <c r="J136" s="80" t="s">
        <v>2049</v>
      </c>
      <c r="K136" t="s">
        <v>767</v>
      </c>
      <c r="L136">
        <v>9011</v>
      </c>
      <c r="M136">
        <v>3</v>
      </c>
      <c r="O136">
        <v>0.7</v>
      </c>
      <c r="P136" s="80" t="s">
        <v>1965</v>
      </c>
      <c r="Q136" t="s">
        <v>769</v>
      </c>
      <c r="R136">
        <v>9004</v>
      </c>
      <c r="S136" t="s">
        <v>2050</v>
      </c>
      <c r="U136">
        <v>0.7</v>
      </c>
      <c r="V136">
        <v>70001</v>
      </c>
      <c r="W136">
        <v>1</v>
      </c>
      <c r="X136">
        <v>1</v>
      </c>
      <c r="Y136">
        <v>70002</v>
      </c>
      <c r="Z136">
        <v>1</v>
      </c>
      <c r="AA136">
        <v>1</v>
      </c>
      <c r="AB136">
        <v>1001</v>
      </c>
      <c r="AC136">
        <v>3000</v>
      </c>
      <c r="AD136">
        <v>1</v>
      </c>
      <c r="AE136">
        <v>8000</v>
      </c>
      <c r="AF136">
        <v>250</v>
      </c>
      <c r="AG136">
        <v>1</v>
      </c>
    </row>
    <row r="137" spans="1:33" ht="38.25" customHeight="1">
      <c r="A137">
        <v>1031</v>
      </c>
      <c r="B137" t="s">
        <v>1959</v>
      </c>
      <c r="C137">
        <v>2</v>
      </c>
      <c r="D137" t="s">
        <v>2051</v>
      </c>
      <c r="E137">
        <v>16</v>
      </c>
      <c r="G137" s="90" t="s">
        <v>2052</v>
      </c>
      <c r="I137">
        <v>5095</v>
      </c>
      <c r="J137" s="80" t="s">
        <v>2049</v>
      </c>
      <c r="K137" t="s">
        <v>767</v>
      </c>
      <c r="L137">
        <v>9001</v>
      </c>
      <c r="M137">
        <v>13</v>
      </c>
      <c r="O137">
        <v>0.1</v>
      </c>
      <c r="P137" s="80" t="s">
        <v>1965</v>
      </c>
      <c r="Q137" t="s">
        <v>769</v>
      </c>
      <c r="R137">
        <v>9004</v>
      </c>
      <c r="S137">
        <v>7</v>
      </c>
      <c r="U137">
        <v>0.6</v>
      </c>
      <c r="V137">
        <v>70001</v>
      </c>
      <c r="W137">
        <v>1</v>
      </c>
      <c r="X137">
        <v>1</v>
      </c>
      <c r="Y137">
        <v>70002</v>
      </c>
      <c r="Z137">
        <v>1</v>
      </c>
      <c r="AA137">
        <v>1</v>
      </c>
      <c r="AB137">
        <v>1001</v>
      </c>
      <c r="AC137">
        <v>250</v>
      </c>
      <c r="AD137">
        <v>1</v>
      </c>
      <c r="AE137">
        <v>8000</v>
      </c>
      <c r="AF137">
        <v>300</v>
      </c>
      <c r="AG137">
        <v>1</v>
      </c>
    </row>
    <row r="138" spans="1:33" ht="38.25" customHeight="1">
      <c r="A138">
        <v>1032</v>
      </c>
      <c r="B138" t="s">
        <v>1959</v>
      </c>
      <c r="C138">
        <v>2</v>
      </c>
      <c r="D138" t="s">
        <v>2053</v>
      </c>
      <c r="E138">
        <v>17</v>
      </c>
      <c r="G138" s="90" t="s">
        <v>2054</v>
      </c>
      <c r="I138">
        <v>5220</v>
      </c>
      <c r="J138" s="80" t="s">
        <v>2049</v>
      </c>
      <c r="K138" t="s">
        <v>767</v>
      </c>
      <c r="L138">
        <v>9005</v>
      </c>
      <c r="M138" t="s">
        <v>2055</v>
      </c>
      <c r="O138">
        <v>0.9</v>
      </c>
      <c r="P138" s="80" t="s">
        <v>1965</v>
      </c>
      <c r="Q138" t="s">
        <v>769</v>
      </c>
      <c r="R138">
        <v>9007</v>
      </c>
      <c r="S138" t="s">
        <v>1827</v>
      </c>
      <c r="U138">
        <v>0.7</v>
      </c>
      <c r="V138">
        <v>70001</v>
      </c>
      <c r="W138">
        <v>1</v>
      </c>
      <c r="X138">
        <v>1</v>
      </c>
      <c r="Y138">
        <v>70002</v>
      </c>
      <c r="Z138">
        <v>1</v>
      </c>
      <c r="AA138">
        <v>1</v>
      </c>
      <c r="AB138">
        <v>1001</v>
      </c>
      <c r="AC138">
        <v>250</v>
      </c>
      <c r="AD138">
        <v>1</v>
      </c>
      <c r="AE138">
        <v>8000</v>
      </c>
      <c r="AF138">
        <v>300</v>
      </c>
      <c r="AG138">
        <v>1</v>
      </c>
    </row>
    <row r="139" spans="1:33" ht="38.25" customHeight="1">
      <c r="A139">
        <v>1033</v>
      </c>
      <c r="B139" t="s">
        <v>1959</v>
      </c>
      <c r="C139">
        <v>2</v>
      </c>
      <c r="D139" t="s">
        <v>2056</v>
      </c>
      <c r="E139">
        <v>17</v>
      </c>
      <c r="G139" s="90" t="s">
        <v>2057</v>
      </c>
      <c r="I139">
        <v>5345</v>
      </c>
      <c r="J139" s="80" t="s">
        <v>2049</v>
      </c>
      <c r="K139" t="s">
        <v>767</v>
      </c>
      <c r="L139">
        <v>9002</v>
      </c>
      <c r="M139" t="s">
        <v>2058</v>
      </c>
      <c r="O139">
        <v>0.9</v>
      </c>
      <c r="P139" s="80" t="s">
        <v>1965</v>
      </c>
      <c r="Q139" t="s">
        <v>769</v>
      </c>
      <c r="R139">
        <v>9003</v>
      </c>
      <c r="S139" t="s">
        <v>2059</v>
      </c>
      <c r="U139">
        <v>0.6</v>
      </c>
      <c r="V139">
        <v>70001</v>
      </c>
      <c r="W139">
        <v>1</v>
      </c>
      <c r="X139">
        <v>1</v>
      </c>
      <c r="Y139">
        <v>70002</v>
      </c>
      <c r="Z139">
        <v>1</v>
      </c>
      <c r="AA139">
        <v>1</v>
      </c>
      <c r="AB139">
        <v>1001</v>
      </c>
      <c r="AC139">
        <v>250</v>
      </c>
      <c r="AD139">
        <v>1</v>
      </c>
      <c r="AE139">
        <v>8000</v>
      </c>
      <c r="AF139">
        <v>300</v>
      </c>
      <c r="AG139">
        <v>1</v>
      </c>
    </row>
    <row r="140" spans="1:33" ht="38.25" customHeight="1">
      <c r="A140">
        <v>1034</v>
      </c>
      <c r="B140" t="s">
        <v>1959</v>
      </c>
      <c r="C140">
        <v>2</v>
      </c>
      <c r="D140" t="s">
        <v>2060</v>
      </c>
      <c r="E140">
        <v>18</v>
      </c>
      <c r="G140" s="90" t="s">
        <v>2061</v>
      </c>
      <c r="I140">
        <v>5470</v>
      </c>
      <c r="J140" s="80" t="s">
        <v>2049</v>
      </c>
      <c r="K140" t="s">
        <v>767</v>
      </c>
      <c r="L140">
        <v>9002</v>
      </c>
      <c r="M140">
        <v>9</v>
      </c>
      <c r="O140">
        <v>0.2</v>
      </c>
      <c r="P140" s="80" t="s">
        <v>1965</v>
      </c>
      <c r="Q140" t="s">
        <v>769</v>
      </c>
      <c r="R140">
        <v>9008</v>
      </c>
      <c r="S140" t="s">
        <v>2062</v>
      </c>
      <c r="U140">
        <v>0.5</v>
      </c>
      <c r="V140">
        <v>70001</v>
      </c>
      <c r="W140">
        <v>1</v>
      </c>
      <c r="X140">
        <v>1</v>
      </c>
      <c r="Y140">
        <v>70002</v>
      </c>
      <c r="Z140">
        <v>1</v>
      </c>
      <c r="AA140">
        <v>1</v>
      </c>
      <c r="AB140">
        <v>1001</v>
      </c>
      <c r="AC140">
        <v>250</v>
      </c>
      <c r="AD140">
        <v>1</v>
      </c>
      <c r="AE140">
        <v>8000</v>
      </c>
      <c r="AF140">
        <v>300</v>
      </c>
      <c r="AG140">
        <v>1</v>
      </c>
    </row>
    <row r="141" spans="1:33" ht="38.25" customHeight="1">
      <c r="A141">
        <v>1035</v>
      </c>
      <c r="B141" t="s">
        <v>1959</v>
      </c>
      <c r="C141">
        <v>2</v>
      </c>
      <c r="D141" t="s">
        <v>2063</v>
      </c>
      <c r="E141">
        <v>18</v>
      </c>
      <c r="G141" s="90" t="s">
        <v>2064</v>
      </c>
      <c r="I141">
        <v>5595</v>
      </c>
      <c r="J141" s="80" t="s">
        <v>2049</v>
      </c>
      <c r="K141" t="s">
        <v>767</v>
      </c>
      <c r="L141">
        <v>9007</v>
      </c>
      <c r="M141">
        <v>1</v>
      </c>
      <c r="O141">
        <v>0.7</v>
      </c>
      <c r="P141" s="80" t="s">
        <v>1965</v>
      </c>
      <c r="Q141" t="s">
        <v>769</v>
      </c>
      <c r="R141">
        <v>9012</v>
      </c>
      <c r="S141">
        <v>3</v>
      </c>
      <c r="U141">
        <v>0.2</v>
      </c>
      <c r="V141">
        <v>70001</v>
      </c>
      <c r="W141">
        <v>1</v>
      </c>
      <c r="X141">
        <v>1</v>
      </c>
      <c r="Y141">
        <v>70002</v>
      </c>
      <c r="Z141">
        <v>1</v>
      </c>
      <c r="AA141">
        <v>1</v>
      </c>
      <c r="AB141">
        <v>1001</v>
      </c>
      <c r="AC141">
        <v>250</v>
      </c>
      <c r="AD141">
        <v>1</v>
      </c>
      <c r="AE141">
        <v>8000</v>
      </c>
      <c r="AF141">
        <v>350</v>
      </c>
      <c r="AG141">
        <v>1</v>
      </c>
    </row>
    <row r="142" spans="1:33" ht="38.25" customHeight="1">
      <c r="A142">
        <v>1036</v>
      </c>
      <c r="B142" t="s">
        <v>1959</v>
      </c>
      <c r="C142">
        <v>2</v>
      </c>
      <c r="D142" t="s">
        <v>2065</v>
      </c>
      <c r="E142">
        <v>19</v>
      </c>
      <c r="G142" s="90" t="s">
        <v>2066</v>
      </c>
      <c r="I142">
        <v>5720</v>
      </c>
      <c r="J142" s="80" t="s">
        <v>2049</v>
      </c>
      <c r="K142" t="s">
        <v>767</v>
      </c>
      <c r="L142">
        <v>9006</v>
      </c>
      <c r="M142">
        <v>13</v>
      </c>
      <c r="O142">
        <v>0.5</v>
      </c>
      <c r="P142" s="80" t="s">
        <v>1965</v>
      </c>
      <c r="Q142" t="s">
        <v>769</v>
      </c>
      <c r="R142">
        <v>9003</v>
      </c>
      <c r="S142">
        <v>4</v>
      </c>
      <c r="U142">
        <v>0.4</v>
      </c>
      <c r="V142">
        <v>70001</v>
      </c>
      <c r="W142">
        <v>1</v>
      </c>
      <c r="X142">
        <v>1</v>
      </c>
      <c r="Y142">
        <v>70002</v>
      </c>
      <c r="Z142">
        <v>1</v>
      </c>
      <c r="AA142">
        <v>1</v>
      </c>
      <c r="AB142">
        <v>1001</v>
      </c>
      <c r="AC142">
        <v>250</v>
      </c>
      <c r="AD142">
        <v>1</v>
      </c>
      <c r="AE142">
        <v>8000</v>
      </c>
      <c r="AF142">
        <v>350</v>
      </c>
      <c r="AG142">
        <v>1</v>
      </c>
    </row>
    <row r="143" spans="1:33" ht="38.25" customHeight="1">
      <c r="A143">
        <v>1037</v>
      </c>
      <c r="B143" t="s">
        <v>1959</v>
      </c>
      <c r="C143">
        <v>2</v>
      </c>
      <c r="D143" t="s">
        <v>2067</v>
      </c>
      <c r="E143">
        <v>19</v>
      </c>
      <c r="G143" s="90" t="s">
        <v>2068</v>
      </c>
      <c r="I143">
        <v>5845</v>
      </c>
      <c r="J143" s="80" t="s">
        <v>2049</v>
      </c>
      <c r="K143" t="s">
        <v>767</v>
      </c>
      <c r="L143">
        <v>9007</v>
      </c>
      <c r="M143" t="s">
        <v>1808</v>
      </c>
      <c r="O143">
        <v>0.2</v>
      </c>
      <c r="P143" s="80" t="s">
        <v>1965</v>
      </c>
      <c r="Q143" t="s">
        <v>769</v>
      </c>
      <c r="R143">
        <v>9004</v>
      </c>
      <c r="S143" t="s">
        <v>2069</v>
      </c>
      <c r="U143">
        <v>0.6</v>
      </c>
      <c r="V143">
        <v>70001</v>
      </c>
      <c r="W143">
        <v>1</v>
      </c>
      <c r="X143">
        <v>1</v>
      </c>
      <c r="Y143">
        <v>70002</v>
      </c>
      <c r="Z143">
        <v>1</v>
      </c>
      <c r="AA143">
        <v>1</v>
      </c>
      <c r="AB143">
        <v>1001</v>
      </c>
      <c r="AC143">
        <v>250</v>
      </c>
      <c r="AD143">
        <v>1</v>
      </c>
      <c r="AE143">
        <v>8000</v>
      </c>
      <c r="AF143">
        <v>350</v>
      </c>
      <c r="AG143">
        <v>1</v>
      </c>
    </row>
    <row r="144" spans="1:33" ht="38.25" customHeight="1">
      <c r="A144">
        <v>1038</v>
      </c>
      <c r="B144" t="s">
        <v>1959</v>
      </c>
      <c r="C144">
        <v>2</v>
      </c>
      <c r="D144" t="s">
        <v>2070</v>
      </c>
      <c r="E144">
        <v>20</v>
      </c>
      <c r="G144" s="90" t="s">
        <v>2071</v>
      </c>
      <c r="I144">
        <v>5970</v>
      </c>
      <c r="J144" s="80" t="s">
        <v>2049</v>
      </c>
      <c r="K144" t="s">
        <v>767</v>
      </c>
      <c r="L144">
        <v>9011</v>
      </c>
      <c r="M144" t="s">
        <v>2072</v>
      </c>
      <c r="O144">
        <v>0.2</v>
      </c>
      <c r="P144" s="80" t="s">
        <v>1965</v>
      </c>
      <c r="Q144" t="s">
        <v>769</v>
      </c>
      <c r="R144">
        <v>9007</v>
      </c>
      <c r="S144" t="s">
        <v>1820</v>
      </c>
      <c r="U144">
        <v>0.2</v>
      </c>
      <c r="V144">
        <v>70001</v>
      </c>
      <c r="W144">
        <v>1</v>
      </c>
      <c r="X144">
        <v>1</v>
      </c>
      <c r="Y144">
        <v>70002</v>
      </c>
      <c r="Z144">
        <v>1</v>
      </c>
      <c r="AA144">
        <v>1</v>
      </c>
      <c r="AB144">
        <v>1001</v>
      </c>
      <c r="AC144">
        <v>250</v>
      </c>
      <c r="AD144">
        <v>1</v>
      </c>
      <c r="AE144">
        <v>8000</v>
      </c>
      <c r="AF144">
        <v>350</v>
      </c>
      <c r="AG144">
        <v>1</v>
      </c>
    </row>
    <row r="145" spans="1:33" ht="38.25" customHeight="1">
      <c r="A145">
        <v>1039</v>
      </c>
      <c r="B145" t="s">
        <v>1959</v>
      </c>
      <c r="C145">
        <v>2</v>
      </c>
      <c r="D145" t="s">
        <v>2073</v>
      </c>
      <c r="E145">
        <v>20</v>
      </c>
      <c r="G145" s="90" t="s">
        <v>2074</v>
      </c>
      <c r="I145">
        <v>6095</v>
      </c>
      <c r="J145" s="80" t="s">
        <v>2049</v>
      </c>
      <c r="K145" t="s">
        <v>767</v>
      </c>
      <c r="L145">
        <v>9001</v>
      </c>
      <c r="M145" t="s">
        <v>2075</v>
      </c>
      <c r="O145">
        <v>0.4</v>
      </c>
      <c r="P145" s="80" t="s">
        <v>1965</v>
      </c>
      <c r="Q145" t="s">
        <v>769</v>
      </c>
      <c r="R145">
        <v>9004</v>
      </c>
      <c r="S145" t="s">
        <v>2076</v>
      </c>
      <c r="U145">
        <v>0.8</v>
      </c>
      <c r="V145">
        <v>70001</v>
      </c>
      <c r="W145">
        <v>1</v>
      </c>
      <c r="X145">
        <v>1</v>
      </c>
      <c r="Y145">
        <v>70002</v>
      </c>
      <c r="Z145">
        <v>1</v>
      </c>
      <c r="AA145">
        <v>1</v>
      </c>
      <c r="AB145">
        <v>1001</v>
      </c>
      <c r="AC145">
        <v>250</v>
      </c>
      <c r="AD145">
        <v>1</v>
      </c>
      <c r="AE145">
        <v>8000</v>
      </c>
      <c r="AF145">
        <v>400</v>
      </c>
      <c r="AG145">
        <v>1</v>
      </c>
    </row>
    <row r="146" spans="1:33" ht="38.25" customHeight="1">
      <c r="A146">
        <v>1040</v>
      </c>
      <c r="B146" t="s">
        <v>1959</v>
      </c>
      <c r="C146">
        <v>2</v>
      </c>
      <c r="D146" t="s">
        <v>2077</v>
      </c>
      <c r="E146">
        <v>21</v>
      </c>
      <c r="G146" s="90" t="s">
        <v>2078</v>
      </c>
      <c r="I146">
        <v>6220</v>
      </c>
      <c r="J146" s="80" t="s">
        <v>2049</v>
      </c>
      <c r="K146" t="s">
        <v>767</v>
      </c>
      <c r="L146">
        <v>9001</v>
      </c>
      <c r="M146" t="s">
        <v>2079</v>
      </c>
      <c r="O146">
        <v>0.4</v>
      </c>
      <c r="P146" s="80" t="s">
        <v>1965</v>
      </c>
      <c r="Q146" t="s">
        <v>769</v>
      </c>
      <c r="R146">
        <v>9008</v>
      </c>
      <c r="S146" t="s">
        <v>2080</v>
      </c>
      <c r="U146">
        <v>0.7</v>
      </c>
      <c r="V146">
        <v>70001</v>
      </c>
      <c r="W146">
        <v>1</v>
      </c>
      <c r="X146">
        <v>1</v>
      </c>
      <c r="Y146">
        <v>70002</v>
      </c>
      <c r="Z146">
        <v>1</v>
      </c>
      <c r="AA146">
        <v>1</v>
      </c>
      <c r="AB146">
        <v>1001</v>
      </c>
      <c r="AC146">
        <v>250</v>
      </c>
      <c r="AD146">
        <v>1</v>
      </c>
      <c r="AE146">
        <v>8000</v>
      </c>
      <c r="AF146">
        <v>400</v>
      </c>
      <c r="AG146">
        <v>1</v>
      </c>
    </row>
    <row r="147" spans="1:33" ht="38.25" customHeight="1">
      <c r="A147">
        <v>1041</v>
      </c>
      <c r="B147" t="s">
        <v>1959</v>
      </c>
      <c r="C147">
        <v>2</v>
      </c>
      <c r="D147" t="s">
        <v>2081</v>
      </c>
      <c r="E147">
        <v>21</v>
      </c>
      <c r="G147" s="90" t="s">
        <v>2082</v>
      </c>
      <c r="I147">
        <v>6345</v>
      </c>
      <c r="J147" s="80" t="s">
        <v>2049</v>
      </c>
      <c r="K147" t="s">
        <v>767</v>
      </c>
      <c r="L147">
        <v>9008</v>
      </c>
      <c r="M147" t="s">
        <v>2083</v>
      </c>
      <c r="O147">
        <v>0.6</v>
      </c>
      <c r="P147" s="80" t="s">
        <v>1965</v>
      </c>
      <c r="Q147" t="s">
        <v>769</v>
      </c>
      <c r="R147">
        <v>9004</v>
      </c>
      <c r="S147" t="s">
        <v>2084</v>
      </c>
      <c r="U147">
        <v>0.2</v>
      </c>
      <c r="V147">
        <v>70001</v>
      </c>
      <c r="W147">
        <v>1</v>
      </c>
      <c r="X147">
        <v>1</v>
      </c>
      <c r="Y147">
        <v>70002</v>
      </c>
      <c r="Z147">
        <v>1</v>
      </c>
      <c r="AA147">
        <v>1</v>
      </c>
      <c r="AB147">
        <v>1001</v>
      </c>
      <c r="AC147">
        <v>250</v>
      </c>
      <c r="AD147">
        <v>1</v>
      </c>
      <c r="AE147">
        <v>8000</v>
      </c>
      <c r="AF147">
        <v>400</v>
      </c>
      <c r="AG147">
        <v>1</v>
      </c>
    </row>
    <row r="148" spans="1:33" ht="38.25" customHeight="1">
      <c r="A148">
        <v>1042</v>
      </c>
      <c r="B148" t="s">
        <v>1959</v>
      </c>
      <c r="C148">
        <v>2</v>
      </c>
      <c r="D148" t="s">
        <v>2085</v>
      </c>
      <c r="E148">
        <v>22</v>
      </c>
      <c r="G148" s="90" t="s">
        <v>2086</v>
      </c>
      <c r="I148">
        <v>6470</v>
      </c>
      <c r="J148" s="80" t="s">
        <v>2049</v>
      </c>
      <c r="K148" t="s">
        <v>767</v>
      </c>
      <c r="L148">
        <v>9001</v>
      </c>
      <c r="M148" t="s">
        <v>1972</v>
      </c>
      <c r="O148">
        <v>0.6</v>
      </c>
      <c r="P148" s="80" t="s">
        <v>1965</v>
      </c>
      <c r="Q148" t="s">
        <v>769</v>
      </c>
      <c r="R148">
        <v>9010</v>
      </c>
      <c r="S148" t="s">
        <v>1680</v>
      </c>
      <c r="U148">
        <v>0.2</v>
      </c>
      <c r="V148">
        <v>70001</v>
      </c>
      <c r="W148">
        <v>1</v>
      </c>
      <c r="X148">
        <v>1</v>
      </c>
      <c r="Y148">
        <v>70002</v>
      </c>
      <c r="Z148">
        <v>1</v>
      </c>
      <c r="AA148">
        <v>1</v>
      </c>
      <c r="AB148">
        <v>1001</v>
      </c>
      <c r="AC148">
        <v>250</v>
      </c>
      <c r="AD148">
        <v>1</v>
      </c>
      <c r="AE148">
        <v>8000</v>
      </c>
      <c r="AF148">
        <v>400</v>
      </c>
      <c r="AG148">
        <v>1</v>
      </c>
    </row>
    <row r="149" spans="1:33" ht="38.25" customHeight="1">
      <c r="A149">
        <v>1043</v>
      </c>
      <c r="B149" t="s">
        <v>1959</v>
      </c>
      <c r="C149">
        <v>2</v>
      </c>
      <c r="D149" t="s">
        <v>2087</v>
      </c>
      <c r="E149">
        <v>22</v>
      </c>
      <c r="G149" s="90" t="s">
        <v>2088</v>
      </c>
      <c r="I149">
        <v>6595</v>
      </c>
      <c r="J149" s="80" t="s">
        <v>2049</v>
      </c>
      <c r="K149" t="s">
        <v>767</v>
      </c>
      <c r="L149">
        <v>9011</v>
      </c>
      <c r="M149" t="s">
        <v>2089</v>
      </c>
      <c r="O149">
        <v>0.4</v>
      </c>
      <c r="P149" s="80" t="s">
        <v>1965</v>
      </c>
      <c r="Q149" t="s">
        <v>769</v>
      </c>
      <c r="R149">
        <v>9004</v>
      </c>
      <c r="S149" t="s">
        <v>1833</v>
      </c>
      <c r="U149">
        <v>0.7</v>
      </c>
      <c r="V149">
        <v>70001</v>
      </c>
      <c r="W149">
        <v>1</v>
      </c>
      <c r="X149">
        <v>1</v>
      </c>
      <c r="Y149">
        <v>70002</v>
      </c>
      <c r="Z149">
        <v>1</v>
      </c>
      <c r="AA149">
        <v>1</v>
      </c>
      <c r="AB149">
        <v>1001</v>
      </c>
      <c r="AC149">
        <v>250</v>
      </c>
      <c r="AD149">
        <v>1</v>
      </c>
      <c r="AE149">
        <v>8000</v>
      </c>
      <c r="AF149">
        <v>450</v>
      </c>
      <c r="AG149">
        <v>1</v>
      </c>
    </row>
    <row r="150" spans="1:33" ht="38.25" customHeight="1">
      <c r="A150">
        <v>1044</v>
      </c>
      <c r="B150" t="s">
        <v>1959</v>
      </c>
      <c r="C150">
        <v>2</v>
      </c>
      <c r="D150" t="s">
        <v>2090</v>
      </c>
      <c r="E150">
        <v>23</v>
      </c>
      <c r="G150" s="90" t="s">
        <v>2091</v>
      </c>
      <c r="I150">
        <v>6720</v>
      </c>
      <c r="J150" s="80" t="s">
        <v>2049</v>
      </c>
      <c r="K150" t="s">
        <v>767</v>
      </c>
      <c r="L150">
        <v>9006</v>
      </c>
      <c r="M150">
        <v>8</v>
      </c>
      <c r="O150">
        <v>0.3</v>
      </c>
      <c r="P150" s="80" t="s">
        <v>1965</v>
      </c>
      <c r="Q150" t="s">
        <v>769</v>
      </c>
      <c r="R150">
        <v>9008</v>
      </c>
      <c r="S150" t="s">
        <v>1780</v>
      </c>
      <c r="U150">
        <v>0.5</v>
      </c>
      <c r="V150">
        <v>70001</v>
      </c>
      <c r="W150">
        <v>1</v>
      </c>
      <c r="X150">
        <v>1</v>
      </c>
      <c r="Y150">
        <v>70002</v>
      </c>
      <c r="Z150">
        <v>1</v>
      </c>
      <c r="AA150">
        <v>1</v>
      </c>
      <c r="AB150">
        <v>1001</v>
      </c>
      <c r="AC150">
        <v>250</v>
      </c>
      <c r="AD150">
        <v>1</v>
      </c>
      <c r="AE150">
        <v>8000</v>
      </c>
      <c r="AF150">
        <v>450</v>
      </c>
      <c r="AG150">
        <v>1</v>
      </c>
    </row>
    <row r="151" spans="1:33" ht="38.25" customHeight="1">
      <c r="A151">
        <v>1045</v>
      </c>
      <c r="B151" t="s">
        <v>1959</v>
      </c>
      <c r="C151">
        <v>2</v>
      </c>
      <c r="D151" t="s">
        <v>2092</v>
      </c>
      <c r="E151">
        <v>23</v>
      </c>
      <c r="G151" s="90" t="s">
        <v>2093</v>
      </c>
      <c r="I151">
        <v>6845</v>
      </c>
      <c r="J151" s="80" t="s">
        <v>2049</v>
      </c>
      <c r="K151" t="s">
        <v>767</v>
      </c>
      <c r="L151">
        <v>9005</v>
      </c>
      <c r="M151" t="s">
        <v>2094</v>
      </c>
      <c r="O151">
        <v>0.6</v>
      </c>
      <c r="P151" s="80" t="s">
        <v>1965</v>
      </c>
      <c r="Q151" t="s">
        <v>769</v>
      </c>
      <c r="R151">
        <v>9011</v>
      </c>
      <c r="S151">
        <v>3</v>
      </c>
      <c r="U151">
        <v>0.5</v>
      </c>
      <c r="V151">
        <v>70001</v>
      </c>
      <c r="W151">
        <v>1</v>
      </c>
      <c r="X151">
        <v>1</v>
      </c>
      <c r="Y151">
        <v>70002</v>
      </c>
      <c r="Z151">
        <v>1</v>
      </c>
      <c r="AA151">
        <v>1</v>
      </c>
      <c r="AB151">
        <v>1001</v>
      </c>
      <c r="AC151">
        <v>250</v>
      </c>
      <c r="AD151">
        <v>1</v>
      </c>
      <c r="AE151">
        <v>8000</v>
      </c>
      <c r="AF151">
        <v>450</v>
      </c>
      <c r="AG151">
        <v>1</v>
      </c>
    </row>
    <row r="152" spans="1:33" ht="38.25" customHeight="1">
      <c r="A152">
        <v>1046</v>
      </c>
      <c r="B152" t="s">
        <v>1959</v>
      </c>
      <c r="C152">
        <v>2</v>
      </c>
      <c r="D152" t="s">
        <v>2095</v>
      </c>
      <c r="E152">
        <v>24</v>
      </c>
      <c r="G152" s="90" t="s">
        <v>2096</v>
      </c>
      <c r="I152">
        <v>6970</v>
      </c>
      <c r="J152" s="80" t="s">
        <v>2049</v>
      </c>
      <c r="K152" t="s">
        <v>767</v>
      </c>
      <c r="L152">
        <v>9011</v>
      </c>
      <c r="M152" t="s">
        <v>1709</v>
      </c>
      <c r="O152">
        <v>0.6</v>
      </c>
      <c r="P152" s="80" t="s">
        <v>1965</v>
      </c>
      <c r="Q152" t="s">
        <v>769</v>
      </c>
      <c r="R152">
        <v>9007</v>
      </c>
      <c r="S152" t="s">
        <v>1697</v>
      </c>
      <c r="U152">
        <v>0.7</v>
      </c>
      <c r="V152">
        <v>70001</v>
      </c>
      <c r="W152">
        <v>1</v>
      </c>
      <c r="X152">
        <v>1</v>
      </c>
      <c r="Y152">
        <v>70002</v>
      </c>
      <c r="Z152">
        <v>1</v>
      </c>
      <c r="AA152">
        <v>1</v>
      </c>
      <c r="AB152">
        <v>1001</v>
      </c>
      <c r="AC152">
        <v>250</v>
      </c>
      <c r="AD152">
        <v>1</v>
      </c>
      <c r="AE152">
        <v>8000</v>
      </c>
      <c r="AF152">
        <v>500</v>
      </c>
      <c r="AG152">
        <v>1</v>
      </c>
    </row>
    <row r="153" spans="1:33" ht="38.25" customHeight="1">
      <c r="A153">
        <v>1047</v>
      </c>
      <c r="B153" t="s">
        <v>1959</v>
      </c>
      <c r="C153">
        <v>2</v>
      </c>
      <c r="D153" t="s">
        <v>2097</v>
      </c>
      <c r="E153">
        <v>24</v>
      </c>
      <c r="G153" s="90" t="s">
        <v>2098</v>
      </c>
      <c r="I153">
        <v>7095</v>
      </c>
      <c r="J153" s="80" t="s">
        <v>2049</v>
      </c>
      <c r="K153" t="s">
        <v>767</v>
      </c>
      <c r="L153">
        <v>9007</v>
      </c>
      <c r="M153" t="s">
        <v>1924</v>
      </c>
      <c r="O153">
        <v>0.8</v>
      </c>
      <c r="P153" s="80" t="s">
        <v>1965</v>
      </c>
      <c r="Q153" t="s">
        <v>769</v>
      </c>
      <c r="R153">
        <v>9003</v>
      </c>
      <c r="S153">
        <v>11</v>
      </c>
      <c r="U153">
        <v>0.6</v>
      </c>
      <c r="V153">
        <v>70001</v>
      </c>
      <c r="W153">
        <v>1</v>
      </c>
      <c r="X153">
        <v>1</v>
      </c>
      <c r="Y153">
        <v>70002</v>
      </c>
      <c r="Z153">
        <v>1</v>
      </c>
      <c r="AA153">
        <v>1</v>
      </c>
      <c r="AB153">
        <v>1001</v>
      </c>
      <c r="AC153">
        <v>250</v>
      </c>
      <c r="AD153">
        <v>1</v>
      </c>
      <c r="AE153">
        <v>8000</v>
      </c>
      <c r="AF153">
        <v>500</v>
      </c>
      <c r="AG153">
        <v>1</v>
      </c>
    </row>
    <row r="154" spans="1:33" ht="38.25" customHeight="1">
      <c r="A154">
        <v>1048</v>
      </c>
      <c r="B154" t="s">
        <v>1959</v>
      </c>
      <c r="C154">
        <v>2</v>
      </c>
      <c r="D154" t="s">
        <v>2099</v>
      </c>
      <c r="E154">
        <v>25</v>
      </c>
      <c r="G154" s="90" t="s">
        <v>2100</v>
      </c>
      <c r="I154">
        <v>7220</v>
      </c>
      <c r="J154" s="80" t="s">
        <v>2049</v>
      </c>
      <c r="K154" t="s">
        <v>767</v>
      </c>
      <c r="L154">
        <v>9007</v>
      </c>
      <c r="M154" t="s">
        <v>2101</v>
      </c>
      <c r="O154">
        <v>0.3</v>
      </c>
      <c r="P154" s="80" t="s">
        <v>1965</v>
      </c>
      <c r="Q154" t="s">
        <v>769</v>
      </c>
      <c r="R154">
        <v>9008</v>
      </c>
      <c r="S154" t="s">
        <v>2102</v>
      </c>
      <c r="U154">
        <v>0.2</v>
      </c>
      <c r="V154">
        <v>70001</v>
      </c>
      <c r="W154">
        <v>1</v>
      </c>
      <c r="X154">
        <v>1</v>
      </c>
      <c r="Y154">
        <v>70002</v>
      </c>
      <c r="Z154">
        <v>1</v>
      </c>
      <c r="AA154">
        <v>1</v>
      </c>
      <c r="AB154">
        <v>1001</v>
      </c>
      <c r="AC154">
        <v>250</v>
      </c>
      <c r="AD154">
        <v>1</v>
      </c>
      <c r="AE154">
        <v>8000</v>
      </c>
      <c r="AF154">
        <v>500</v>
      </c>
      <c r="AG154">
        <v>1</v>
      </c>
    </row>
    <row r="155" spans="1:33" ht="38.25" customHeight="1">
      <c r="A155">
        <v>1049</v>
      </c>
      <c r="B155" t="s">
        <v>1959</v>
      </c>
      <c r="C155">
        <v>2</v>
      </c>
      <c r="D155" t="s">
        <v>2103</v>
      </c>
      <c r="E155">
        <v>25</v>
      </c>
      <c r="G155" s="90" t="s">
        <v>2104</v>
      </c>
      <c r="I155">
        <v>7345</v>
      </c>
      <c r="J155" s="80" t="s">
        <v>2049</v>
      </c>
      <c r="K155" t="s">
        <v>767</v>
      </c>
      <c r="L155">
        <v>9005</v>
      </c>
      <c r="M155" t="s">
        <v>2105</v>
      </c>
      <c r="O155">
        <v>0.1</v>
      </c>
      <c r="P155" s="80" t="s">
        <v>1965</v>
      </c>
      <c r="Q155" t="s">
        <v>769</v>
      </c>
      <c r="R155">
        <v>9004</v>
      </c>
      <c r="S155" t="s">
        <v>1932</v>
      </c>
      <c r="U155">
        <v>0.2</v>
      </c>
      <c r="V155">
        <v>70001</v>
      </c>
      <c r="W155">
        <v>1</v>
      </c>
      <c r="X155">
        <v>1</v>
      </c>
      <c r="Y155">
        <v>70002</v>
      </c>
      <c r="Z155">
        <v>1</v>
      </c>
      <c r="AA155">
        <v>1</v>
      </c>
      <c r="AB155">
        <v>1001</v>
      </c>
      <c r="AC155">
        <v>250</v>
      </c>
      <c r="AD155">
        <v>1</v>
      </c>
      <c r="AE155">
        <v>8000</v>
      </c>
      <c r="AF155">
        <v>500</v>
      </c>
      <c r="AG155">
        <v>1</v>
      </c>
    </row>
    <row r="156" spans="1:33" ht="38.25" customHeight="1">
      <c r="A156">
        <v>1050</v>
      </c>
      <c r="B156" t="s">
        <v>1959</v>
      </c>
      <c r="C156">
        <v>2</v>
      </c>
      <c r="D156" t="s">
        <v>2106</v>
      </c>
      <c r="E156">
        <v>26</v>
      </c>
      <c r="G156" s="90" t="s">
        <v>2107</v>
      </c>
      <c r="I156">
        <v>7470</v>
      </c>
      <c r="J156" s="80" t="s">
        <v>2049</v>
      </c>
      <c r="K156" t="s">
        <v>767</v>
      </c>
      <c r="L156">
        <v>9001</v>
      </c>
      <c r="M156" t="s">
        <v>2108</v>
      </c>
      <c r="O156">
        <v>1</v>
      </c>
      <c r="P156" s="80" t="s">
        <v>1965</v>
      </c>
      <c r="Q156" t="s">
        <v>769</v>
      </c>
      <c r="R156">
        <v>9004</v>
      </c>
      <c r="S156">
        <v>2</v>
      </c>
      <c r="U156">
        <v>0.2</v>
      </c>
      <c r="V156">
        <v>70001</v>
      </c>
      <c r="W156">
        <v>1</v>
      </c>
      <c r="X156">
        <v>1</v>
      </c>
      <c r="Y156">
        <v>70002</v>
      </c>
      <c r="Z156">
        <v>1</v>
      </c>
      <c r="AA156">
        <v>1</v>
      </c>
      <c r="AB156">
        <v>1001</v>
      </c>
      <c r="AC156">
        <v>250</v>
      </c>
      <c r="AD156">
        <v>1</v>
      </c>
      <c r="AE156">
        <v>8000</v>
      </c>
      <c r="AF156">
        <v>550</v>
      </c>
      <c r="AG156">
        <v>1</v>
      </c>
    </row>
    <row r="157" spans="1:33" ht="38.25" customHeight="1">
      <c r="A157">
        <v>1051</v>
      </c>
      <c r="B157" t="s">
        <v>1959</v>
      </c>
      <c r="C157">
        <v>2</v>
      </c>
      <c r="D157" t="s">
        <v>2109</v>
      </c>
      <c r="E157">
        <v>26</v>
      </c>
      <c r="G157" s="90" t="s">
        <v>2110</v>
      </c>
      <c r="I157">
        <v>7595</v>
      </c>
      <c r="J157" s="80" t="s">
        <v>2049</v>
      </c>
      <c r="K157" t="s">
        <v>767</v>
      </c>
      <c r="L157">
        <v>9011</v>
      </c>
      <c r="M157" t="s">
        <v>2111</v>
      </c>
      <c r="O157">
        <v>0.8</v>
      </c>
      <c r="P157" s="80" t="s">
        <v>1965</v>
      </c>
      <c r="Q157" t="s">
        <v>769</v>
      </c>
      <c r="R157">
        <v>9012</v>
      </c>
      <c r="S157">
        <v>1</v>
      </c>
      <c r="U157">
        <v>0.7</v>
      </c>
      <c r="V157">
        <v>70001</v>
      </c>
      <c r="W157">
        <v>1</v>
      </c>
      <c r="X157">
        <v>1</v>
      </c>
      <c r="Y157">
        <v>70002</v>
      </c>
      <c r="Z157">
        <v>1</v>
      </c>
      <c r="AA157">
        <v>1</v>
      </c>
      <c r="AB157">
        <v>1001</v>
      </c>
      <c r="AC157">
        <v>250</v>
      </c>
      <c r="AD157">
        <v>1</v>
      </c>
      <c r="AE157">
        <v>8000</v>
      </c>
      <c r="AF157">
        <v>550</v>
      </c>
      <c r="AG157">
        <v>1</v>
      </c>
    </row>
    <row r="158" spans="1:33" ht="38.25" customHeight="1">
      <c r="A158">
        <v>1052</v>
      </c>
      <c r="B158" t="s">
        <v>1959</v>
      </c>
      <c r="C158">
        <v>2</v>
      </c>
      <c r="D158" t="s">
        <v>2112</v>
      </c>
      <c r="E158">
        <v>27</v>
      </c>
      <c r="G158" s="90" t="s">
        <v>2113</v>
      </c>
      <c r="I158">
        <v>7720</v>
      </c>
      <c r="J158" s="80" t="s">
        <v>2049</v>
      </c>
      <c r="K158" t="s">
        <v>767</v>
      </c>
      <c r="L158">
        <v>9002</v>
      </c>
      <c r="M158" t="s">
        <v>1712</v>
      </c>
      <c r="O158">
        <v>0.4</v>
      </c>
      <c r="P158" s="80" t="s">
        <v>1965</v>
      </c>
      <c r="Q158" t="s">
        <v>769</v>
      </c>
      <c r="R158">
        <v>9008</v>
      </c>
      <c r="S158" t="s">
        <v>2114</v>
      </c>
      <c r="U158">
        <v>0.6</v>
      </c>
      <c r="V158">
        <v>70001</v>
      </c>
      <c r="W158">
        <v>1</v>
      </c>
      <c r="X158">
        <v>1</v>
      </c>
      <c r="Y158">
        <v>70002</v>
      </c>
      <c r="Z158">
        <v>1</v>
      </c>
      <c r="AA158">
        <v>1</v>
      </c>
      <c r="AB158">
        <v>1001</v>
      </c>
      <c r="AC158">
        <v>250</v>
      </c>
      <c r="AD158">
        <v>1</v>
      </c>
      <c r="AE158">
        <v>8000</v>
      </c>
      <c r="AF158">
        <v>550</v>
      </c>
      <c r="AG158">
        <v>1</v>
      </c>
    </row>
    <row r="159" spans="1:33" ht="38.25" customHeight="1">
      <c r="A159">
        <v>1053</v>
      </c>
      <c r="B159" t="s">
        <v>1959</v>
      </c>
      <c r="C159">
        <v>2</v>
      </c>
      <c r="D159" t="s">
        <v>2115</v>
      </c>
      <c r="E159">
        <v>27</v>
      </c>
      <c r="G159" s="90" t="s">
        <v>2116</v>
      </c>
      <c r="I159">
        <v>7845</v>
      </c>
      <c r="J159" s="80" t="s">
        <v>2049</v>
      </c>
      <c r="K159" t="s">
        <v>767</v>
      </c>
      <c r="L159">
        <v>9001</v>
      </c>
      <c r="M159">
        <v>2</v>
      </c>
      <c r="O159">
        <v>0.9</v>
      </c>
      <c r="P159" s="80" t="s">
        <v>1965</v>
      </c>
      <c r="Q159" t="s">
        <v>769</v>
      </c>
      <c r="R159">
        <v>9012</v>
      </c>
      <c r="S159">
        <v>5</v>
      </c>
      <c r="U159">
        <v>0.6</v>
      </c>
      <c r="V159">
        <v>70001</v>
      </c>
      <c r="W159">
        <v>1</v>
      </c>
      <c r="X159">
        <v>1</v>
      </c>
      <c r="Y159">
        <v>70002</v>
      </c>
      <c r="Z159">
        <v>1</v>
      </c>
      <c r="AA159">
        <v>1</v>
      </c>
      <c r="AB159">
        <v>1001</v>
      </c>
      <c r="AC159">
        <v>250</v>
      </c>
      <c r="AD159">
        <v>1</v>
      </c>
      <c r="AE159">
        <v>8000</v>
      </c>
      <c r="AF159">
        <v>550</v>
      </c>
      <c r="AG159">
        <v>1</v>
      </c>
    </row>
    <row r="160" spans="1:33" ht="38.25" customHeight="1">
      <c r="A160">
        <v>1054</v>
      </c>
      <c r="B160" t="s">
        <v>1959</v>
      </c>
      <c r="C160">
        <v>2</v>
      </c>
      <c r="D160" t="s">
        <v>2117</v>
      </c>
      <c r="E160">
        <v>28</v>
      </c>
      <c r="G160" s="90" t="s">
        <v>2118</v>
      </c>
      <c r="I160">
        <v>7970</v>
      </c>
      <c r="J160" s="80" t="s">
        <v>2049</v>
      </c>
      <c r="K160" t="s">
        <v>767</v>
      </c>
      <c r="L160">
        <v>9005</v>
      </c>
      <c r="M160" t="s">
        <v>2083</v>
      </c>
      <c r="O160">
        <v>1</v>
      </c>
      <c r="P160" s="80" t="s">
        <v>1965</v>
      </c>
      <c r="Q160" t="s">
        <v>769</v>
      </c>
      <c r="R160">
        <v>9010</v>
      </c>
      <c r="S160">
        <v>2</v>
      </c>
      <c r="U160">
        <v>0.3</v>
      </c>
      <c r="V160">
        <v>70001</v>
      </c>
      <c r="W160">
        <v>1</v>
      </c>
      <c r="X160">
        <v>1</v>
      </c>
      <c r="Y160">
        <v>70002</v>
      </c>
      <c r="Z160">
        <v>1</v>
      </c>
      <c r="AA160">
        <v>1</v>
      </c>
      <c r="AB160">
        <v>1001</v>
      </c>
      <c r="AC160">
        <v>250</v>
      </c>
      <c r="AD160">
        <v>1</v>
      </c>
      <c r="AE160">
        <v>8000</v>
      </c>
      <c r="AF160">
        <v>600</v>
      </c>
      <c r="AG160">
        <v>1</v>
      </c>
    </row>
    <row r="161" spans="1:33" ht="38.25" customHeight="1">
      <c r="A161">
        <v>1055</v>
      </c>
      <c r="B161" t="s">
        <v>1959</v>
      </c>
      <c r="C161">
        <v>2</v>
      </c>
      <c r="D161" t="s">
        <v>2119</v>
      </c>
      <c r="E161">
        <v>28</v>
      </c>
      <c r="G161" s="90" t="s">
        <v>2120</v>
      </c>
      <c r="I161">
        <v>8095</v>
      </c>
      <c r="J161" s="80" t="s">
        <v>2049</v>
      </c>
      <c r="K161" t="s">
        <v>767</v>
      </c>
      <c r="L161">
        <v>9005</v>
      </c>
      <c r="M161">
        <v>13</v>
      </c>
      <c r="O161">
        <v>0.1</v>
      </c>
      <c r="P161" s="80" t="s">
        <v>1965</v>
      </c>
      <c r="Q161" t="s">
        <v>769</v>
      </c>
      <c r="R161">
        <v>9011</v>
      </c>
      <c r="S161" t="s">
        <v>2121</v>
      </c>
      <c r="U161">
        <v>0.9</v>
      </c>
      <c r="V161">
        <v>70001</v>
      </c>
      <c r="W161">
        <v>1</v>
      </c>
      <c r="X161">
        <v>1</v>
      </c>
      <c r="Y161">
        <v>70002</v>
      </c>
      <c r="Z161">
        <v>1</v>
      </c>
      <c r="AA161">
        <v>1</v>
      </c>
      <c r="AB161">
        <v>1001</v>
      </c>
      <c r="AC161">
        <v>250</v>
      </c>
      <c r="AD161">
        <v>1</v>
      </c>
      <c r="AE161">
        <v>8000</v>
      </c>
      <c r="AF161">
        <v>600</v>
      </c>
      <c r="AG161">
        <v>1</v>
      </c>
    </row>
    <row r="162" spans="1:33" ht="38.25" customHeight="1">
      <c r="A162">
        <v>1056</v>
      </c>
      <c r="B162" t="s">
        <v>1959</v>
      </c>
      <c r="C162">
        <v>2</v>
      </c>
      <c r="D162" t="s">
        <v>2122</v>
      </c>
      <c r="E162">
        <v>29</v>
      </c>
      <c r="G162" s="90" t="s">
        <v>2123</v>
      </c>
      <c r="I162">
        <v>8220</v>
      </c>
      <c r="J162" s="80" t="s">
        <v>2049</v>
      </c>
      <c r="K162" t="s">
        <v>767</v>
      </c>
      <c r="L162">
        <v>9008</v>
      </c>
      <c r="M162" t="s">
        <v>2083</v>
      </c>
      <c r="O162">
        <v>0.5</v>
      </c>
      <c r="P162" s="80" t="s">
        <v>1965</v>
      </c>
      <c r="Q162" t="s">
        <v>769</v>
      </c>
      <c r="R162">
        <v>9004</v>
      </c>
      <c r="S162">
        <v>8</v>
      </c>
      <c r="U162">
        <v>0.4</v>
      </c>
      <c r="V162">
        <v>70001</v>
      </c>
      <c r="W162">
        <v>1</v>
      </c>
      <c r="X162">
        <v>1</v>
      </c>
      <c r="Y162">
        <v>70002</v>
      </c>
      <c r="Z162">
        <v>1</v>
      </c>
      <c r="AA162">
        <v>1</v>
      </c>
      <c r="AB162">
        <v>1001</v>
      </c>
      <c r="AC162">
        <v>250</v>
      </c>
      <c r="AD162">
        <v>1</v>
      </c>
      <c r="AE162">
        <v>8000</v>
      </c>
      <c r="AF162">
        <v>600</v>
      </c>
      <c r="AG162">
        <v>1</v>
      </c>
    </row>
    <row r="163" spans="1:33" ht="38.25" customHeight="1">
      <c r="A163">
        <v>1057</v>
      </c>
      <c r="B163" t="s">
        <v>1959</v>
      </c>
      <c r="C163">
        <v>2</v>
      </c>
      <c r="D163" t="s">
        <v>2124</v>
      </c>
      <c r="E163">
        <v>29</v>
      </c>
      <c r="G163" s="90" t="s">
        <v>2125</v>
      </c>
      <c r="I163">
        <v>8345</v>
      </c>
      <c r="J163" s="80" t="s">
        <v>2049</v>
      </c>
      <c r="K163" t="s">
        <v>767</v>
      </c>
      <c r="L163">
        <v>9008</v>
      </c>
      <c r="M163">
        <v>1</v>
      </c>
      <c r="O163">
        <v>0.8</v>
      </c>
      <c r="P163" s="80" t="s">
        <v>1965</v>
      </c>
      <c r="Q163" t="s">
        <v>769</v>
      </c>
      <c r="R163">
        <v>9004</v>
      </c>
      <c r="S163" t="s">
        <v>1845</v>
      </c>
      <c r="U163">
        <v>0.9</v>
      </c>
      <c r="V163">
        <v>70001</v>
      </c>
      <c r="W163">
        <v>1</v>
      </c>
      <c r="X163">
        <v>1</v>
      </c>
      <c r="Y163">
        <v>70002</v>
      </c>
      <c r="Z163">
        <v>1</v>
      </c>
      <c r="AA163">
        <v>1</v>
      </c>
      <c r="AB163">
        <v>1001</v>
      </c>
      <c r="AC163">
        <v>250</v>
      </c>
      <c r="AD163">
        <v>1</v>
      </c>
      <c r="AE163">
        <v>8000</v>
      </c>
      <c r="AF163">
        <v>650</v>
      </c>
      <c r="AG163">
        <v>1</v>
      </c>
    </row>
    <row r="164" spans="1:33" ht="38.25" customHeight="1">
      <c r="A164">
        <v>1058</v>
      </c>
      <c r="B164" t="s">
        <v>1959</v>
      </c>
      <c r="C164">
        <v>2</v>
      </c>
      <c r="D164" t="s">
        <v>2126</v>
      </c>
      <c r="E164">
        <v>30</v>
      </c>
      <c r="G164" s="90" t="s">
        <v>2127</v>
      </c>
      <c r="I164">
        <v>8470</v>
      </c>
      <c r="J164" s="80" t="s">
        <v>2049</v>
      </c>
      <c r="K164" t="s">
        <v>767</v>
      </c>
      <c r="L164">
        <v>9011</v>
      </c>
      <c r="M164">
        <v>4</v>
      </c>
      <c r="O164">
        <v>0.6</v>
      </c>
      <c r="P164" s="80" t="s">
        <v>1965</v>
      </c>
      <c r="Q164" t="s">
        <v>769</v>
      </c>
      <c r="R164">
        <v>9003</v>
      </c>
      <c r="S164" t="s">
        <v>2128</v>
      </c>
      <c r="U164">
        <v>0.1</v>
      </c>
      <c r="V164">
        <v>70001</v>
      </c>
      <c r="W164">
        <v>1</v>
      </c>
      <c r="X164">
        <v>1</v>
      </c>
      <c r="Y164">
        <v>70002</v>
      </c>
      <c r="Z164">
        <v>1</v>
      </c>
      <c r="AA164">
        <v>1</v>
      </c>
      <c r="AB164">
        <v>1001</v>
      </c>
      <c r="AC164">
        <v>250</v>
      </c>
      <c r="AD164">
        <v>1</v>
      </c>
      <c r="AE164">
        <v>8000</v>
      </c>
      <c r="AF164">
        <v>650</v>
      </c>
      <c r="AG164">
        <v>1</v>
      </c>
    </row>
    <row r="165" spans="1:33" ht="38.25" customHeight="1">
      <c r="A165">
        <v>1059</v>
      </c>
      <c r="B165" t="s">
        <v>1959</v>
      </c>
      <c r="C165">
        <v>2</v>
      </c>
      <c r="D165" t="s">
        <v>2129</v>
      </c>
      <c r="E165">
        <v>30</v>
      </c>
      <c r="G165" s="145" t="s">
        <v>4542</v>
      </c>
      <c r="I165">
        <v>8595</v>
      </c>
      <c r="J165" s="80" t="s">
        <v>2049</v>
      </c>
      <c r="K165" t="s">
        <v>767</v>
      </c>
      <c r="L165">
        <v>9005</v>
      </c>
      <c r="M165" t="s">
        <v>1668</v>
      </c>
      <c r="O165">
        <v>0.5</v>
      </c>
      <c r="P165" s="80" t="s">
        <v>1965</v>
      </c>
      <c r="Q165" t="s">
        <v>769</v>
      </c>
      <c r="R165">
        <v>9010</v>
      </c>
      <c r="S165">
        <v>7</v>
      </c>
      <c r="U165">
        <v>0.7</v>
      </c>
      <c r="V165">
        <v>70001</v>
      </c>
      <c r="W165">
        <v>1</v>
      </c>
      <c r="X165">
        <v>1</v>
      </c>
      <c r="Y165">
        <v>70002</v>
      </c>
      <c r="Z165">
        <v>1</v>
      </c>
      <c r="AA165">
        <v>1</v>
      </c>
      <c r="AB165">
        <v>1001</v>
      </c>
      <c r="AC165">
        <v>2500</v>
      </c>
      <c r="AD165">
        <v>1</v>
      </c>
      <c r="AE165">
        <v>8000</v>
      </c>
      <c r="AF165">
        <v>650</v>
      </c>
      <c r="AG165">
        <v>1</v>
      </c>
    </row>
    <row r="166" spans="1:33" ht="38.25" customHeight="1">
      <c r="A166">
        <v>1060</v>
      </c>
      <c r="B166" t="s">
        <v>1959</v>
      </c>
      <c r="C166">
        <v>3</v>
      </c>
      <c r="D166" t="s">
        <v>2130</v>
      </c>
      <c r="E166">
        <v>31</v>
      </c>
      <c r="G166" s="90" t="s">
        <v>2131</v>
      </c>
      <c r="I166">
        <v>8720</v>
      </c>
      <c r="J166" s="80" t="s">
        <v>2132</v>
      </c>
      <c r="K166" t="s">
        <v>767</v>
      </c>
      <c r="L166">
        <v>9008</v>
      </c>
      <c r="M166" t="s">
        <v>2001</v>
      </c>
      <c r="O166">
        <v>0.7</v>
      </c>
      <c r="P166" s="80" t="s">
        <v>2133</v>
      </c>
      <c r="Q166" t="s">
        <v>769</v>
      </c>
      <c r="R166">
        <v>9004</v>
      </c>
      <c r="S166" t="s">
        <v>2134</v>
      </c>
      <c r="U166">
        <v>0.2</v>
      </c>
      <c r="V166">
        <v>70001</v>
      </c>
      <c r="W166">
        <v>1</v>
      </c>
      <c r="X166">
        <v>1</v>
      </c>
      <c r="Y166">
        <v>70002</v>
      </c>
      <c r="Z166">
        <v>1</v>
      </c>
      <c r="AA166">
        <v>1</v>
      </c>
      <c r="AB166">
        <v>1001</v>
      </c>
      <c r="AC166">
        <v>150</v>
      </c>
      <c r="AD166">
        <v>1</v>
      </c>
      <c r="AE166">
        <v>8000</v>
      </c>
      <c r="AF166">
        <v>650</v>
      </c>
      <c r="AG166">
        <v>1</v>
      </c>
    </row>
    <row r="167" spans="1:33" ht="38.25" customHeight="1">
      <c r="A167">
        <v>1061</v>
      </c>
      <c r="B167" t="s">
        <v>1959</v>
      </c>
      <c r="C167">
        <v>3</v>
      </c>
      <c r="D167" t="s">
        <v>2135</v>
      </c>
      <c r="E167">
        <v>31</v>
      </c>
      <c r="G167" s="90" t="s">
        <v>2136</v>
      </c>
      <c r="I167">
        <v>8845</v>
      </c>
      <c r="J167" s="80" t="s">
        <v>2132</v>
      </c>
      <c r="K167" t="s">
        <v>767</v>
      </c>
      <c r="L167">
        <v>9002</v>
      </c>
      <c r="M167" t="s">
        <v>1712</v>
      </c>
      <c r="O167">
        <v>0.7</v>
      </c>
      <c r="P167" s="80" t="s">
        <v>2133</v>
      </c>
      <c r="Q167" t="s">
        <v>769</v>
      </c>
      <c r="R167">
        <v>9007</v>
      </c>
      <c r="S167" t="s">
        <v>2137</v>
      </c>
      <c r="U167">
        <v>0.7</v>
      </c>
      <c r="V167">
        <v>70001</v>
      </c>
      <c r="W167">
        <v>1</v>
      </c>
      <c r="X167">
        <v>1</v>
      </c>
      <c r="Y167">
        <v>70002</v>
      </c>
      <c r="Z167">
        <v>1</v>
      </c>
      <c r="AA167">
        <v>1</v>
      </c>
      <c r="AB167">
        <v>1001</v>
      </c>
      <c r="AC167">
        <v>150</v>
      </c>
      <c r="AD167">
        <v>1</v>
      </c>
      <c r="AE167">
        <v>8000</v>
      </c>
      <c r="AF167">
        <v>700</v>
      </c>
      <c r="AG167">
        <v>1</v>
      </c>
    </row>
    <row r="168" spans="1:33" ht="38.25" customHeight="1">
      <c r="A168">
        <v>1062</v>
      </c>
      <c r="B168" t="s">
        <v>1959</v>
      </c>
      <c r="C168">
        <v>3</v>
      </c>
      <c r="D168" t="s">
        <v>2138</v>
      </c>
      <c r="E168">
        <v>32</v>
      </c>
      <c r="G168" s="90" t="s">
        <v>2139</v>
      </c>
      <c r="I168">
        <v>8970</v>
      </c>
      <c r="J168" s="80" t="s">
        <v>2132</v>
      </c>
      <c r="K168" t="s">
        <v>767</v>
      </c>
      <c r="L168">
        <v>9008</v>
      </c>
      <c r="M168" t="s">
        <v>2140</v>
      </c>
      <c r="O168">
        <v>0.4</v>
      </c>
      <c r="P168" s="80" t="s">
        <v>2133</v>
      </c>
      <c r="Q168" t="s">
        <v>769</v>
      </c>
      <c r="R168">
        <v>9004</v>
      </c>
      <c r="S168">
        <v>7</v>
      </c>
      <c r="U168">
        <v>0.6</v>
      </c>
      <c r="V168">
        <v>70001</v>
      </c>
      <c r="W168">
        <v>1</v>
      </c>
      <c r="X168">
        <v>1</v>
      </c>
      <c r="Y168">
        <v>70002</v>
      </c>
      <c r="Z168">
        <v>1</v>
      </c>
      <c r="AA168">
        <v>1</v>
      </c>
      <c r="AB168">
        <v>1001</v>
      </c>
      <c r="AC168">
        <v>150</v>
      </c>
      <c r="AD168">
        <v>1</v>
      </c>
      <c r="AE168">
        <v>8000</v>
      </c>
      <c r="AF168">
        <v>700</v>
      </c>
      <c r="AG168">
        <v>1</v>
      </c>
    </row>
    <row r="169" spans="1:33" ht="38.25" customHeight="1">
      <c r="A169">
        <v>1063</v>
      </c>
      <c r="B169" t="s">
        <v>1959</v>
      </c>
      <c r="C169">
        <v>3</v>
      </c>
      <c r="D169" t="s">
        <v>2141</v>
      </c>
      <c r="E169">
        <v>32</v>
      </c>
      <c r="G169" s="90" t="s">
        <v>2142</v>
      </c>
      <c r="I169">
        <v>9095</v>
      </c>
      <c r="J169" s="80" t="s">
        <v>2132</v>
      </c>
      <c r="K169" t="s">
        <v>767</v>
      </c>
      <c r="L169">
        <v>9011</v>
      </c>
      <c r="M169" t="s">
        <v>1870</v>
      </c>
      <c r="O169">
        <v>0.8</v>
      </c>
      <c r="P169" s="80" t="s">
        <v>2133</v>
      </c>
      <c r="Q169" t="s">
        <v>769</v>
      </c>
      <c r="R169">
        <v>9004</v>
      </c>
      <c r="S169">
        <v>4</v>
      </c>
      <c r="U169">
        <v>0.5</v>
      </c>
      <c r="V169">
        <v>70001</v>
      </c>
      <c r="W169">
        <v>1</v>
      </c>
      <c r="X169">
        <v>1</v>
      </c>
      <c r="Y169">
        <v>70002</v>
      </c>
      <c r="Z169">
        <v>1</v>
      </c>
      <c r="AA169">
        <v>1</v>
      </c>
      <c r="AB169">
        <v>1001</v>
      </c>
      <c r="AC169">
        <v>150</v>
      </c>
      <c r="AD169">
        <v>1</v>
      </c>
      <c r="AE169">
        <v>8000</v>
      </c>
      <c r="AF169">
        <v>700</v>
      </c>
      <c r="AG169">
        <v>1</v>
      </c>
    </row>
    <row r="170" spans="1:33" ht="38.25" customHeight="1">
      <c r="A170">
        <v>1064</v>
      </c>
      <c r="B170" t="s">
        <v>1959</v>
      </c>
      <c r="C170">
        <v>3</v>
      </c>
      <c r="D170" t="s">
        <v>2143</v>
      </c>
      <c r="E170">
        <v>33</v>
      </c>
      <c r="G170" s="90" t="s">
        <v>2144</v>
      </c>
      <c r="I170">
        <v>9220</v>
      </c>
      <c r="J170" s="80" t="s">
        <v>2132</v>
      </c>
      <c r="K170" t="s">
        <v>767</v>
      </c>
      <c r="L170">
        <v>9007</v>
      </c>
      <c r="M170">
        <v>7</v>
      </c>
      <c r="O170">
        <v>0.4</v>
      </c>
      <c r="P170" s="80" t="s">
        <v>2133</v>
      </c>
      <c r="Q170" t="s">
        <v>769</v>
      </c>
      <c r="R170">
        <v>9004</v>
      </c>
      <c r="S170">
        <v>12</v>
      </c>
      <c r="U170">
        <v>0.7</v>
      </c>
      <c r="V170">
        <v>70001</v>
      </c>
      <c r="W170">
        <v>1</v>
      </c>
      <c r="X170">
        <v>1</v>
      </c>
      <c r="Y170">
        <v>70002</v>
      </c>
      <c r="Z170">
        <v>1</v>
      </c>
      <c r="AA170">
        <v>1</v>
      </c>
      <c r="AB170">
        <v>1001</v>
      </c>
      <c r="AC170">
        <v>150</v>
      </c>
      <c r="AD170">
        <v>1</v>
      </c>
      <c r="AE170">
        <v>8000</v>
      </c>
      <c r="AF170">
        <v>750</v>
      </c>
      <c r="AG170">
        <v>1</v>
      </c>
    </row>
    <row r="171" spans="1:33" ht="38.25" customHeight="1">
      <c r="A171">
        <v>1065</v>
      </c>
      <c r="B171" t="s">
        <v>1959</v>
      </c>
      <c r="C171">
        <v>3</v>
      </c>
      <c r="D171" t="s">
        <v>2145</v>
      </c>
      <c r="E171">
        <v>33</v>
      </c>
      <c r="G171" s="90" t="s">
        <v>2146</v>
      </c>
      <c r="I171">
        <v>9345</v>
      </c>
      <c r="J171" s="80" t="s">
        <v>2132</v>
      </c>
      <c r="K171" t="s">
        <v>767</v>
      </c>
      <c r="L171">
        <v>9011</v>
      </c>
      <c r="M171">
        <v>4</v>
      </c>
      <c r="O171">
        <v>0.5</v>
      </c>
      <c r="P171" s="80" t="s">
        <v>2133</v>
      </c>
      <c r="Q171" t="s">
        <v>769</v>
      </c>
      <c r="R171">
        <v>9008</v>
      </c>
      <c r="S171">
        <v>12</v>
      </c>
      <c r="U171">
        <v>0.6</v>
      </c>
      <c r="V171">
        <v>70001</v>
      </c>
      <c r="W171">
        <v>1</v>
      </c>
      <c r="X171">
        <v>1</v>
      </c>
      <c r="Y171">
        <v>70002</v>
      </c>
      <c r="Z171">
        <v>1</v>
      </c>
      <c r="AA171">
        <v>1</v>
      </c>
      <c r="AB171">
        <v>1001</v>
      </c>
      <c r="AC171">
        <v>150</v>
      </c>
      <c r="AD171">
        <v>1</v>
      </c>
      <c r="AE171">
        <v>8000</v>
      </c>
      <c r="AF171">
        <v>750</v>
      </c>
      <c r="AG171">
        <v>1</v>
      </c>
    </row>
    <row r="172" spans="1:33" ht="38.25" customHeight="1">
      <c r="A172">
        <v>1066</v>
      </c>
      <c r="B172" t="s">
        <v>1959</v>
      </c>
      <c r="C172">
        <v>3</v>
      </c>
      <c r="D172" t="s">
        <v>2147</v>
      </c>
      <c r="E172">
        <v>34</v>
      </c>
      <c r="G172" s="90" t="s">
        <v>2148</v>
      </c>
      <c r="I172">
        <v>9470</v>
      </c>
      <c r="J172" s="80" t="s">
        <v>2132</v>
      </c>
      <c r="K172" t="s">
        <v>767</v>
      </c>
      <c r="L172">
        <v>9012</v>
      </c>
      <c r="M172" t="s">
        <v>2149</v>
      </c>
      <c r="O172">
        <v>0.9</v>
      </c>
      <c r="P172" s="80" t="s">
        <v>2133</v>
      </c>
      <c r="Q172" t="s">
        <v>769</v>
      </c>
      <c r="R172">
        <v>9008</v>
      </c>
      <c r="S172" t="s">
        <v>2008</v>
      </c>
      <c r="U172">
        <v>0.6</v>
      </c>
      <c r="V172">
        <v>70001</v>
      </c>
      <c r="W172">
        <v>1</v>
      </c>
      <c r="X172">
        <v>1</v>
      </c>
      <c r="Y172">
        <v>70002</v>
      </c>
      <c r="Z172">
        <v>1</v>
      </c>
      <c r="AA172">
        <v>1</v>
      </c>
      <c r="AB172">
        <v>1001</v>
      </c>
      <c r="AC172">
        <v>150</v>
      </c>
      <c r="AD172">
        <v>1</v>
      </c>
      <c r="AE172">
        <v>8000</v>
      </c>
      <c r="AF172">
        <v>750</v>
      </c>
      <c r="AG172">
        <v>1</v>
      </c>
    </row>
    <row r="173" spans="1:33" ht="38.25" customHeight="1">
      <c r="A173">
        <v>1067</v>
      </c>
      <c r="B173" t="s">
        <v>1959</v>
      </c>
      <c r="C173">
        <v>3</v>
      </c>
      <c r="D173" t="s">
        <v>2150</v>
      </c>
      <c r="E173">
        <v>34</v>
      </c>
      <c r="G173" s="90" t="s">
        <v>2151</v>
      </c>
      <c r="I173">
        <v>9595</v>
      </c>
      <c r="J173" s="80" t="s">
        <v>2132</v>
      </c>
      <c r="K173" t="s">
        <v>767</v>
      </c>
      <c r="L173">
        <v>9012</v>
      </c>
      <c r="M173">
        <v>6</v>
      </c>
      <c r="O173">
        <v>0.6</v>
      </c>
      <c r="P173" s="80" t="s">
        <v>2133</v>
      </c>
      <c r="Q173" t="s">
        <v>769</v>
      </c>
      <c r="R173">
        <v>9003</v>
      </c>
      <c r="S173" t="s">
        <v>2152</v>
      </c>
      <c r="U173">
        <v>0.8</v>
      </c>
      <c r="V173">
        <v>70001</v>
      </c>
      <c r="W173">
        <v>1</v>
      </c>
      <c r="X173">
        <v>1</v>
      </c>
      <c r="Y173">
        <v>70002</v>
      </c>
      <c r="Z173">
        <v>1</v>
      </c>
      <c r="AA173">
        <v>1</v>
      </c>
      <c r="AB173">
        <v>1001</v>
      </c>
      <c r="AC173">
        <v>150</v>
      </c>
      <c r="AD173">
        <v>1</v>
      </c>
      <c r="AE173">
        <v>8000</v>
      </c>
      <c r="AF173">
        <v>800</v>
      </c>
      <c r="AG173">
        <v>1</v>
      </c>
    </row>
    <row r="174" spans="1:33" ht="38.25" customHeight="1">
      <c r="A174">
        <v>1068</v>
      </c>
      <c r="B174" t="s">
        <v>1959</v>
      </c>
      <c r="C174">
        <v>3</v>
      </c>
      <c r="D174" t="s">
        <v>2153</v>
      </c>
      <c r="E174">
        <v>35</v>
      </c>
      <c r="G174" s="90" t="s">
        <v>2154</v>
      </c>
      <c r="I174">
        <v>9720</v>
      </c>
      <c r="J174" s="80" t="s">
        <v>2132</v>
      </c>
      <c r="K174" t="s">
        <v>767</v>
      </c>
      <c r="L174">
        <v>9001</v>
      </c>
      <c r="M174" t="s">
        <v>1833</v>
      </c>
      <c r="O174">
        <v>0.5</v>
      </c>
      <c r="P174" s="80" t="s">
        <v>2133</v>
      </c>
      <c r="Q174" t="s">
        <v>769</v>
      </c>
      <c r="R174">
        <v>9004</v>
      </c>
      <c r="S174" t="s">
        <v>2155</v>
      </c>
      <c r="U174">
        <v>0.5</v>
      </c>
      <c r="V174">
        <v>70001</v>
      </c>
      <c r="W174">
        <v>1</v>
      </c>
      <c r="X174">
        <v>1</v>
      </c>
      <c r="Y174">
        <v>70002</v>
      </c>
      <c r="Z174">
        <v>1</v>
      </c>
      <c r="AA174">
        <v>1</v>
      </c>
      <c r="AB174">
        <v>1001</v>
      </c>
      <c r="AC174">
        <v>150</v>
      </c>
      <c r="AD174">
        <v>1</v>
      </c>
      <c r="AE174">
        <v>8000</v>
      </c>
      <c r="AF174">
        <v>800</v>
      </c>
      <c r="AG174">
        <v>1</v>
      </c>
    </row>
    <row r="175" spans="1:33" ht="38.25" customHeight="1">
      <c r="A175">
        <v>1069</v>
      </c>
      <c r="B175" t="s">
        <v>1959</v>
      </c>
      <c r="C175">
        <v>3</v>
      </c>
      <c r="D175" t="s">
        <v>2156</v>
      </c>
      <c r="E175">
        <v>35</v>
      </c>
      <c r="G175" s="90" t="s">
        <v>2157</v>
      </c>
      <c r="I175">
        <v>9845</v>
      </c>
      <c r="J175" s="80" t="s">
        <v>2132</v>
      </c>
      <c r="K175" t="s">
        <v>767</v>
      </c>
      <c r="L175">
        <v>9008</v>
      </c>
      <c r="M175" t="s">
        <v>1677</v>
      </c>
      <c r="O175">
        <v>0.9</v>
      </c>
      <c r="P175" s="80" t="s">
        <v>2133</v>
      </c>
      <c r="Q175" t="s">
        <v>769</v>
      </c>
      <c r="R175">
        <v>9010</v>
      </c>
      <c r="S175" t="s">
        <v>1704</v>
      </c>
      <c r="U175">
        <v>0.2</v>
      </c>
      <c r="V175">
        <v>70001</v>
      </c>
      <c r="W175">
        <v>1</v>
      </c>
      <c r="X175">
        <v>1</v>
      </c>
      <c r="Y175">
        <v>70002</v>
      </c>
      <c r="Z175">
        <v>1</v>
      </c>
      <c r="AA175">
        <v>1</v>
      </c>
      <c r="AB175">
        <v>1001</v>
      </c>
      <c r="AC175">
        <v>150</v>
      </c>
      <c r="AD175">
        <v>1</v>
      </c>
      <c r="AE175">
        <v>8000</v>
      </c>
      <c r="AF175">
        <v>800</v>
      </c>
      <c r="AG175">
        <v>1</v>
      </c>
    </row>
    <row r="176" spans="1:33" ht="38.25" customHeight="1">
      <c r="A176">
        <v>1070</v>
      </c>
      <c r="B176" t="s">
        <v>1959</v>
      </c>
      <c r="C176">
        <v>3</v>
      </c>
      <c r="D176" t="s">
        <v>2158</v>
      </c>
      <c r="E176">
        <v>36</v>
      </c>
      <c r="G176" s="90" t="s">
        <v>2159</v>
      </c>
      <c r="I176">
        <v>9970</v>
      </c>
      <c r="J176" s="80" t="s">
        <v>2132</v>
      </c>
      <c r="K176" t="s">
        <v>767</v>
      </c>
      <c r="L176">
        <v>9002</v>
      </c>
      <c r="M176" t="s">
        <v>2160</v>
      </c>
      <c r="O176">
        <v>0.7</v>
      </c>
      <c r="P176" s="80" t="s">
        <v>2133</v>
      </c>
      <c r="Q176" t="s">
        <v>769</v>
      </c>
      <c r="R176">
        <v>9007</v>
      </c>
      <c r="S176" t="s">
        <v>1777</v>
      </c>
      <c r="U176">
        <v>1</v>
      </c>
      <c r="V176">
        <v>70001</v>
      </c>
      <c r="W176">
        <v>1</v>
      </c>
      <c r="X176">
        <v>1</v>
      </c>
      <c r="Y176">
        <v>70002</v>
      </c>
      <c r="Z176">
        <v>1</v>
      </c>
      <c r="AA176">
        <v>1</v>
      </c>
      <c r="AB176">
        <v>1001</v>
      </c>
      <c r="AC176">
        <v>150</v>
      </c>
      <c r="AD176">
        <v>1</v>
      </c>
      <c r="AE176">
        <v>8000</v>
      </c>
      <c r="AF176">
        <v>800</v>
      </c>
      <c r="AG176">
        <v>1</v>
      </c>
    </row>
    <row r="177" spans="1:33" ht="38.25" customHeight="1">
      <c r="A177">
        <v>1071</v>
      </c>
      <c r="B177" t="s">
        <v>1959</v>
      </c>
      <c r="C177">
        <v>3</v>
      </c>
      <c r="D177" t="s">
        <v>2161</v>
      </c>
      <c r="E177">
        <v>36</v>
      </c>
      <c r="G177" s="90" t="s">
        <v>2162</v>
      </c>
      <c r="I177">
        <v>10095</v>
      </c>
      <c r="J177" s="80" t="s">
        <v>2132</v>
      </c>
      <c r="K177" t="s">
        <v>767</v>
      </c>
      <c r="L177">
        <v>9005</v>
      </c>
      <c r="M177" t="s">
        <v>1881</v>
      </c>
      <c r="O177">
        <v>0.8</v>
      </c>
      <c r="P177" s="80" t="s">
        <v>2133</v>
      </c>
      <c r="Q177" t="s">
        <v>769</v>
      </c>
      <c r="R177">
        <v>9012</v>
      </c>
      <c r="S177" t="s">
        <v>2163</v>
      </c>
      <c r="U177">
        <v>0.6</v>
      </c>
      <c r="V177">
        <v>70001</v>
      </c>
      <c r="W177">
        <v>1</v>
      </c>
      <c r="X177">
        <v>1</v>
      </c>
      <c r="Y177">
        <v>70002</v>
      </c>
      <c r="Z177">
        <v>1</v>
      </c>
      <c r="AA177">
        <v>1</v>
      </c>
      <c r="AB177">
        <v>1001</v>
      </c>
      <c r="AC177">
        <v>150</v>
      </c>
      <c r="AD177">
        <v>1</v>
      </c>
      <c r="AE177">
        <v>8000</v>
      </c>
      <c r="AF177">
        <v>850</v>
      </c>
      <c r="AG177">
        <v>1</v>
      </c>
    </row>
    <row r="178" spans="1:33" ht="38.25" customHeight="1">
      <c r="A178">
        <v>1072</v>
      </c>
      <c r="B178" t="s">
        <v>1959</v>
      </c>
      <c r="C178">
        <v>3</v>
      </c>
      <c r="D178" t="s">
        <v>2164</v>
      </c>
      <c r="E178">
        <v>37</v>
      </c>
      <c r="G178" s="90" t="s">
        <v>2165</v>
      </c>
      <c r="I178">
        <v>10220</v>
      </c>
      <c r="J178" s="80" t="s">
        <v>2132</v>
      </c>
      <c r="K178" t="s">
        <v>767</v>
      </c>
      <c r="L178">
        <v>9008</v>
      </c>
      <c r="M178">
        <v>6</v>
      </c>
      <c r="O178">
        <v>0.3</v>
      </c>
      <c r="P178" s="80" t="s">
        <v>2133</v>
      </c>
      <c r="Q178" t="s">
        <v>769</v>
      </c>
      <c r="R178">
        <v>9007</v>
      </c>
      <c r="S178">
        <v>1</v>
      </c>
      <c r="U178">
        <v>0.9</v>
      </c>
      <c r="V178">
        <v>70001</v>
      </c>
      <c r="W178">
        <v>1</v>
      </c>
      <c r="X178">
        <v>1</v>
      </c>
      <c r="Y178">
        <v>70002</v>
      </c>
      <c r="Z178">
        <v>1</v>
      </c>
      <c r="AA178">
        <v>1</v>
      </c>
      <c r="AB178">
        <v>1001</v>
      </c>
      <c r="AC178">
        <v>150</v>
      </c>
      <c r="AD178">
        <v>1</v>
      </c>
      <c r="AE178">
        <v>8000</v>
      </c>
      <c r="AF178">
        <v>850</v>
      </c>
      <c r="AG178">
        <v>1</v>
      </c>
    </row>
    <row r="179" spans="1:33" ht="38.25" customHeight="1">
      <c r="A179">
        <v>1073</v>
      </c>
      <c r="B179" t="s">
        <v>1959</v>
      </c>
      <c r="C179">
        <v>3</v>
      </c>
      <c r="D179" t="s">
        <v>2166</v>
      </c>
      <c r="E179">
        <v>37</v>
      </c>
      <c r="G179" s="90" t="s">
        <v>2167</v>
      </c>
      <c r="I179">
        <v>10345</v>
      </c>
      <c r="J179" s="80" t="s">
        <v>2132</v>
      </c>
      <c r="K179" t="s">
        <v>767</v>
      </c>
      <c r="L179">
        <v>9002</v>
      </c>
      <c r="M179">
        <v>4</v>
      </c>
      <c r="O179">
        <v>0.9</v>
      </c>
      <c r="P179" s="80" t="s">
        <v>2133</v>
      </c>
      <c r="Q179" t="s">
        <v>769</v>
      </c>
      <c r="R179">
        <v>9004</v>
      </c>
      <c r="S179">
        <v>6</v>
      </c>
      <c r="U179">
        <v>0.8</v>
      </c>
      <c r="V179">
        <v>70001</v>
      </c>
      <c r="W179">
        <v>1</v>
      </c>
      <c r="X179">
        <v>1</v>
      </c>
      <c r="Y179">
        <v>70002</v>
      </c>
      <c r="Z179">
        <v>1</v>
      </c>
      <c r="AA179">
        <v>1</v>
      </c>
      <c r="AB179">
        <v>1001</v>
      </c>
      <c r="AC179">
        <v>150</v>
      </c>
      <c r="AD179">
        <v>1</v>
      </c>
      <c r="AE179">
        <v>8000</v>
      </c>
      <c r="AF179">
        <v>850</v>
      </c>
      <c r="AG179">
        <v>1</v>
      </c>
    </row>
    <row r="180" spans="1:33" ht="38.25" customHeight="1">
      <c r="A180">
        <v>1074</v>
      </c>
      <c r="B180" t="s">
        <v>1959</v>
      </c>
      <c r="C180">
        <v>3</v>
      </c>
      <c r="D180" t="s">
        <v>2168</v>
      </c>
      <c r="E180">
        <v>38</v>
      </c>
      <c r="G180" s="90" t="s">
        <v>2169</v>
      </c>
      <c r="I180">
        <v>10470</v>
      </c>
      <c r="J180" s="80" t="s">
        <v>2132</v>
      </c>
      <c r="K180" t="s">
        <v>767</v>
      </c>
      <c r="L180">
        <v>9011</v>
      </c>
      <c r="M180">
        <v>13</v>
      </c>
      <c r="O180">
        <v>0.4</v>
      </c>
      <c r="P180" s="80" t="s">
        <v>2133</v>
      </c>
      <c r="Q180" t="s">
        <v>769</v>
      </c>
      <c r="R180">
        <v>9007</v>
      </c>
      <c r="S180">
        <v>3</v>
      </c>
      <c r="U180">
        <v>0.3</v>
      </c>
      <c r="V180">
        <v>70001</v>
      </c>
      <c r="W180">
        <v>1</v>
      </c>
      <c r="X180">
        <v>1</v>
      </c>
      <c r="Y180">
        <v>70002</v>
      </c>
      <c r="Z180">
        <v>1</v>
      </c>
      <c r="AA180">
        <v>1</v>
      </c>
      <c r="AB180">
        <v>1001</v>
      </c>
      <c r="AC180">
        <v>150</v>
      </c>
      <c r="AD180">
        <v>1</v>
      </c>
      <c r="AE180">
        <v>8000</v>
      </c>
      <c r="AF180">
        <v>900</v>
      </c>
      <c r="AG180">
        <v>1</v>
      </c>
    </row>
    <row r="181" spans="1:33" ht="38.25" customHeight="1">
      <c r="A181">
        <v>1075</v>
      </c>
      <c r="B181" t="s">
        <v>1959</v>
      </c>
      <c r="C181">
        <v>3</v>
      </c>
      <c r="D181" t="s">
        <v>2170</v>
      </c>
      <c r="E181">
        <v>38</v>
      </c>
      <c r="G181" s="90" t="s">
        <v>2171</v>
      </c>
      <c r="I181">
        <v>10595</v>
      </c>
      <c r="J181" s="80" t="s">
        <v>2132</v>
      </c>
      <c r="K181" t="s">
        <v>767</v>
      </c>
      <c r="L181">
        <v>9005</v>
      </c>
      <c r="M181" t="s">
        <v>1712</v>
      </c>
      <c r="O181">
        <v>0.7</v>
      </c>
      <c r="P181" s="80" t="s">
        <v>2133</v>
      </c>
      <c r="Q181" t="s">
        <v>769</v>
      </c>
      <c r="R181">
        <v>9004</v>
      </c>
      <c r="S181" t="s">
        <v>2172</v>
      </c>
      <c r="U181">
        <v>0.7</v>
      </c>
      <c r="V181">
        <v>70001</v>
      </c>
      <c r="W181">
        <v>1</v>
      </c>
      <c r="X181">
        <v>1</v>
      </c>
      <c r="Y181">
        <v>70002</v>
      </c>
      <c r="Z181">
        <v>1</v>
      </c>
      <c r="AA181">
        <v>1</v>
      </c>
      <c r="AB181">
        <v>1001</v>
      </c>
      <c r="AC181">
        <v>150</v>
      </c>
      <c r="AD181">
        <v>1</v>
      </c>
      <c r="AE181">
        <v>8000</v>
      </c>
      <c r="AF181">
        <v>900</v>
      </c>
      <c r="AG181">
        <v>1</v>
      </c>
    </row>
    <row r="182" spans="1:33" ht="38.25" customHeight="1">
      <c r="A182">
        <v>1076</v>
      </c>
      <c r="B182" t="s">
        <v>1959</v>
      </c>
      <c r="C182">
        <v>3</v>
      </c>
      <c r="D182" t="s">
        <v>2173</v>
      </c>
      <c r="E182">
        <v>39</v>
      </c>
      <c r="G182" s="90" t="s">
        <v>2174</v>
      </c>
      <c r="I182">
        <v>10720</v>
      </c>
      <c r="J182" s="80" t="s">
        <v>2132</v>
      </c>
      <c r="K182" t="s">
        <v>767</v>
      </c>
      <c r="L182">
        <v>9006</v>
      </c>
      <c r="M182">
        <v>11</v>
      </c>
      <c r="O182">
        <v>0.2</v>
      </c>
      <c r="P182" s="80" t="s">
        <v>2133</v>
      </c>
      <c r="Q182" t="s">
        <v>769</v>
      </c>
      <c r="R182">
        <v>9007</v>
      </c>
      <c r="S182">
        <v>13</v>
      </c>
      <c r="U182">
        <v>0.3</v>
      </c>
      <c r="V182">
        <v>70001</v>
      </c>
      <c r="W182">
        <v>1</v>
      </c>
      <c r="X182">
        <v>1</v>
      </c>
      <c r="Y182">
        <v>70002</v>
      </c>
      <c r="Z182">
        <v>1</v>
      </c>
      <c r="AA182">
        <v>1</v>
      </c>
      <c r="AB182">
        <v>1001</v>
      </c>
      <c r="AC182">
        <v>150</v>
      </c>
      <c r="AD182">
        <v>1</v>
      </c>
      <c r="AE182">
        <v>8000</v>
      </c>
      <c r="AF182">
        <v>900</v>
      </c>
      <c r="AG182">
        <v>1</v>
      </c>
    </row>
    <row r="183" spans="1:33" ht="38.25" customHeight="1">
      <c r="A183">
        <v>1077</v>
      </c>
      <c r="B183" t="s">
        <v>1959</v>
      </c>
      <c r="C183">
        <v>3</v>
      </c>
      <c r="D183" t="s">
        <v>2175</v>
      </c>
      <c r="E183">
        <v>39</v>
      </c>
      <c r="G183" s="90" t="s">
        <v>2176</v>
      </c>
      <c r="I183">
        <v>10845</v>
      </c>
      <c r="J183" s="80" t="s">
        <v>2132</v>
      </c>
      <c r="K183" t="s">
        <v>767</v>
      </c>
      <c r="L183">
        <v>9012</v>
      </c>
      <c r="M183" t="s">
        <v>2022</v>
      </c>
      <c r="O183">
        <v>0.6</v>
      </c>
      <c r="P183" s="80" t="s">
        <v>2133</v>
      </c>
      <c r="Q183" t="s">
        <v>769</v>
      </c>
      <c r="R183">
        <v>9004</v>
      </c>
      <c r="S183" t="s">
        <v>2177</v>
      </c>
      <c r="U183">
        <v>0.4</v>
      </c>
      <c r="V183">
        <v>70001</v>
      </c>
      <c r="W183">
        <v>1</v>
      </c>
      <c r="X183">
        <v>1</v>
      </c>
      <c r="Y183">
        <v>70002</v>
      </c>
      <c r="Z183">
        <v>1</v>
      </c>
      <c r="AA183">
        <v>1</v>
      </c>
      <c r="AB183">
        <v>1001</v>
      </c>
      <c r="AC183">
        <v>150</v>
      </c>
      <c r="AD183">
        <v>1</v>
      </c>
      <c r="AE183">
        <v>8000</v>
      </c>
      <c r="AF183">
        <v>950</v>
      </c>
      <c r="AG183">
        <v>1</v>
      </c>
    </row>
    <row r="184" spans="1:33" ht="38.25" customHeight="1">
      <c r="A184">
        <v>1078</v>
      </c>
      <c r="B184" t="s">
        <v>1959</v>
      </c>
      <c r="C184">
        <v>3</v>
      </c>
      <c r="D184" t="s">
        <v>2178</v>
      </c>
      <c r="E184">
        <v>40</v>
      </c>
      <c r="G184" s="90" t="s">
        <v>2179</v>
      </c>
      <c r="I184">
        <v>10970</v>
      </c>
      <c r="J184" s="80" t="s">
        <v>2132</v>
      </c>
      <c r="K184" t="s">
        <v>767</v>
      </c>
      <c r="L184">
        <v>9008</v>
      </c>
      <c r="M184" t="s">
        <v>2039</v>
      </c>
      <c r="O184">
        <v>0.7</v>
      </c>
      <c r="P184" s="80" t="s">
        <v>2133</v>
      </c>
      <c r="Q184" t="s">
        <v>769</v>
      </c>
      <c r="R184">
        <v>9003</v>
      </c>
      <c r="S184" t="s">
        <v>1729</v>
      </c>
      <c r="U184">
        <v>0.5</v>
      </c>
      <c r="V184">
        <v>70001</v>
      </c>
      <c r="W184">
        <v>1</v>
      </c>
      <c r="X184">
        <v>1</v>
      </c>
      <c r="Y184">
        <v>70002</v>
      </c>
      <c r="Z184">
        <v>1</v>
      </c>
      <c r="AA184">
        <v>1</v>
      </c>
      <c r="AB184">
        <v>1001</v>
      </c>
      <c r="AC184">
        <v>150</v>
      </c>
      <c r="AD184">
        <v>1</v>
      </c>
      <c r="AE184">
        <v>8000</v>
      </c>
      <c r="AF184">
        <v>950</v>
      </c>
      <c r="AG184">
        <v>1</v>
      </c>
    </row>
    <row r="185" spans="1:33" ht="38.25" customHeight="1">
      <c r="A185">
        <v>1079</v>
      </c>
      <c r="B185" t="s">
        <v>1959</v>
      </c>
      <c r="C185">
        <v>3</v>
      </c>
      <c r="D185" t="s">
        <v>2180</v>
      </c>
      <c r="E185">
        <v>40</v>
      </c>
      <c r="G185" s="90" t="s">
        <v>2181</v>
      </c>
      <c r="I185">
        <v>11095</v>
      </c>
      <c r="J185" s="80" t="s">
        <v>2132</v>
      </c>
      <c r="K185" t="s">
        <v>767</v>
      </c>
      <c r="L185">
        <v>9012</v>
      </c>
      <c r="M185" t="s">
        <v>2182</v>
      </c>
      <c r="O185">
        <v>0.6</v>
      </c>
      <c r="P185" s="80" t="s">
        <v>2133</v>
      </c>
      <c r="Q185" t="s">
        <v>769</v>
      </c>
      <c r="R185">
        <v>9008</v>
      </c>
      <c r="S185" t="s">
        <v>2016</v>
      </c>
      <c r="U185">
        <v>1</v>
      </c>
      <c r="V185">
        <v>70001</v>
      </c>
      <c r="W185">
        <v>1</v>
      </c>
      <c r="X185">
        <v>1</v>
      </c>
      <c r="Y185">
        <v>70002</v>
      </c>
      <c r="Z185">
        <v>1</v>
      </c>
      <c r="AA185">
        <v>1</v>
      </c>
      <c r="AB185">
        <v>1001</v>
      </c>
      <c r="AC185">
        <v>150</v>
      </c>
      <c r="AD185">
        <v>1</v>
      </c>
      <c r="AE185">
        <v>8000</v>
      </c>
      <c r="AF185">
        <v>950</v>
      </c>
      <c r="AG185">
        <v>1</v>
      </c>
    </row>
    <row r="186" spans="1:33" ht="38.25" customHeight="1">
      <c r="A186">
        <v>1080</v>
      </c>
      <c r="B186" t="s">
        <v>1959</v>
      </c>
      <c r="C186">
        <v>3</v>
      </c>
      <c r="D186" t="s">
        <v>2183</v>
      </c>
      <c r="E186">
        <v>41</v>
      </c>
      <c r="G186" s="90" t="s">
        <v>2184</v>
      </c>
      <c r="I186">
        <v>11220</v>
      </c>
      <c r="J186" s="80" t="s">
        <v>2132</v>
      </c>
      <c r="K186" t="s">
        <v>767</v>
      </c>
      <c r="L186">
        <v>9006</v>
      </c>
      <c r="M186" t="s">
        <v>1677</v>
      </c>
      <c r="O186">
        <v>0.6</v>
      </c>
      <c r="P186" s="80" t="s">
        <v>2133</v>
      </c>
      <c r="Q186" t="s">
        <v>769</v>
      </c>
      <c r="R186">
        <v>9008</v>
      </c>
      <c r="S186" t="s">
        <v>1669</v>
      </c>
      <c r="U186">
        <v>0.4</v>
      </c>
      <c r="V186">
        <v>70001</v>
      </c>
      <c r="W186">
        <v>1</v>
      </c>
      <c r="X186">
        <v>1</v>
      </c>
      <c r="Y186">
        <v>70002</v>
      </c>
      <c r="Z186">
        <v>1</v>
      </c>
      <c r="AA186">
        <v>1</v>
      </c>
      <c r="AB186">
        <v>1001</v>
      </c>
      <c r="AC186">
        <v>150</v>
      </c>
      <c r="AD186">
        <v>1</v>
      </c>
      <c r="AE186">
        <v>8000</v>
      </c>
      <c r="AF186">
        <v>1000</v>
      </c>
      <c r="AG186">
        <v>1</v>
      </c>
    </row>
    <row r="187" spans="1:33" ht="38.25" customHeight="1">
      <c r="A187">
        <v>1081</v>
      </c>
      <c r="B187" t="s">
        <v>1959</v>
      </c>
      <c r="C187">
        <v>3</v>
      </c>
      <c r="D187" t="s">
        <v>2185</v>
      </c>
      <c r="E187">
        <v>41</v>
      </c>
      <c r="G187" s="90" t="s">
        <v>2186</v>
      </c>
      <c r="I187">
        <v>11345</v>
      </c>
      <c r="J187" s="80" t="s">
        <v>2132</v>
      </c>
      <c r="K187" t="s">
        <v>767</v>
      </c>
      <c r="L187">
        <v>9002</v>
      </c>
      <c r="M187" t="s">
        <v>1781</v>
      </c>
      <c r="O187">
        <v>0.9</v>
      </c>
      <c r="P187" s="80" t="s">
        <v>2133</v>
      </c>
      <c r="Q187" t="s">
        <v>769</v>
      </c>
      <c r="R187">
        <v>9003</v>
      </c>
      <c r="S187" t="s">
        <v>2187</v>
      </c>
      <c r="U187">
        <v>0.2</v>
      </c>
      <c r="V187">
        <v>70001</v>
      </c>
      <c r="W187">
        <v>1</v>
      </c>
      <c r="X187">
        <v>1</v>
      </c>
      <c r="Y187">
        <v>70002</v>
      </c>
      <c r="Z187">
        <v>1</v>
      </c>
      <c r="AA187">
        <v>1</v>
      </c>
      <c r="AB187">
        <v>1001</v>
      </c>
      <c r="AC187">
        <v>150</v>
      </c>
      <c r="AD187">
        <v>1</v>
      </c>
      <c r="AE187">
        <v>8000</v>
      </c>
      <c r="AF187">
        <v>1000</v>
      </c>
      <c r="AG187">
        <v>1</v>
      </c>
    </row>
    <row r="188" spans="1:33" ht="38.25" customHeight="1">
      <c r="A188">
        <v>1082</v>
      </c>
      <c r="B188" t="s">
        <v>1959</v>
      </c>
      <c r="C188">
        <v>3</v>
      </c>
      <c r="D188" t="s">
        <v>2188</v>
      </c>
      <c r="E188">
        <v>42</v>
      </c>
      <c r="G188" s="90" t="s">
        <v>2189</v>
      </c>
      <c r="I188">
        <v>11470</v>
      </c>
      <c r="J188" s="80" t="s">
        <v>2132</v>
      </c>
      <c r="K188" t="s">
        <v>767</v>
      </c>
      <c r="L188">
        <v>9001</v>
      </c>
      <c r="M188" t="s">
        <v>2190</v>
      </c>
      <c r="O188">
        <v>0.5</v>
      </c>
      <c r="P188" s="80" t="s">
        <v>2133</v>
      </c>
      <c r="Q188" t="s">
        <v>769</v>
      </c>
      <c r="R188">
        <v>9008</v>
      </c>
      <c r="S188" t="s">
        <v>2191</v>
      </c>
      <c r="U188">
        <v>0.2</v>
      </c>
      <c r="V188">
        <v>70001</v>
      </c>
      <c r="W188">
        <v>1</v>
      </c>
      <c r="X188">
        <v>1</v>
      </c>
      <c r="Y188">
        <v>70002</v>
      </c>
      <c r="Z188">
        <v>1</v>
      </c>
      <c r="AA188">
        <v>1</v>
      </c>
      <c r="AB188">
        <v>1001</v>
      </c>
      <c r="AC188">
        <v>150</v>
      </c>
      <c r="AD188">
        <v>1</v>
      </c>
      <c r="AE188">
        <v>8000</v>
      </c>
      <c r="AF188">
        <v>1000</v>
      </c>
      <c r="AG188">
        <v>1</v>
      </c>
    </row>
    <row r="189" spans="1:33" ht="38.25" customHeight="1">
      <c r="A189">
        <v>1083</v>
      </c>
      <c r="B189" t="s">
        <v>1959</v>
      </c>
      <c r="C189">
        <v>3</v>
      </c>
      <c r="D189" t="s">
        <v>2192</v>
      </c>
      <c r="E189">
        <v>42</v>
      </c>
      <c r="G189" s="90" t="s">
        <v>2193</v>
      </c>
      <c r="I189">
        <v>11595</v>
      </c>
      <c r="J189" s="80" t="s">
        <v>2132</v>
      </c>
      <c r="K189" t="s">
        <v>767</v>
      </c>
      <c r="L189">
        <v>9001</v>
      </c>
      <c r="M189" t="s">
        <v>1768</v>
      </c>
      <c r="O189">
        <v>0.9</v>
      </c>
      <c r="P189" s="80" t="s">
        <v>2133</v>
      </c>
      <c r="Q189" t="s">
        <v>769</v>
      </c>
      <c r="R189">
        <v>9010</v>
      </c>
      <c r="S189" t="s">
        <v>2194</v>
      </c>
      <c r="U189">
        <v>0.8</v>
      </c>
      <c r="V189">
        <v>70001</v>
      </c>
      <c r="W189">
        <v>1</v>
      </c>
      <c r="X189">
        <v>1</v>
      </c>
      <c r="Y189">
        <v>70002</v>
      </c>
      <c r="Z189">
        <v>1</v>
      </c>
      <c r="AA189">
        <v>1</v>
      </c>
      <c r="AB189">
        <v>1001</v>
      </c>
      <c r="AC189">
        <v>150</v>
      </c>
      <c r="AD189">
        <v>1</v>
      </c>
      <c r="AE189">
        <v>8000</v>
      </c>
      <c r="AF189">
        <v>1050</v>
      </c>
      <c r="AG189">
        <v>1</v>
      </c>
    </row>
    <row r="190" spans="1:33" ht="38.25" customHeight="1">
      <c r="A190">
        <v>1084</v>
      </c>
      <c r="B190" t="s">
        <v>1959</v>
      </c>
      <c r="C190">
        <v>3</v>
      </c>
      <c r="D190" t="s">
        <v>2195</v>
      </c>
      <c r="E190">
        <v>43</v>
      </c>
      <c r="G190" s="90" t="s">
        <v>2196</v>
      </c>
      <c r="I190">
        <v>11720</v>
      </c>
      <c r="J190" s="80" t="s">
        <v>2132</v>
      </c>
      <c r="K190" t="s">
        <v>767</v>
      </c>
      <c r="L190">
        <v>9006</v>
      </c>
      <c r="M190">
        <v>2</v>
      </c>
      <c r="O190">
        <v>0.6</v>
      </c>
      <c r="P190" s="80" t="s">
        <v>2133</v>
      </c>
      <c r="Q190" t="s">
        <v>769</v>
      </c>
      <c r="R190">
        <v>9012</v>
      </c>
      <c r="S190" t="s">
        <v>1900</v>
      </c>
      <c r="U190">
        <v>0.5</v>
      </c>
      <c r="V190">
        <v>70001</v>
      </c>
      <c r="W190">
        <v>1</v>
      </c>
      <c r="X190">
        <v>1</v>
      </c>
      <c r="Y190">
        <v>70002</v>
      </c>
      <c r="Z190">
        <v>1</v>
      </c>
      <c r="AA190">
        <v>1</v>
      </c>
      <c r="AB190">
        <v>1001</v>
      </c>
      <c r="AC190">
        <v>150</v>
      </c>
      <c r="AD190">
        <v>1</v>
      </c>
      <c r="AE190">
        <v>8000</v>
      </c>
      <c r="AF190">
        <v>1050</v>
      </c>
      <c r="AG190">
        <v>1</v>
      </c>
    </row>
    <row r="191" spans="1:33" ht="38.25" customHeight="1">
      <c r="A191">
        <v>1085</v>
      </c>
      <c r="B191" t="s">
        <v>1959</v>
      </c>
      <c r="C191">
        <v>3</v>
      </c>
      <c r="D191" t="s">
        <v>2197</v>
      </c>
      <c r="E191">
        <v>43</v>
      </c>
      <c r="G191" s="90" t="s">
        <v>2198</v>
      </c>
      <c r="I191">
        <v>11845</v>
      </c>
      <c r="J191" s="80" t="s">
        <v>2132</v>
      </c>
      <c r="K191" t="s">
        <v>767</v>
      </c>
      <c r="L191">
        <v>9011</v>
      </c>
      <c r="M191" t="s">
        <v>1765</v>
      </c>
      <c r="O191">
        <v>1</v>
      </c>
      <c r="P191" s="80" t="s">
        <v>2133</v>
      </c>
      <c r="Q191" t="s">
        <v>769</v>
      </c>
      <c r="R191">
        <v>9010</v>
      </c>
      <c r="S191" t="s">
        <v>2001</v>
      </c>
      <c r="U191">
        <v>0.9</v>
      </c>
      <c r="V191">
        <v>70001</v>
      </c>
      <c r="W191">
        <v>1</v>
      </c>
      <c r="X191">
        <v>1</v>
      </c>
      <c r="Y191">
        <v>70002</v>
      </c>
      <c r="Z191">
        <v>1</v>
      </c>
      <c r="AA191">
        <v>1</v>
      </c>
      <c r="AB191">
        <v>1001</v>
      </c>
      <c r="AC191">
        <v>150</v>
      </c>
      <c r="AD191">
        <v>1</v>
      </c>
      <c r="AE191">
        <v>8000</v>
      </c>
      <c r="AF191">
        <v>1050</v>
      </c>
      <c r="AG191">
        <v>1</v>
      </c>
    </row>
    <row r="192" spans="1:33" ht="38.25" customHeight="1">
      <c r="A192">
        <v>1086</v>
      </c>
      <c r="B192" t="s">
        <v>1959</v>
      </c>
      <c r="C192">
        <v>3</v>
      </c>
      <c r="D192" t="s">
        <v>2199</v>
      </c>
      <c r="E192">
        <v>44</v>
      </c>
      <c r="G192" s="90" t="s">
        <v>2200</v>
      </c>
      <c r="I192">
        <v>11970</v>
      </c>
      <c r="J192" s="80" t="s">
        <v>2132</v>
      </c>
      <c r="K192" t="s">
        <v>767</v>
      </c>
      <c r="L192">
        <v>9011</v>
      </c>
      <c r="M192" t="s">
        <v>1845</v>
      </c>
      <c r="O192">
        <v>0.8</v>
      </c>
      <c r="P192" s="80" t="s">
        <v>2133</v>
      </c>
      <c r="Q192" t="s">
        <v>769</v>
      </c>
      <c r="R192">
        <v>9011</v>
      </c>
      <c r="S192" t="s">
        <v>2201</v>
      </c>
      <c r="U192">
        <v>0.9</v>
      </c>
      <c r="V192">
        <v>70001</v>
      </c>
      <c r="W192">
        <v>1</v>
      </c>
      <c r="X192">
        <v>1</v>
      </c>
      <c r="Y192">
        <v>70002</v>
      </c>
      <c r="Z192">
        <v>1</v>
      </c>
      <c r="AA192">
        <v>1</v>
      </c>
      <c r="AB192">
        <v>1001</v>
      </c>
      <c r="AC192">
        <v>150</v>
      </c>
      <c r="AD192">
        <v>1</v>
      </c>
      <c r="AE192">
        <v>8000</v>
      </c>
      <c r="AF192">
        <v>1100</v>
      </c>
      <c r="AG192">
        <v>1</v>
      </c>
    </row>
    <row r="193" spans="1:33" ht="38.25" customHeight="1">
      <c r="A193">
        <v>1087</v>
      </c>
      <c r="B193" t="s">
        <v>1959</v>
      </c>
      <c r="C193">
        <v>3</v>
      </c>
      <c r="D193" t="s">
        <v>2202</v>
      </c>
      <c r="E193">
        <v>44</v>
      </c>
      <c r="G193" s="90" t="s">
        <v>2203</v>
      </c>
      <c r="I193">
        <v>12095</v>
      </c>
      <c r="J193" s="80" t="s">
        <v>2132</v>
      </c>
      <c r="K193" t="s">
        <v>767</v>
      </c>
      <c r="L193">
        <v>9006</v>
      </c>
      <c r="M193" t="s">
        <v>2002</v>
      </c>
      <c r="O193">
        <v>0.3</v>
      </c>
      <c r="P193" s="80" t="s">
        <v>2133</v>
      </c>
      <c r="Q193" t="s">
        <v>769</v>
      </c>
      <c r="R193">
        <v>9003</v>
      </c>
      <c r="S193">
        <v>11</v>
      </c>
      <c r="U193">
        <v>0.6</v>
      </c>
      <c r="V193">
        <v>70001</v>
      </c>
      <c r="W193">
        <v>1</v>
      </c>
      <c r="X193">
        <v>1</v>
      </c>
      <c r="Y193">
        <v>70002</v>
      </c>
      <c r="Z193">
        <v>1</v>
      </c>
      <c r="AA193">
        <v>1</v>
      </c>
      <c r="AB193">
        <v>1001</v>
      </c>
      <c r="AC193">
        <v>150</v>
      </c>
      <c r="AD193">
        <v>1</v>
      </c>
      <c r="AE193">
        <v>8000</v>
      </c>
      <c r="AF193">
        <v>1100</v>
      </c>
      <c r="AG193">
        <v>1</v>
      </c>
    </row>
    <row r="194" spans="1:33" ht="38.25" customHeight="1">
      <c r="A194">
        <v>1088</v>
      </c>
      <c r="B194" t="s">
        <v>1959</v>
      </c>
      <c r="C194">
        <v>3</v>
      </c>
      <c r="D194" t="s">
        <v>2204</v>
      </c>
      <c r="E194">
        <v>45</v>
      </c>
      <c r="G194" s="90" t="s">
        <v>2205</v>
      </c>
      <c r="I194">
        <v>12220</v>
      </c>
      <c r="J194" s="80" t="s">
        <v>2132</v>
      </c>
      <c r="K194" t="s">
        <v>767</v>
      </c>
      <c r="L194">
        <v>9001</v>
      </c>
      <c r="M194">
        <v>8</v>
      </c>
      <c r="O194">
        <v>0.6</v>
      </c>
      <c r="P194" s="80" t="s">
        <v>2133</v>
      </c>
      <c r="Q194" t="s">
        <v>769</v>
      </c>
      <c r="R194">
        <v>9010</v>
      </c>
      <c r="S194" t="s">
        <v>1855</v>
      </c>
      <c r="U194">
        <v>0.5</v>
      </c>
      <c r="V194">
        <v>70001</v>
      </c>
      <c r="W194">
        <v>1</v>
      </c>
      <c r="X194">
        <v>1</v>
      </c>
      <c r="Y194">
        <v>70002</v>
      </c>
      <c r="Z194">
        <v>1</v>
      </c>
      <c r="AA194">
        <v>1</v>
      </c>
      <c r="AB194">
        <v>1001</v>
      </c>
      <c r="AC194">
        <v>150</v>
      </c>
      <c r="AD194">
        <v>1</v>
      </c>
      <c r="AE194">
        <v>8000</v>
      </c>
      <c r="AF194">
        <v>1100</v>
      </c>
      <c r="AG194">
        <v>1</v>
      </c>
    </row>
    <row r="195" spans="1:33" ht="38.25" customHeight="1">
      <c r="A195">
        <v>1089</v>
      </c>
      <c r="B195" t="s">
        <v>1959</v>
      </c>
      <c r="C195">
        <v>3</v>
      </c>
      <c r="D195" t="s">
        <v>2206</v>
      </c>
      <c r="E195">
        <v>45</v>
      </c>
      <c r="G195" s="90" t="s">
        <v>2207</v>
      </c>
      <c r="I195">
        <v>12345</v>
      </c>
      <c r="J195" s="80" t="s">
        <v>2132</v>
      </c>
      <c r="K195" t="s">
        <v>767</v>
      </c>
      <c r="L195">
        <v>9012</v>
      </c>
      <c r="M195">
        <v>5</v>
      </c>
      <c r="O195">
        <v>0.5</v>
      </c>
      <c r="P195" s="80" t="s">
        <v>2133</v>
      </c>
      <c r="Q195" t="s">
        <v>769</v>
      </c>
      <c r="R195">
        <v>9010</v>
      </c>
      <c r="S195" t="s">
        <v>1759</v>
      </c>
      <c r="U195">
        <v>0.7</v>
      </c>
      <c r="V195">
        <v>70001</v>
      </c>
      <c r="W195">
        <v>1</v>
      </c>
      <c r="X195">
        <v>1</v>
      </c>
      <c r="Y195">
        <v>70002</v>
      </c>
      <c r="Z195">
        <v>1</v>
      </c>
      <c r="AA195">
        <v>1</v>
      </c>
      <c r="AB195">
        <v>1001</v>
      </c>
      <c r="AC195">
        <v>1500</v>
      </c>
      <c r="AD195">
        <v>1</v>
      </c>
      <c r="AE195">
        <v>8000</v>
      </c>
      <c r="AF195">
        <v>1100</v>
      </c>
      <c r="AG195">
        <v>1</v>
      </c>
    </row>
    <row r="196" spans="1:33" ht="38.25" customHeight="1">
      <c r="A196">
        <v>1090</v>
      </c>
      <c r="B196" t="s">
        <v>1959</v>
      </c>
      <c r="C196">
        <v>4</v>
      </c>
      <c r="D196" t="s">
        <v>2208</v>
      </c>
      <c r="E196">
        <v>46</v>
      </c>
      <c r="G196" s="90" t="s">
        <v>2209</v>
      </c>
      <c r="I196">
        <v>12470</v>
      </c>
      <c r="J196" s="80" t="s">
        <v>2210</v>
      </c>
      <c r="K196" t="s">
        <v>767</v>
      </c>
      <c r="L196">
        <v>9006</v>
      </c>
      <c r="M196">
        <v>6</v>
      </c>
      <c r="O196">
        <v>0.9</v>
      </c>
      <c r="P196" s="80" t="s">
        <v>2211</v>
      </c>
      <c r="Q196" t="s">
        <v>769</v>
      </c>
      <c r="R196">
        <v>9012</v>
      </c>
      <c r="S196" t="s">
        <v>2108</v>
      </c>
      <c r="U196">
        <v>0.4</v>
      </c>
      <c r="V196">
        <v>70001</v>
      </c>
      <c r="W196">
        <v>1</v>
      </c>
      <c r="X196">
        <v>1</v>
      </c>
      <c r="Y196">
        <v>70002</v>
      </c>
      <c r="Z196">
        <v>1</v>
      </c>
      <c r="AA196">
        <v>1</v>
      </c>
      <c r="AB196">
        <v>1001</v>
      </c>
      <c r="AC196">
        <v>100</v>
      </c>
      <c r="AD196">
        <v>1</v>
      </c>
      <c r="AE196">
        <v>8000</v>
      </c>
      <c r="AF196">
        <v>1150</v>
      </c>
      <c r="AG196">
        <v>1</v>
      </c>
    </row>
    <row r="197" spans="1:33" ht="38.25" customHeight="1">
      <c r="A197">
        <v>1091</v>
      </c>
      <c r="B197" t="s">
        <v>1959</v>
      </c>
      <c r="C197">
        <v>4</v>
      </c>
      <c r="D197" t="s">
        <v>2212</v>
      </c>
      <c r="E197">
        <v>46</v>
      </c>
      <c r="G197" s="90" t="s">
        <v>2213</v>
      </c>
      <c r="I197">
        <v>12595</v>
      </c>
      <c r="J197" s="80" t="s">
        <v>2210</v>
      </c>
      <c r="K197" t="s">
        <v>767</v>
      </c>
      <c r="L197">
        <v>9001</v>
      </c>
      <c r="M197" t="s">
        <v>2108</v>
      </c>
      <c r="O197">
        <v>0.4</v>
      </c>
      <c r="P197" s="80" t="s">
        <v>2211</v>
      </c>
      <c r="Q197" t="s">
        <v>769</v>
      </c>
      <c r="R197">
        <v>9004</v>
      </c>
      <c r="S197">
        <v>9</v>
      </c>
      <c r="U197">
        <v>0.4</v>
      </c>
      <c r="V197">
        <v>70001</v>
      </c>
      <c r="W197">
        <v>1</v>
      </c>
      <c r="X197">
        <v>1</v>
      </c>
      <c r="Y197">
        <v>70002</v>
      </c>
      <c r="Z197">
        <v>1</v>
      </c>
      <c r="AA197">
        <v>1</v>
      </c>
      <c r="AB197">
        <v>1001</v>
      </c>
      <c r="AC197">
        <v>100</v>
      </c>
      <c r="AD197">
        <v>1</v>
      </c>
      <c r="AE197">
        <v>8000</v>
      </c>
      <c r="AF197">
        <v>1150</v>
      </c>
      <c r="AG197">
        <v>1</v>
      </c>
    </row>
    <row r="198" spans="1:33" ht="38.25" customHeight="1">
      <c r="A198">
        <v>1092</v>
      </c>
      <c r="B198" t="s">
        <v>1959</v>
      </c>
      <c r="C198">
        <v>4</v>
      </c>
      <c r="D198" t="s">
        <v>2214</v>
      </c>
      <c r="E198">
        <v>47</v>
      </c>
      <c r="G198" s="90" t="s">
        <v>2215</v>
      </c>
      <c r="I198">
        <v>12720</v>
      </c>
      <c r="J198" s="80" t="s">
        <v>2210</v>
      </c>
      <c r="K198" t="s">
        <v>767</v>
      </c>
      <c r="L198">
        <v>9002</v>
      </c>
      <c r="M198" t="s">
        <v>2216</v>
      </c>
      <c r="O198">
        <v>0.9</v>
      </c>
      <c r="P198" s="80" t="s">
        <v>2211</v>
      </c>
      <c r="Q198" t="s">
        <v>769</v>
      </c>
      <c r="R198">
        <v>9008</v>
      </c>
      <c r="S198">
        <v>4</v>
      </c>
      <c r="U198">
        <v>0.9</v>
      </c>
      <c r="V198">
        <v>70001</v>
      </c>
      <c r="W198">
        <v>1</v>
      </c>
      <c r="X198">
        <v>1</v>
      </c>
      <c r="Y198">
        <v>70002</v>
      </c>
      <c r="Z198">
        <v>1</v>
      </c>
      <c r="AA198">
        <v>1</v>
      </c>
      <c r="AB198">
        <v>1001</v>
      </c>
      <c r="AC198">
        <v>100</v>
      </c>
      <c r="AD198">
        <v>1</v>
      </c>
      <c r="AE198">
        <v>8000</v>
      </c>
      <c r="AF198">
        <v>1150</v>
      </c>
      <c r="AG198">
        <v>1</v>
      </c>
    </row>
    <row r="199" spans="1:33" ht="38.25" customHeight="1">
      <c r="A199">
        <v>1093</v>
      </c>
      <c r="B199" t="s">
        <v>1959</v>
      </c>
      <c r="C199">
        <v>4</v>
      </c>
      <c r="D199" t="s">
        <v>2217</v>
      </c>
      <c r="E199">
        <v>47</v>
      </c>
      <c r="G199" s="90" t="s">
        <v>2218</v>
      </c>
      <c r="I199">
        <v>12845</v>
      </c>
      <c r="J199" s="80" t="s">
        <v>2210</v>
      </c>
      <c r="K199" t="s">
        <v>767</v>
      </c>
      <c r="L199">
        <v>9001</v>
      </c>
      <c r="M199">
        <v>11</v>
      </c>
      <c r="O199">
        <v>0.5</v>
      </c>
      <c r="P199" s="80" t="s">
        <v>2211</v>
      </c>
      <c r="Q199" t="s">
        <v>769</v>
      </c>
      <c r="R199">
        <v>9011</v>
      </c>
      <c r="S199" t="s">
        <v>1870</v>
      </c>
      <c r="U199">
        <v>0.7</v>
      </c>
      <c r="V199">
        <v>70001</v>
      </c>
      <c r="W199">
        <v>1</v>
      </c>
      <c r="X199">
        <v>1</v>
      </c>
      <c r="Y199">
        <v>70002</v>
      </c>
      <c r="Z199">
        <v>1</v>
      </c>
      <c r="AA199">
        <v>1</v>
      </c>
      <c r="AB199">
        <v>1001</v>
      </c>
      <c r="AC199">
        <v>100</v>
      </c>
      <c r="AD199">
        <v>1</v>
      </c>
      <c r="AE199">
        <v>8000</v>
      </c>
      <c r="AF199">
        <v>1200</v>
      </c>
      <c r="AG199">
        <v>1</v>
      </c>
    </row>
    <row r="200" spans="1:33" ht="38.25" customHeight="1">
      <c r="A200">
        <v>1094</v>
      </c>
      <c r="B200" t="s">
        <v>1959</v>
      </c>
      <c r="C200">
        <v>4</v>
      </c>
      <c r="D200" t="s">
        <v>2219</v>
      </c>
      <c r="E200">
        <v>48</v>
      </c>
      <c r="G200" s="90" t="s">
        <v>2220</v>
      </c>
      <c r="I200">
        <v>12970</v>
      </c>
      <c r="J200" s="80" t="s">
        <v>2210</v>
      </c>
      <c r="K200" t="s">
        <v>767</v>
      </c>
      <c r="L200">
        <v>9012</v>
      </c>
      <c r="M200">
        <v>8</v>
      </c>
      <c r="O200">
        <v>0.2</v>
      </c>
      <c r="P200" s="80" t="s">
        <v>2211</v>
      </c>
      <c r="Q200" t="s">
        <v>769</v>
      </c>
      <c r="R200">
        <v>9004</v>
      </c>
      <c r="S200">
        <v>12</v>
      </c>
      <c r="U200">
        <v>0.5</v>
      </c>
      <c r="V200">
        <v>70001</v>
      </c>
      <c r="W200">
        <v>1</v>
      </c>
      <c r="X200">
        <v>1</v>
      </c>
      <c r="Y200">
        <v>70002</v>
      </c>
      <c r="Z200">
        <v>1</v>
      </c>
      <c r="AA200">
        <v>1</v>
      </c>
      <c r="AB200">
        <v>1001</v>
      </c>
      <c r="AC200">
        <v>100</v>
      </c>
      <c r="AD200">
        <v>1</v>
      </c>
      <c r="AE200">
        <v>8000</v>
      </c>
      <c r="AF200">
        <v>1200</v>
      </c>
      <c r="AG200">
        <v>1</v>
      </c>
    </row>
    <row r="201" spans="1:33" ht="38.25" customHeight="1">
      <c r="A201">
        <v>1095</v>
      </c>
      <c r="B201" t="s">
        <v>1959</v>
      </c>
      <c r="C201">
        <v>4</v>
      </c>
      <c r="D201" t="s">
        <v>2221</v>
      </c>
      <c r="E201">
        <v>48</v>
      </c>
      <c r="G201" s="90" t="s">
        <v>2222</v>
      </c>
      <c r="I201">
        <v>13095</v>
      </c>
      <c r="J201" s="80" t="s">
        <v>2210</v>
      </c>
      <c r="K201" t="s">
        <v>767</v>
      </c>
      <c r="L201">
        <v>9001</v>
      </c>
      <c r="M201" t="s">
        <v>1768</v>
      </c>
      <c r="O201">
        <v>0.9</v>
      </c>
      <c r="P201" s="80" t="s">
        <v>2211</v>
      </c>
      <c r="Q201" t="s">
        <v>769</v>
      </c>
      <c r="R201">
        <v>9010</v>
      </c>
      <c r="S201" t="s">
        <v>2155</v>
      </c>
      <c r="U201">
        <v>0.9</v>
      </c>
      <c r="V201">
        <v>70001</v>
      </c>
      <c r="W201">
        <v>1</v>
      </c>
      <c r="X201">
        <v>1</v>
      </c>
      <c r="Y201">
        <v>70002</v>
      </c>
      <c r="Z201">
        <v>1</v>
      </c>
      <c r="AA201">
        <v>1</v>
      </c>
      <c r="AB201">
        <v>1001</v>
      </c>
      <c r="AC201">
        <v>100</v>
      </c>
      <c r="AD201">
        <v>1</v>
      </c>
      <c r="AE201">
        <v>8000</v>
      </c>
      <c r="AF201">
        <v>1200</v>
      </c>
      <c r="AG201">
        <v>1</v>
      </c>
    </row>
    <row r="202" spans="1:33" ht="38.25" customHeight="1">
      <c r="A202">
        <v>1096</v>
      </c>
      <c r="B202" t="s">
        <v>1959</v>
      </c>
      <c r="C202">
        <v>4</v>
      </c>
      <c r="D202" t="s">
        <v>2223</v>
      </c>
      <c r="E202">
        <v>49</v>
      </c>
      <c r="G202" s="90" t="s">
        <v>2224</v>
      </c>
      <c r="I202">
        <v>13220</v>
      </c>
      <c r="J202" s="80" t="s">
        <v>2210</v>
      </c>
      <c r="K202" t="s">
        <v>767</v>
      </c>
      <c r="L202">
        <v>9011</v>
      </c>
      <c r="M202">
        <v>8</v>
      </c>
      <c r="O202">
        <v>0.3</v>
      </c>
      <c r="P202" s="80" t="s">
        <v>2211</v>
      </c>
      <c r="Q202" t="s">
        <v>769</v>
      </c>
      <c r="R202">
        <v>9010</v>
      </c>
      <c r="S202" t="s">
        <v>1907</v>
      </c>
      <c r="U202">
        <v>0.8</v>
      </c>
      <c r="V202">
        <v>70001</v>
      </c>
      <c r="W202">
        <v>1</v>
      </c>
      <c r="X202">
        <v>1</v>
      </c>
      <c r="Y202">
        <v>70002</v>
      </c>
      <c r="Z202">
        <v>1</v>
      </c>
      <c r="AA202">
        <v>1</v>
      </c>
      <c r="AB202">
        <v>1001</v>
      </c>
      <c r="AC202">
        <v>100</v>
      </c>
      <c r="AD202">
        <v>1</v>
      </c>
      <c r="AE202">
        <v>8000</v>
      </c>
      <c r="AF202">
        <v>1250</v>
      </c>
      <c r="AG202">
        <v>1</v>
      </c>
    </row>
    <row r="203" spans="1:33" ht="38.25" customHeight="1">
      <c r="A203">
        <v>1097</v>
      </c>
      <c r="B203" t="s">
        <v>1959</v>
      </c>
      <c r="C203">
        <v>4</v>
      </c>
      <c r="D203" t="s">
        <v>2225</v>
      </c>
      <c r="E203">
        <v>49</v>
      </c>
      <c r="G203" s="90" t="s">
        <v>2226</v>
      </c>
      <c r="I203">
        <v>13345</v>
      </c>
      <c r="J203" s="80" t="s">
        <v>2210</v>
      </c>
      <c r="K203" t="s">
        <v>767</v>
      </c>
      <c r="L203">
        <v>9008</v>
      </c>
      <c r="M203" t="s">
        <v>1808</v>
      </c>
      <c r="O203">
        <v>0.3</v>
      </c>
      <c r="P203" s="80" t="s">
        <v>2211</v>
      </c>
      <c r="Q203" t="s">
        <v>769</v>
      </c>
      <c r="R203">
        <v>9012</v>
      </c>
      <c r="S203">
        <v>4</v>
      </c>
      <c r="U203">
        <v>0.9</v>
      </c>
      <c r="V203">
        <v>70001</v>
      </c>
      <c r="W203">
        <v>1</v>
      </c>
      <c r="X203">
        <v>1</v>
      </c>
      <c r="Y203">
        <v>70002</v>
      </c>
      <c r="Z203">
        <v>1</v>
      </c>
      <c r="AA203">
        <v>1</v>
      </c>
      <c r="AB203">
        <v>1001</v>
      </c>
      <c r="AC203">
        <v>100</v>
      </c>
      <c r="AD203">
        <v>1</v>
      </c>
      <c r="AE203">
        <v>8000</v>
      </c>
      <c r="AF203">
        <v>1250</v>
      </c>
      <c r="AG203">
        <v>1</v>
      </c>
    </row>
    <row r="204" spans="1:33" ht="38.25" customHeight="1">
      <c r="A204">
        <v>1098</v>
      </c>
      <c r="B204" t="s">
        <v>1959</v>
      </c>
      <c r="C204">
        <v>4</v>
      </c>
      <c r="D204" t="s">
        <v>2227</v>
      </c>
      <c r="E204">
        <v>50</v>
      </c>
      <c r="G204" s="90" t="s">
        <v>2228</v>
      </c>
      <c r="I204">
        <v>13470</v>
      </c>
      <c r="J204" s="80" t="s">
        <v>2210</v>
      </c>
      <c r="K204" t="s">
        <v>767</v>
      </c>
      <c r="L204">
        <v>9012</v>
      </c>
      <c r="M204" t="s">
        <v>2008</v>
      </c>
      <c r="O204">
        <v>1</v>
      </c>
      <c r="P204" s="80" t="s">
        <v>2211</v>
      </c>
      <c r="Q204" t="s">
        <v>769</v>
      </c>
      <c r="R204">
        <v>9012</v>
      </c>
      <c r="S204" t="s">
        <v>1669</v>
      </c>
      <c r="U204">
        <v>0.9</v>
      </c>
      <c r="V204">
        <v>70001</v>
      </c>
      <c r="W204">
        <v>1</v>
      </c>
      <c r="X204">
        <v>1</v>
      </c>
      <c r="Y204">
        <v>70002</v>
      </c>
      <c r="Z204">
        <v>1</v>
      </c>
      <c r="AA204">
        <v>1</v>
      </c>
      <c r="AB204">
        <v>1001</v>
      </c>
      <c r="AC204">
        <v>100</v>
      </c>
      <c r="AD204">
        <v>1</v>
      </c>
      <c r="AE204">
        <v>8000</v>
      </c>
      <c r="AF204">
        <v>1250</v>
      </c>
      <c r="AG204">
        <v>1</v>
      </c>
    </row>
    <row r="205" spans="1:33" ht="38.25" customHeight="1">
      <c r="A205">
        <v>1099</v>
      </c>
      <c r="B205" t="s">
        <v>1959</v>
      </c>
      <c r="C205">
        <v>4</v>
      </c>
      <c r="D205" t="s">
        <v>2229</v>
      </c>
      <c r="E205">
        <v>50</v>
      </c>
      <c r="G205" s="90" t="s">
        <v>2230</v>
      </c>
      <c r="I205">
        <v>13595</v>
      </c>
      <c r="J205" s="80" t="s">
        <v>2210</v>
      </c>
      <c r="K205" t="s">
        <v>767</v>
      </c>
      <c r="L205">
        <v>9007</v>
      </c>
      <c r="M205" t="s">
        <v>2231</v>
      </c>
      <c r="O205">
        <v>0.6</v>
      </c>
      <c r="P205" s="80" t="s">
        <v>2211</v>
      </c>
      <c r="Q205" t="s">
        <v>769</v>
      </c>
      <c r="R205">
        <v>9012</v>
      </c>
      <c r="S205" t="s">
        <v>2232</v>
      </c>
      <c r="U205">
        <v>0.1</v>
      </c>
      <c r="V205">
        <v>70001</v>
      </c>
      <c r="W205">
        <v>1</v>
      </c>
      <c r="X205">
        <v>1</v>
      </c>
      <c r="Y205">
        <v>70002</v>
      </c>
      <c r="Z205">
        <v>1</v>
      </c>
      <c r="AA205">
        <v>1</v>
      </c>
      <c r="AB205">
        <v>1001</v>
      </c>
      <c r="AC205">
        <v>100</v>
      </c>
      <c r="AD205">
        <v>1</v>
      </c>
      <c r="AE205">
        <v>8000</v>
      </c>
      <c r="AF205">
        <v>1300</v>
      </c>
      <c r="AG205">
        <v>1</v>
      </c>
    </row>
    <row r="206" spans="1:33" ht="38.25" customHeight="1">
      <c r="A206">
        <v>1100</v>
      </c>
      <c r="B206" t="s">
        <v>1959</v>
      </c>
      <c r="C206">
        <v>4</v>
      </c>
      <c r="D206" t="s">
        <v>2233</v>
      </c>
      <c r="E206">
        <v>51</v>
      </c>
      <c r="G206" s="90" t="s">
        <v>2234</v>
      </c>
      <c r="I206">
        <v>13720</v>
      </c>
      <c r="J206" s="80" t="s">
        <v>2210</v>
      </c>
      <c r="K206" t="s">
        <v>767</v>
      </c>
      <c r="L206">
        <v>9011</v>
      </c>
      <c r="M206" t="s">
        <v>2235</v>
      </c>
      <c r="O206">
        <v>0.2</v>
      </c>
      <c r="P206" s="80" t="s">
        <v>2211</v>
      </c>
      <c r="Q206" t="s">
        <v>769</v>
      </c>
      <c r="R206">
        <v>9010</v>
      </c>
      <c r="S206">
        <v>4</v>
      </c>
      <c r="U206">
        <v>0.7</v>
      </c>
      <c r="V206">
        <v>70001</v>
      </c>
      <c r="W206">
        <v>1</v>
      </c>
      <c r="X206">
        <v>1</v>
      </c>
      <c r="Y206">
        <v>70002</v>
      </c>
      <c r="Z206">
        <v>1</v>
      </c>
      <c r="AA206">
        <v>1</v>
      </c>
      <c r="AB206">
        <v>1001</v>
      </c>
      <c r="AC206">
        <v>100</v>
      </c>
      <c r="AD206">
        <v>1</v>
      </c>
      <c r="AE206">
        <v>8000</v>
      </c>
      <c r="AF206">
        <v>1300</v>
      </c>
      <c r="AG206">
        <v>1</v>
      </c>
    </row>
    <row r="207" spans="1:33" ht="38.25" customHeight="1">
      <c r="A207">
        <v>1101</v>
      </c>
      <c r="B207" t="s">
        <v>1959</v>
      </c>
      <c r="C207">
        <v>4</v>
      </c>
      <c r="D207" t="s">
        <v>2236</v>
      </c>
      <c r="E207">
        <v>51</v>
      </c>
      <c r="G207" s="90" t="s">
        <v>2237</v>
      </c>
      <c r="I207">
        <v>13845</v>
      </c>
      <c r="J207" s="80" t="s">
        <v>2210</v>
      </c>
      <c r="K207" t="s">
        <v>767</v>
      </c>
      <c r="L207">
        <v>9008</v>
      </c>
      <c r="M207" t="s">
        <v>2238</v>
      </c>
      <c r="O207">
        <v>0.3</v>
      </c>
      <c r="P207" s="80" t="s">
        <v>2211</v>
      </c>
      <c r="Q207" t="s">
        <v>769</v>
      </c>
      <c r="R207">
        <v>9010</v>
      </c>
      <c r="S207" t="s">
        <v>1745</v>
      </c>
      <c r="U207">
        <v>0.8</v>
      </c>
      <c r="V207">
        <v>70001</v>
      </c>
      <c r="W207">
        <v>1</v>
      </c>
      <c r="X207">
        <v>1</v>
      </c>
      <c r="Y207">
        <v>70002</v>
      </c>
      <c r="Z207">
        <v>1</v>
      </c>
      <c r="AA207">
        <v>1</v>
      </c>
      <c r="AB207">
        <v>1001</v>
      </c>
      <c r="AC207">
        <v>100</v>
      </c>
      <c r="AD207">
        <v>1</v>
      </c>
      <c r="AE207">
        <v>8000</v>
      </c>
      <c r="AF207">
        <v>1350</v>
      </c>
      <c r="AG207">
        <v>1</v>
      </c>
    </row>
    <row r="208" spans="1:33" ht="38.25" customHeight="1">
      <c r="A208">
        <v>1102</v>
      </c>
      <c r="B208" t="s">
        <v>1959</v>
      </c>
      <c r="C208">
        <v>4</v>
      </c>
      <c r="D208" t="s">
        <v>2239</v>
      </c>
      <c r="E208">
        <v>52</v>
      </c>
      <c r="G208" s="90" t="s">
        <v>2240</v>
      </c>
      <c r="I208">
        <v>13970</v>
      </c>
      <c r="J208" s="80" t="s">
        <v>2210</v>
      </c>
      <c r="K208" t="s">
        <v>767</v>
      </c>
      <c r="L208">
        <v>9001</v>
      </c>
      <c r="M208" t="s">
        <v>1680</v>
      </c>
      <c r="O208">
        <v>0.9</v>
      </c>
      <c r="P208" s="80" t="s">
        <v>2211</v>
      </c>
      <c r="Q208" t="s">
        <v>769</v>
      </c>
      <c r="R208">
        <v>9003</v>
      </c>
      <c r="S208" t="s">
        <v>1924</v>
      </c>
      <c r="U208">
        <v>0.6</v>
      </c>
      <c r="V208">
        <v>70001</v>
      </c>
      <c r="W208">
        <v>1</v>
      </c>
      <c r="X208">
        <v>1</v>
      </c>
      <c r="Y208">
        <v>70002</v>
      </c>
      <c r="Z208">
        <v>1</v>
      </c>
      <c r="AA208">
        <v>1</v>
      </c>
      <c r="AB208">
        <v>1001</v>
      </c>
      <c r="AC208">
        <v>100</v>
      </c>
      <c r="AD208">
        <v>1</v>
      </c>
      <c r="AE208">
        <v>8000</v>
      </c>
      <c r="AF208">
        <v>1350</v>
      </c>
      <c r="AG208">
        <v>1</v>
      </c>
    </row>
    <row r="209" spans="1:33" ht="38.25" customHeight="1">
      <c r="A209">
        <v>1103</v>
      </c>
      <c r="B209" t="s">
        <v>1959</v>
      </c>
      <c r="C209">
        <v>4</v>
      </c>
      <c r="D209" t="s">
        <v>2241</v>
      </c>
      <c r="E209">
        <v>52</v>
      </c>
      <c r="G209" s="90" t="s">
        <v>2242</v>
      </c>
      <c r="I209">
        <v>14095</v>
      </c>
      <c r="J209" s="80" t="s">
        <v>2210</v>
      </c>
      <c r="K209" t="s">
        <v>767</v>
      </c>
      <c r="L209">
        <v>9012</v>
      </c>
      <c r="M209" t="s">
        <v>2243</v>
      </c>
      <c r="O209">
        <v>0.3</v>
      </c>
      <c r="P209" s="80" t="s">
        <v>2211</v>
      </c>
      <c r="Q209" t="s">
        <v>769</v>
      </c>
      <c r="R209">
        <v>9011</v>
      </c>
      <c r="S209">
        <v>12</v>
      </c>
      <c r="U209">
        <v>0.7</v>
      </c>
      <c r="V209">
        <v>70001</v>
      </c>
      <c r="W209">
        <v>1</v>
      </c>
      <c r="X209">
        <v>1</v>
      </c>
      <c r="Y209">
        <v>70002</v>
      </c>
      <c r="Z209">
        <v>1</v>
      </c>
      <c r="AA209">
        <v>1</v>
      </c>
      <c r="AB209">
        <v>1001</v>
      </c>
      <c r="AC209">
        <v>100</v>
      </c>
      <c r="AD209">
        <v>1</v>
      </c>
      <c r="AE209">
        <v>8000</v>
      </c>
      <c r="AF209">
        <v>1350</v>
      </c>
      <c r="AG209">
        <v>1</v>
      </c>
    </row>
    <row r="210" spans="1:33" ht="38.25" customHeight="1">
      <c r="A210">
        <v>1104</v>
      </c>
      <c r="B210" t="s">
        <v>1959</v>
      </c>
      <c r="C210">
        <v>4</v>
      </c>
      <c r="D210" t="s">
        <v>2244</v>
      </c>
      <c r="E210">
        <v>53</v>
      </c>
      <c r="G210" s="90" t="s">
        <v>2245</v>
      </c>
      <c r="I210">
        <v>14220</v>
      </c>
      <c r="J210" s="80" t="s">
        <v>2210</v>
      </c>
      <c r="K210" t="s">
        <v>767</v>
      </c>
      <c r="L210">
        <v>9008</v>
      </c>
      <c r="M210" t="s">
        <v>1952</v>
      </c>
      <c r="O210">
        <v>0.3</v>
      </c>
      <c r="P210" s="80" t="s">
        <v>2211</v>
      </c>
      <c r="Q210" t="s">
        <v>769</v>
      </c>
      <c r="R210">
        <v>9007</v>
      </c>
      <c r="S210" t="s">
        <v>1824</v>
      </c>
      <c r="U210">
        <v>0.7</v>
      </c>
      <c r="V210">
        <v>70001</v>
      </c>
      <c r="W210">
        <v>1</v>
      </c>
      <c r="X210">
        <v>1</v>
      </c>
      <c r="Y210">
        <v>70002</v>
      </c>
      <c r="Z210">
        <v>1</v>
      </c>
      <c r="AA210">
        <v>1</v>
      </c>
      <c r="AB210">
        <v>1001</v>
      </c>
      <c r="AC210">
        <v>100</v>
      </c>
      <c r="AD210">
        <v>1</v>
      </c>
      <c r="AE210">
        <v>8000</v>
      </c>
      <c r="AF210">
        <v>1400</v>
      </c>
      <c r="AG210">
        <v>1</v>
      </c>
    </row>
    <row r="211" spans="1:33" ht="38.25" customHeight="1">
      <c r="A211">
        <v>1105</v>
      </c>
      <c r="B211" t="s">
        <v>1959</v>
      </c>
      <c r="C211">
        <v>4</v>
      </c>
      <c r="D211" t="s">
        <v>2246</v>
      </c>
      <c r="E211">
        <v>53</v>
      </c>
      <c r="G211" s="90" t="s">
        <v>2247</v>
      </c>
      <c r="I211">
        <v>14345</v>
      </c>
      <c r="J211" s="80" t="s">
        <v>2210</v>
      </c>
      <c r="K211" t="s">
        <v>767</v>
      </c>
      <c r="L211">
        <v>9011</v>
      </c>
      <c r="M211">
        <v>2</v>
      </c>
      <c r="O211">
        <v>0.9</v>
      </c>
      <c r="P211" s="80" t="s">
        <v>2211</v>
      </c>
      <c r="Q211" t="s">
        <v>769</v>
      </c>
      <c r="R211">
        <v>9010</v>
      </c>
      <c r="S211" t="s">
        <v>1787</v>
      </c>
      <c r="U211">
        <v>0.6</v>
      </c>
      <c r="V211">
        <v>70001</v>
      </c>
      <c r="W211">
        <v>1</v>
      </c>
      <c r="X211">
        <v>1</v>
      </c>
      <c r="Y211">
        <v>70002</v>
      </c>
      <c r="Z211">
        <v>1</v>
      </c>
      <c r="AA211">
        <v>1</v>
      </c>
      <c r="AB211">
        <v>1001</v>
      </c>
      <c r="AC211">
        <v>100</v>
      </c>
      <c r="AD211">
        <v>1</v>
      </c>
      <c r="AE211">
        <v>8000</v>
      </c>
      <c r="AF211">
        <v>1400</v>
      </c>
      <c r="AG211">
        <v>1</v>
      </c>
    </row>
    <row r="212" spans="1:33" ht="38.25" customHeight="1">
      <c r="A212">
        <v>1106</v>
      </c>
      <c r="B212" t="s">
        <v>1959</v>
      </c>
      <c r="C212">
        <v>4</v>
      </c>
      <c r="D212" t="s">
        <v>2248</v>
      </c>
      <c r="E212">
        <v>54</v>
      </c>
      <c r="G212" s="90" t="s">
        <v>2249</v>
      </c>
      <c r="I212">
        <v>14470</v>
      </c>
      <c r="J212" s="80" t="s">
        <v>2210</v>
      </c>
      <c r="K212" t="s">
        <v>767</v>
      </c>
      <c r="L212">
        <v>9011</v>
      </c>
      <c r="M212" t="s">
        <v>1712</v>
      </c>
      <c r="O212">
        <v>0.8</v>
      </c>
      <c r="P212" s="80" t="s">
        <v>2211</v>
      </c>
      <c r="Q212" t="s">
        <v>769</v>
      </c>
      <c r="R212">
        <v>9011</v>
      </c>
      <c r="S212" t="s">
        <v>2250</v>
      </c>
      <c r="U212">
        <v>0.5</v>
      </c>
      <c r="V212">
        <v>70001</v>
      </c>
      <c r="W212">
        <v>1</v>
      </c>
      <c r="X212">
        <v>1</v>
      </c>
      <c r="Y212">
        <v>70002</v>
      </c>
      <c r="Z212">
        <v>1</v>
      </c>
      <c r="AA212">
        <v>1</v>
      </c>
      <c r="AB212">
        <v>1001</v>
      </c>
      <c r="AC212">
        <v>100</v>
      </c>
      <c r="AD212">
        <v>1</v>
      </c>
      <c r="AE212">
        <v>8000</v>
      </c>
      <c r="AF212">
        <v>1400</v>
      </c>
      <c r="AG212">
        <v>1</v>
      </c>
    </row>
    <row r="213" spans="1:33" ht="38.25" customHeight="1">
      <c r="A213">
        <v>1107</v>
      </c>
      <c r="B213" t="s">
        <v>1959</v>
      </c>
      <c r="C213">
        <v>4</v>
      </c>
      <c r="D213" t="s">
        <v>2251</v>
      </c>
      <c r="E213">
        <v>54</v>
      </c>
      <c r="G213" s="90" t="s">
        <v>2252</v>
      </c>
      <c r="I213">
        <v>14595</v>
      </c>
      <c r="J213" s="80" t="s">
        <v>2210</v>
      </c>
      <c r="K213" t="s">
        <v>767</v>
      </c>
      <c r="L213">
        <v>9006</v>
      </c>
      <c r="M213" t="s">
        <v>1697</v>
      </c>
      <c r="O213">
        <v>0.3</v>
      </c>
      <c r="P213" s="80" t="s">
        <v>2211</v>
      </c>
      <c r="Q213" t="s">
        <v>769</v>
      </c>
      <c r="R213">
        <v>9011</v>
      </c>
      <c r="S213" t="s">
        <v>2253</v>
      </c>
      <c r="U213">
        <v>0.7</v>
      </c>
      <c r="V213">
        <v>70001</v>
      </c>
      <c r="W213">
        <v>1</v>
      </c>
      <c r="X213">
        <v>1</v>
      </c>
      <c r="Y213">
        <v>70002</v>
      </c>
      <c r="Z213">
        <v>1</v>
      </c>
      <c r="AA213">
        <v>1</v>
      </c>
      <c r="AB213">
        <v>1001</v>
      </c>
      <c r="AC213">
        <v>100</v>
      </c>
      <c r="AD213">
        <v>1</v>
      </c>
      <c r="AE213">
        <v>8000</v>
      </c>
      <c r="AF213">
        <v>1450</v>
      </c>
      <c r="AG213">
        <v>1</v>
      </c>
    </row>
    <row r="214" spans="1:33" ht="38.25" customHeight="1">
      <c r="A214">
        <v>1108</v>
      </c>
      <c r="B214" t="s">
        <v>1959</v>
      </c>
      <c r="C214">
        <v>4</v>
      </c>
      <c r="D214" t="s">
        <v>2254</v>
      </c>
      <c r="E214">
        <v>55</v>
      </c>
      <c r="G214" s="90" t="s">
        <v>2255</v>
      </c>
      <c r="I214">
        <v>14720</v>
      </c>
      <c r="J214" s="80" t="s">
        <v>2210</v>
      </c>
      <c r="K214" t="s">
        <v>767</v>
      </c>
      <c r="L214">
        <v>9005</v>
      </c>
      <c r="M214" t="s">
        <v>1858</v>
      </c>
      <c r="O214">
        <v>0.3</v>
      </c>
      <c r="P214" s="80" t="s">
        <v>2211</v>
      </c>
      <c r="Q214" t="s">
        <v>769</v>
      </c>
      <c r="R214">
        <v>9012</v>
      </c>
      <c r="S214" t="s">
        <v>1787</v>
      </c>
      <c r="U214">
        <v>0.8</v>
      </c>
      <c r="V214">
        <v>70001</v>
      </c>
      <c r="W214">
        <v>1</v>
      </c>
      <c r="X214">
        <v>1</v>
      </c>
      <c r="Y214">
        <v>70002</v>
      </c>
      <c r="Z214">
        <v>1</v>
      </c>
      <c r="AA214">
        <v>1</v>
      </c>
      <c r="AB214">
        <v>1001</v>
      </c>
      <c r="AC214">
        <v>100</v>
      </c>
      <c r="AD214">
        <v>1</v>
      </c>
      <c r="AE214">
        <v>8000</v>
      </c>
      <c r="AF214">
        <v>1450</v>
      </c>
      <c r="AG214">
        <v>1</v>
      </c>
    </row>
    <row r="215" spans="1:33" ht="38.25" customHeight="1">
      <c r="A215">
        <v>1109</v>
      </c>
      <c r="B215" t="s">
        <v>1959</v>
      </c>
      <c r="C215">
        <v>4</v>
      </c>
      <c r="D215" t="s">
        <v>2256</v>
      </c>
      <c r="E215">
        <v>55</v>
      </c>
      <c r="G215" s="90" t="s">
        <v>2257</v>
      </c>
      <c r="I215">
        <v>14845</v>
      </c>
      <c r="J215" s="80" t="s">
        <v>2210</v>
      </c>
      <c r="K215" t="s">
        <v>767</v>
      </c>
      <c r="L215">
        <v>9002</v>
      </c>
      <c r="M215" t="s">
        <v>2258</v>
      </c>
      <c r="O215">
        <v>0.9</v>
      </c>
      <c r="P215" s="80" t="s">
        <v>2211</v>
      </c>
      <c r="Q215" t="s">
        <v>769</v>
      </c>
      <c r="R215">
        <v>9004</v>
      </c>
      <c r="S215" t="s">
        <v>2259</v>
      </c>
      <c r="U215">
        <v>1</v>
      </c>
      <c r="V215">
        <v>70001</v>
      </c>
      <c r="W215">
        <v>1</v>
      </c>
      <c r="X215">
        <v>1</v>
      </c>
      <c r="Y215">
        <v>70002</v>
      </c>
      <c r="Z215">
        <v>1</v>
      </c>
      <c r="AA215">
        <v>1</v>
      </c>
      <c r="AB215">
        <v>1001</v>
      </c>
      <c r="AC215">
        <v>100</v>
      </c>
      <c r="AD215">
        <v>1</v>
      </c>
      <c r="AE215">
        <v>8000</v>
      </c>
      <c r="AF215">
        <v>1450</v>
      </c>
      <c r="AG215">
        <v>1</v>
      </c>
    </row>
    <row r="216" spans="1:33" ht="38.25" customHeight="1">
      <c r="A216">
        <v>1110</v>
      </c>
      <c r="B216" t="s">
        <v>1959</v>
      </c>
      <c r="C216">
        <v>4</v>
      </c>
      <c r="D216" t="s">
        <v>2260</v>
      </c>
      <c r="E216">
        <v>56</v>
      </c>
      <c r="G216" s="90" t="s">
        <v>2261</v>
      </c>
      <c r="I216">
        <v>14970</v>
      </c>
      <c r="J216" s="80" t="s">
        <v>2210</v>
      </c>
      <c r="K216" t="s">
        <v>767</v>
      </c>
      <c r="L216">
        <v>9001</v>
      </c>
      <c r="M216">
        <v>3</v>
      </c>
      <c r="O216">
        <v>0.9</v>
      </c>
      <c r="P216" s="80" t="s">
        <v>2211</v>
      </c>
      <c r="Q216" t="s">
        <v>769</v>
      </c>
      <c r="R216">
        <v>9003</v>
      </c>
      <c r="S216">
        <v>11</v>
      </c>
      <c r="U216">
        <v>0.5</v>
      </c>
      <c r="V216">
        <v>70001</v>
      </c>
      <c r="W216">
        <v>1</v>
      </c>
      <c r="X216">
        <v>1</v>
      </c>
      <c r="Y216">
        <v>70002</v>
      </c>
      <c r="Z216">
        <v>1</v>
      </c>
      <c r="AA216">
        <v>1</v>
      </c>
      <c r="AB216">
        <v>1001</v>
      </c>
      <c r="AC216">
        <v>100</v>
      </c>
      <c r="AD216">
        <v>1</v>
      </c>
      <c r="AE216">
        <v>8000</v>
      </c>
      <c r="AF216">
        <v>1500</v>
      </c>
      <c r="AG216">
        <v>1</v>
      </c>
    </row>
    <row r="217" spans="1:33" ht="38.25" customHeight="1">
      <c r="A217">
        <v>1111</v>
      </c>
      <c r="B217" t="s">
        <v>1959</v>
      </c>
      <c r="C217">
        <v>4</v>
      </c>
      <c r="D217" t="s">
        <v>2262</v>
      </c>
      <c r="E217">
        <v>56</v>
      </c>
      <c r="G217" s="90" t="s">
        <v>2263</v>
      </c>
      <c r="I217">
        <v>15095</v>
      </c>
      <c r="J217" s="80" t="s">
        <v>2210</v>
      </c>
      <c r="K217" t="s">
        <v>767</v>
      </c>
      <c r="L217">
        <v>9006</v>
      </c>
      <c r="M217" t="s">
        <v>1914</v>
      </c>
      <c r="O217">
        <v>0.4</v>
      </c>
      <c r="P217" s="80" t="s">
        <v>2211</v>
      </c>
      <c r="Q217" t="s">
        <v>769</v>
      </c>
      <c r="R217">
        <v>9004</v>
      </c>
      <c r="S217" t="s">
        <v>2264</v>
      </c>
      <c r="U217">
        <v>0.7</v>
      </c>
      <c r="V217">
        <v>70001</v>
      </c>
      <c r="W217">
        <v>1</v>
      </c>
      <c r="X217">
        <v>1</v>
      </c>
      <c r="Y217">
        <v>70002</v>
      </c>
      <c r="Z217">
        <v>1</v>
      </c>
      <c r="AA217">
        <v>1</v>
      </c>
      <c r="AB217">
        <v>1001</v>
      </c>
      <c r="AC217">
        <v>100</v>
      </c>
      <c r="AD217">
        <v>1</v>
      </c>
      <c r="AE217">
        <v>8000</v>
      </c>
      <c r="AF217">
        <v>1500</v>
      </c>
      <c r="AG217">
        <v>1</v>
      </c>
    </row>
    <row r="218" spans="1:33" ht="38.25" customHeight="1">
      <c r="A218">
        <v>1112</v>
      </c>
      <c r="B218" t="s">
        <v>1959</v>
      </c>
      <c r="C218">
        <v>4</v>
      </c>
      <c r="D218" t="s">
        <v>2265</v>
      </c>
      <c r="E218">
        <v>57</v>
      </c>
      <c r="G218" s="90" t="s">
        <v>2266</v>
      </c>
      <c r="I218">
        <v>15220</v>
      </c>
      <c r="J218" s="80" t="s">
        <v>2210</v>
      </c>
      <c r="K218" t="s">
        <v>767</v>
      </c>
      <c r="L218">
        <v>9006</v>
      </c>
      <c r="M218" t="s">
        <v>2243</v>
      </c>
      <c r="O218">
        <v>0.1</v>
      </c>
      <c r="P218" s="80" t="s">
        <v>2211</v>
      </c>
      <c r="Q218" t="s">
        <v>769</v>
      </c>
      <c r="R218">
        <v>9012</v>
      </c>
      <c r="S218" t="s">
        <v>2267</v>
      </c>
      <c r="U218">
        <v>0.9</v>
      </c>
      <c r="V218">
        <v>70001</v>
      </c>
      <c r="W218">
        <v>1</v>
      </c>
      <c r="X218">
        <v>1</v>
      </c>
      <c r="Y218">
        <v>70002</v>
      </c>
      <c r="Z218">
        <v>1</v>
      </c>
      <c r="AA218">
        <v>1</v>
      </c>
      <c r="AB218">
        <v>1001</v>
      </c>
      <c r="AC218">
        <v>100</v>
      </c>
      <c r="AD218">
        <v>1</v>
      </c>
      <c r="AE218">
        <v>8000</v>
      </c>
      <c r="AF218">
        <v>1500</v>
      </c>
      <c r="AG218">
        <v>1</v>
      </c>
    </row>
    <row r="219" spans="1:33" ht="38.25" customHeight="1">
      <c r="A219">
        <v>1113</v>
      </c>
      <c r="B219" t="s">
        <v>1959</v>
      </c>
      <c r="C219">
        <v>4</v>
      </c>
      <c r="D219" t="s">
        <v>2268</v>
      </c>
      <c r="E219">
        <v>57</v>
      </c>
      <c r="G219" s="90" t="s">
        <v>2269</v>
      </c>
      <c r="I219">
        <v>15345</v>
      </c>
      <c r="J219" s="80" t="s">
        <v>2210</v>
      </c>
      <c r="K219" t="s">
        <v>767</v>
      </c>
      <c r="L219">
        <v>9011</v>
      </c>
      <c r="M219" t="s">
        <v>1787</v>
      </c>
      <c r="O219">
        <v>0.4</v>
      </c>
      <c r="P219" s="80" t="s">
        <v>2211</v>
      </c>
      <c r="Q219" t="s">
        <v>769</v>
      </c>
      <c r="R219">
        <v>9011</v>
      </c>
      <c r="S219" t="s">
        <v>1712</v>
      </c>
      <c r="U219">
        <v>0.8</v>
      </c>
      <c r="V219">
        <v>70001</v>
      </c>
      <c r="W219">
        <v>1</v>
      </c>
      <c r="X219">
        <v>1</v>
      </c>
      <c r="Y219">
        <v>70002</v>
      </c>
      <c r="Z219">
        <v>1</v>
      </c>
      <c r="AA219">
        <v>1</v>
      </c>
      <c r="AB219">
        <v>1001</v>
      </c>
      <c r="AC219">
        <v>100</v>
      </c>
      <c r="AD219">
        <v>1</v>
      </c>
      <c r="AE219">
        <v>8000</v>
      </c>
      <c r="AF219">
        <v>1550</v>
      </c>
      <c r="AG219">
        <v>1</v>
      </c>
    </row>
    <row r="220" spans="1:33" ht="38.25" customHeight="1">
      <c r="A220">
        <v>1114</v>
      </c>
      <c r="B220" t="s">
        <v>1959</v>
      </c>
      <c r="C220">
        <v>4</v>
      </c>
      <c r="D220" t="s">
        <v>2270</v>
      </c>
      <c r="E220">
        <v>58</v>
      </c>
      <c r="G220" s="90" t="s">
        <v>2271</v>
      </c>
      <c r="I220">
        <v>15470</v>
      </c>
      <c r="J220" s="80" t="s">
        <v>2210</v>
      </c>
      <c r="K220" t="s">
        <v>767</v>
      </c>
      <c r="L220">
        <v>9011</v>
      </c>
      <c r="M220">
        <v>7</v>
      </c>
      <c r="O220">
        <v>0.3</v>
      </c>
      <c r="P220" s="80" t="s">
        <v>2211</v>
      </c>
      <c r="Q220" t="s">
        <v>769</v>
      </c>
      <c r="R220">
        <v>9011</v>
      </c>
      <c r="S220" t="s">
        <v>2272</v>
      </c>
      <c r="U220">
        <v>0.9</v>
      </c>
      <c r="V220">
        <v>70001</v>
      </c>
      <c r="W220">
        <v>1</v>
      </c>
      <c r="X220">
        <v>1</v>
      </c>
      <c r="Y220">
        <v>70002</v>
      </c>
      <c r="Z220">
        <v>1</v>
      </c>
      <c r="AA220">
        <v>1</v>
      </c>
      <c r="AB220">
        <v>1001</v>
      </c>
      <c r="AC220">
        <v>100</v>
      </c>
      <c r="AD220">
        <v>1</v>
      </c>
      <c r="AE220">
        <v>8000</v>
      </c>
      <c r="AF220">
        <v>1550</v>
      </c>
      <c r="AG220">
        <v>1</v>
      </c>
    </row>
    <row r="221" spans="1:33" ht="38.25" customHeight="1">
      <c r="A221">
        <v>1115</v>
      </c>
      <c r="B221" t="s">
        <v>1959</v>
      </c>
      <c r="C221">
        <v>4</v>
      </c>
      <c r="D221" t="s">
        <v>2273</v>
      </c>
      <c r="E221">
        <v>58</v>
      </c>
      <c r="G221" s="90" t="s">
        <v>2274</v>
      </c>
      <c r="I221">
        <v>15595</v>
      </c>
      <c r="J221" s="80" t="s">
        <v>2210</v>
      </c>
      <c r="K221" t="s">
        <v>767</v>
      </c>
      <c r="L221">
        <v>9002</v>
      </c>
      <c r="M221">
        <v>4</v>
      </c>
      <c r="O221">
        <v>0.1</v>
      </c>
      <c r="P221" s="80" t="s">
        <v>2211</v>
      </c>
      <c r="Q221" t="s">
        <v>769</v>
      </c>
      <c r="R221">
        <v>9003</v>
      </c>
      <c r="S221">
        <v>7</v>
      </c>
      <c r="U221">
        <v>0.3</v>
      </c>
      <c r="V221">
        <v>70001</v>
      </c>
      <c r="W221">
        <v>1</v>
      </c>
      <c r="X221">
        <v>1</v>
      </c>
      <c r="Y221">
        <v>70002</v>
      </c>
      <c r="Z221">
        <v>1</v>
      </c>
      <c r="AA221">
        <v>1</v>
      </c>
      <c r="AB221">
        <v>1001</v>
      </c>
      <c r="AC221">
        <v>100</v>
      </c>
      <c r="AD221">
        <v>1</v>
      </c>
      <c r="AE221">
        <v>8000</v>
      </c>
      <c r="AF221">
        <v>1550</v>
      </c>
      <c r="AG221">
        <v>1</v>
      </c>
    </row>
    <row r="222" spans="1:33" ht="38.25" customHeight="1">
      <c r="A222">
        <v>1116</v>
      </c>
      <c r="B222" t="s">
        <v>1959</v>
      </c>
      <c r="C222">
        <v>4</v>
      </c>
      <c r="D222" t="s">
        <v>2275</v>
      </c>
      <c r="E222">
        <v>59</v>
      </c>
      <c r="G222" s="90" t="s">
        <v>2276</v>
      </c>
      <c r="I222">
        <v>15720</v>
      </c>
      <c r="J222" s="80" t="s">
        <v>2210</v>
      </c>
      <c r="K222" t="s">
        <v>767</v>
      </c>
      <c r="L222">
        <v>9005</v>
      </c>
      <c r="M222">
        <v>6</v>
      </c>
      <c r="O222">
        <v>0.6</v>
      </c>
      <c r="P222" s="80" t="s">
        <v>2211</v>
      </c>
      <c r="Q222" t="s">
        <v>769</v>
      </c>
      <c r="R222">
        <v>9003</v>
      </c>
      <c r="S222" t="s">
        <v>1824</v>
      </c>
      <c r="U222">
        <v>0.8</v>
      </c>
      <c r="V222">
        <v>70001</v>
      </c>
      <c r="W222">
        <v>1</v>
      </c>
      <c r="X222">
        <v>1</v>
      </c>
      <c r="Y222">
        <v>70002</v>
      </c>
      <c r="Z222">
        <v>1</v>
      </c>
      <c r="AA222">
        <v>1</v>
      </c>
      <c r="AB222">
        <v>1001</v>
      </c>
      <c r="AC222">
        <v>100</v>
      </c>
      <c r="AD222">
        <v>1</v>
      </c>
      <c r="AE222">
        <v>8000</v>
      </c>
      <c r="AF222">
        <v>1600</v>
      </c>
      <c r="AG222">
        <v>1</v>
      </c>
    </row>
    <row r="223" spans="1:33" ht="38.25" customHeight="1">
      <c r="A223">
        <v>1117</v>
      </c>
      <c r="B223" t="s">
        <v>1959</v>
      </c>
      <c r="C223">
        <v>4</v>
      </c>
      <c r="D223" t="s">
        <v>2277</v>
      </c>
      <c r="E223">
        <v>59</v>
      </c>
      <c r="G223" s="90" t="s">
        <v>2278</v>
      </c>
      <c r="I223">
        <v>15845</v>
      </c>
      <c r="J223" s="80" t="s">
        <v>2210</v>
      </c>
      <c r="K223" t="s">
        <v>767</v>
      </c>
      <c r="L223">
        <v>9011</v>
      </c>
      <c r="M223" t="s">
        <v>2279</v>
      </c>
      <c r="O223">
        <v>0.7</v>
      </c>
      <c r="P223" s="80" t="s">
        <v>2211</v>
      </c>
      <c r="Q223" t="s">
        <v>769</v>
      </c>
      <c r="R223">
        <v>9003</v>
      </c>
      <c r="S223" t="s">
        <v>1677</v>
      </c>
      <c r="U223">
        <v>0.5</v>
      </c>
      <c r="V223">
        <v>70001</v>
      </c>
      <c r="W223">
        <v>1</v>
      </c>
      <c r="X223">
        <v>1</v>
      </c>
      <c r="Y223">
        <v>70002</v>
      </c>
      <c r="Z223">
        <v>1</v>
      </c>
      <c r="AA223">
        <v>1</v>
      </c>
      <c r="AB223">
        <v>1001</v>
      </c>
      <c r="AC223">
        <v>100</v>
      </c>
      <c r="AD223">
        <v>1</v>
      </c>
      <c r="AE223">
        <v>8000</v>
      </c>
      <c r="AF223">
        <v>1600</v>
      </c>
      <c r="AG223">
        <v>1</v>
      </c>
    </row>
    <row r="224" spans="1:33" ht="38.25" customHeight="1">
      <c r="A224">
        <v>1118</v>
      </c>
      <c r="B224" t="s">
        <v>1959</v>
      </c>
      <c r="C224">
        <v>4</v>
      </c>
      <c r="D224" t="s">
        <v>2280</v>
      </c>
      <c r="E224">
        <v>60</v>
      </c>
      <c r="G224" s="90" t="s">
        <v>2281</v>
      </c>
      <c r="I224">
        <v>15970</v>
      </c>
      <c r="J224" s="80" t="s">
        <v>2210</v>
      </c>
      <c r="K224" t="s">
        <v>767</v>
      </c>
      <c r="L224">
        <v>9007</v>
      </c>
      <c r="M224" t="s">
        <v>2282</v>
      </c>
      <c r="O224">
        <v>0.6</v>
      </c>
      <c r="P224" s="80" t="s">
        <v>2211</v>
      </c>
      <c r="Q224" t="s">
        <v>769</v>
      </c>
      <c r="R224">
        <v>9008</v>
      </c>
      <c r="S224">
        <v>12</v>
      </c>
      <c r="U224">
        <v>0.3</v>
      </c>
      <c r="V224">
        <v>70001</v>
      </c>
      <c r="W224">
        <v>1</v>
      </c>
      <c r="X224">
        <v>1</v>
      </c>
      <c r="Y224">
        <v>70002</v>
      </c>
      <c r="Z224">
        <v>1</v>
      </c>
      <c r="AA224">
        <v>1</v>
      </c>
      <c r="AB224">
        <v>1001</v>
      </c>
      <c r="AC224">
        <v>100</v>
      </c>
      <c r="AD224">
        <v>1</v>
      </c>
      <c r="AE224">
        <v>8000</v>
      </c>
      <c r="AF224">
        <v>1600</v>
      </c>
      <c r="AG224">
        <v>1</v>
      </c>
    </row>
    <row r="225" spans="1:33" ht="38.25" customHeight="1">
      <c r="A225">
        <v>1119</v>
      </c>
      <c r="B225" t="s">
        <v>1959</v>
      </c>
      <c r="C225">
        <v>4</v>
      </c>
      <c r="D225" t="s">
        <v>2283</v>
      </c>
      <c r="E225">
        <v>60</v>
      </c>
      <c r="G225" s="90" t="s">
        <v>2284</v>
      </c>
      <c r="I225">
        <v>16095</v>
      </c>
      <c r="J225" s="80" t="s">
        <v>2210</v>
      </c>
      <c r="K225" t="s">
        <v>767</v>
      </c>
      <c r="L225">
        <v>9012</v>
      </c>
      <c r="M225" t="s">
        <v>2285</v>
      </c>
      <c r="O225">
        <v>0.7</v>
      </c>
      <c r="P225" s="80" t="s">
        <v>2211</v>
      </c>
      <c r="Q225" t="s">
        <v>769</v>
      </c>
      <c r="R225">
        <v>9004</v>
      </c>
      <c r="S225">
        <v>4</v>
      </c>
      <c r="U225">
        <v>0.7</v>
      </c>
      <c r="V225">
        <v>70001</v>
      </c>
      <c r="W225">
        <v>1</v>
      </c>
      <c r="X225">
        <v>1</v>
      </c>
      <c r="Y225">
        <v>70002</v>
      </c>
      <c r="Z225">
        <v>1</v>
      </c>
      <c r="AA225">
        <v>1</v>
      </c>
      <c r="AB225">
        <v>1001</v>
      </c>
      <c r="AC225">
        <v>500</v>
      </c>
      <c r="AD225">
        <v>1</v>
      </c>
      <c r="AE225">
        <v>8000</v>
      </c>
      <c r="AF225">
        <v>1650</v>
      </c>
      <c r="AG225">
        <v>1</v>
      </c>
    </row>
    <row r="226" spans="1:33" ht="38.25" customHeight="1">
      <c r="A226">
        <v>1120</v>
      </c>
      <c r="B226" t="s">
        <v>1959</v>
      </c>
      <c r="C226">
        <v>5</v>
      </c>
      <c r="D226" t="s">
        <v>2286</v>
      </c>
      <c r="E226">
        <v>61</v>
      </c>
      <c r="G226" s="90" t="s">
        <v>2287</v>
      </c>
      <c r="I226">
        <v>16220</v>
      </c>
      <c r="J226" s="80" t="s">
        <v>2288</v>
      </c>
      <c r="K226" t="s">
        <v>767</v>
      </c>
      <c r="L226">
        <v>9011</v>
      </c>
      <c r="M226" t="s">
        <v>2289</v>
      </c>
      <c r="O226">
        <v>0.6</v>
      </c>
      <c r="P226" s="80" t="s">
        <v>2290</v>
      </c>
      <c r="Q226" t="s">
        <v>769</v>
      </c>
      <c r="R226">
        <v>9010</v>
      </c>
      <c r="S226" t="s">
        <v>2291</v>
      </c>
      <c r="U226">
        <v>0.4</v>
      </c>
      <c r="V226">
        <v>70001</v>
      </c>
      <c r="W226">
        <v>1</v>
      </c>
      <c r="X226">
        <v>1</v>
      </c>
      <c r="Y226">
        <v>70002</v>
      </c>
      <c r="Z226">
        <v>1</v>
      </c>
      <c r="AA226">
        <v>1</v>
      </c>
      <c r="AB226">
        <v>1001</v>
      </c>
      <c r="AC226">
        <v>100</v>
      </c>
      <c r="AD226">
        <v>1</v>
      </c>
      <c r="AE226">
        <v>8000</v>
      </c>
      <c r="AF226">
        <v>1650</v>
      </c>
      <c r="AG226">
        <v>1</v>
      </c>
    </row>
    <row r="227" spans="1:33" ht="38.25" customHeight="1">
      <c r="A227">
        <v>1121</v>
      </c>
      <c r="B227" t="s">
        <v>1959</v>
      </c>
      <c r="C227">
        <v>5</v>
      </c>
      <c r="D227" t="s">
        <v>2292</v>
      </c>
      <c r="E227">
        <v>61</v>
      </c>
      <c r="G227" s="90" t="s">
        <v>2293</v>
      </c>
      <c r="I227">
        <v>16345</v>
      </c>
      <c r="J227" s="80" t="s">
        <v>2288</v>
      </c>
      <c r="K227" t="s">
        <v>767</v>
      </c>
      <c r="L227">
        <v>9001</v>
      </c>
      <c r="M227">
        <v>6</v>
      </c>
      <c r="O227">
        <v>0.3</v>
      </c>
      <c r="P227" s="80" t="s">
        <v>2290</v>
      </c>
      <c r="Q227" t="s">
        <v>769</v>
      </c>
      <c r="R227">
        <v>9007</v>
      </c>
      <c r="S227" t="s">
        <v>2163</v>
      </c>
      <c r="U227">
        <v>0.4</v>
      </c>
      <c r="V227">
        <v>70001</v>
      </c>
      <c r="W227">
        <v>1</v>
      </c>
      <c r="X227">
        <v>1</v>
      </c>
      <c r="Y227">
        <v>70002</v>
      </c>
      <c r="Z227">
        <v>1</v>
      </c>
      <c r="AA227">
        <v>1</v>
      </c>
      <c r="AB227">
        <v>1001</v>
      </c>
      <c r="AC227">
        <v>100</v>
      </c>
      <c r="AD227">
        <v>1</v>
      </c>
      <c r="AE227">
        <v>8000</v>
      </c>
      <c r="AF227">
        <v>1700</v>
      </c>
      <c r="AG227">
        <v>1</v>
      </c>
    </row>
    <row r="228" spans="1:33" ht="38.25" customHeight="1">
      <c r="A228">
        <v>1122</v>
      </c>
      <c r="B228" t="s">
        <v>1959</v>
      </c>
      <c r="C228">
        <v>5</v>
      </c>
      <c r="D228" t="s">
        <v>2294</v>
      </c>
      <c r="E228">
        <v>62</v>
      </c>
      <c r="G228" s="90" t="s">
        <v>2295</v>
      </c>
      <c r="I228">
        <v>16470</v>
      </c>
      <c r="J228" s="80" t="s">
        <v>2288</v>
      </c>
      <c r="K228" t="s">
        <v>767</v>
      </c>
      <c r="L228">
        <v>9006</v>
      </c>
      <c r="M228" t="s">
        <v>2296</v>
      </c>
      <c r="O228">
        <v>0.8</v>
      </c>
      <c r="P228" s="80" t="s">
        <v>2290</v>
      </c>
      <c r="Q228" t="s">
        <v>769</v>
      </c>
      <c r="R228">
        <v>9012</v>
      </c>
      <c r="S228">
        <v>5</v>
      </c>
      <c r="U228">
        <v>0.7</v>
      </c>
      <c r="V228">
        <v>70001</v>
      </c>
      <c r="W228">
        <v>1</v>
      </c>
      <c r="X228">
        <v>1</v>
      </c>
      <c r="Y228">
        <v>70002</v>
      </c>
      <c r="Z228">
        <v>1</v>
      </c>
      <c r="AA228">
        <v>1</v>
      </c>
      <c r="AB228">
        <v>1001</v>
      </c>
      <c r="AC228">
        <v>100</v>
      </c>
      <c r="AD228">
        <v>1</v>
      </c>
      <c r="AE228">
        <v>8000</v>
      </c>
      <c r="AF228">
        <v>1700</v>
      </c>
      <c r="AG228">
        <v>1</v>
      </c>
    </row>
    <row r="229" spans="1:33" ht="38.25" customHeight="1">
      <c r="A229">
        <v>1123</v>
      </c>
      <c r="B229" t="s">
        <v>1959</v>
      </c>
      <c r="C229">
        <v>5</v>
      </c>
      <c r="D229" t="s">
        <v>2297</v>
      </c>
      <c r="E229">
        <v>62</v>
      </c>
      <c r="G229" s="90" t="s">
        <v>2298</v>
      </c>
      <c r="I229">
        <v>16595</v>
      </c>
      <c r="J229" s="80" t="s">
        <v>2288</v>
      </c>
      <c r="K229" t="s">
        <v>767</v>
      </c>
      <c r="L229">
        <v>9012</v>
      </c>
      <c r="M229" t="s">
        <v>1849</v>
      </c>
      <c r="O229">
        <v>1</v>
      </c>
      <c r="P229" s="80" t="s">
        <v>2290</v>
      </c>
      <c r="Q229" t="s">
        <v>769</v>
      </c>
      <c r="R229">
        <v>9008</v>
      </c>
      <c r="S229" t="s">
        <v>2016</v>
      </c>
      <c r="U229">
        <v>0.8</v>
      </c>
      <c r="V229">
        <v>70001</v>
      </c>
      <c r="W229">
        <v>1</v>
      </c>
      <c r="X229">
        <v>1</v>
      </c>
      <c r="Y229">
        <v>70002</v>
      </c>
      <c r="Z229">
        <v>1</v>
      </c>
      <c r="AA229">
        <v>1</v>
      </c>
      <c r="AB229">
        <v>1001</v>
      </c>
      <c r="AC229">
        <v>100</v>
      </c>
      <c r="AD229">
        <v>1</v>
      </c>
      <c r="AE229">
        <v>8000</v>
      </c>
      <c r="AF229">
        <v>1700</v>
      </c>
      <c r="AG229">
        <v>1</v>
      </c>
    </row>
    <row r="230" spans="1:33" ht="38.25" customHeight="1">
      <c r="A230">
        <v>1124</v>
      </c>
      <c r="B230" t="s">
        <v>1959</v>
      </c>
      <c r="C230">
        <v>5</v>
      </c>
      <c r="D230" t="s">
        <v>2299</v>
      </c>
      <c r="E230">
        <v>63</v>
      </c>
      <c r="G230" s="90" t="s">
        <v>2300</v>
      </c>
      <c r="I230">
        <v>16720</v>
      </c>
      <c r="J230" s="80" t="s">
        <v>2288</v>
      </c>
      <c r="K230" t="s">
        <v>767</v>
      </c>
      <c r="L230">
        <v>9011</v>
      </c>
      <c r="M230" t="s">
        <v>2301</v>
      </c>
      <c r="O230">
        <v>0.9</v>
      </c>
      <c r="P230" s="80" t="s">
        <v>2290</v>
      </c>
      <c r="Q230" t="s">
        <v>769</v>
      </c>
      <c r="R230">
        <v>9007</v>
      </c>
      <c r="S230">
        <v>10</v>
      </c>
      <c r="U230">
        <v>0.6</v>
      </c>
      <c r="V230">
        <v>70001</v>
      </c>
      <c r="W230">
        <v>1</v>
      </c>
      <c r="X230">
        <v>1</v>
      </c>
      <c r="Y230">
        <v>70002</v>
      </c>
      <c r="Z230">
        <v>1</v>
      </c>
      <c r="AA230">
        <v>1</v>
      </c>
      <c r="AB230">
        <v>1001</v>
      </c>
      <c r="AC230">
        <v>100</v>
      </c>
      <c r="AD230">
        <v>1</v>
      </c>
      <c r="AE230">
        <v>8000</v>
      </c>
      <c r="AF230">
        <v>1750</v>
      </c>
      <c r="AG230">
        <v>1</v>
      </c>
    </row>
    <row r="231" spans="1:33" ht="38.25" customHeight="1">
      <c r="A231">
        <v>1125</v>
      </c>
      <c r="B231" t="s">
        <v>1959</v>
      </c>
      <c r="C231">
        <v>5</v>
      </c>
      <c r="D231" t="s">
        <v>2302</v>
      </c>
      <c r="E231">
        <v>63</v>
      </c>
      <c r="G231" s="90" t="s">
        <v>2303</v>
      </c>
      <c r="I231">
        <v>16845</v>
      </c>
      <c r="J231" s="80" t="s">
        <v>2288</v>
      </c>
      <c r="K231" t="s">
        <v>767</v>
      </c>
      <c r="L231">
        <v>9001</v>
      </c>
      <c r="M231">
        <v>1</v>
      </c>
      <c r="O231">
        <v>0.5</v>
      </c>
      <c r="P231" s="80" t="s">
        <v>2290</v>
      </c>
      <c r="Q231" t="s">
        <v>769</v>
      </c>
      <c r="R231">
        <v>9008</v>
      </c>
      <c r="S231">
        <v>3</v>
      </c>
      <c r="U231">
        <v>0.3</v>
      </c>
      <c r="V231">
        <v>70001</v>
      </c>
      <c r="W231">
        <v>1</v>
      </c>
      <c r="X231">
        <v>1</v>
      </c>
      <c r="Y231">
        <v>70002</v>
      </c>
      <c r="Z231">
        <v>1</v>
      </c>
      <c r="AA231">
        <v>1</v>
      </c>
      <c r="AB231">
        <v>1001</v>
      </c>
      <c r="AC231">
        <v>100</v>
      </c>
      <c r="AD231">
        <v>1</v>
      </c>
      <c r="AE231">
        <v>8000</v>
      </c>
      <c r="AF231">
        <v>1750</v>
      </c>
      <c r="AG231">
        <v>1</v>
      </c>
    </row>
    <row r="232" spans="1:33" ht="38.25" customHeight="1">
      <c r="A232">
        <v>1126</v>
      </c>
      <c r="B232" t="s">
        <v>1959</v>
      </c>
      <c r="C232">
        <v>5</v>
      </c>
      <c r="D232" t="s">
        <v>2304</v>
      </c>
      <c r="E232">
        <v>64</v>
      </c>
      <c r="G232" s="90" t="s">
        <v>2305</v>
      </c>
      <c r="I232">
        <v>16970</v>
      </c>
      <c r="J232" s="80" t="s">
        <v>2288</v>
      </c>
      <c r="K232" t="s">
        <v>767</v>
      </c>
      <c r="L232">
        <v>9008</v>
      </c>
      <c r="M232">
        <v>3</v>
      </c>
      <c r="O232">
        <v>0.7</v>
      </c>
      <c r="P232" s="80" t="s">
        <v>2290</v>
      </c>
      <c r="Q232" t="s">
        <v>769</v>
      </c>
      <c r="R232">
        <v>9004</v>
      </c>
      <c r="S232" t="s">
        <v>2155</v>
      </c>
      <c r="U232">
        <v>0.4</v>
      </c>
      <c r="V232">
        <v>70001</v>
      </c>
      <c r="W232">
        <v>1</v>
      </c>
      <c r="X232">
        <v>1</v>
      </c>
      <c r="Y232">
        <v>70002</v>
      </c>
      <c r="Z232">
        <v>1</v>
      </c>
      <c r="AA232">
        <v>1</v>
      </c>
      <c r="AB232">
        <v>1001</v>
      </c>
      <c r="AC232">
        <v>100</v>
      </c>
      <c r="AD232">
        <v>1</v>
      </c>
      <c r="AE232">
        <v>8000</v>
      </c>
      <c r="AF232">
        <v>1750</v>
      </c>
      <c r="AG232">
        <v>1</v>
      </c>
    </row>
    <row r="233" spans="1:33" ht="38.25" customHeight="1">
      <c r="A233">
        <v>1127</v>
      </c>
      <c r="B233" t="s">
        <v>1959</v>
      </c>
      <c r="C233">
        <v>5</v>
      </c>
      <c r="D233" t="s">
        <v>2306</v>
      </c>
      <c r="E233">
        <v>64</v>
      </c>
      <c r="G233" s="90" t="s">
        <v>2307</v>
      </c>
      <c r="I233">
        <v>17095</v>
      </c>
      <c r="J233" s="80" t="s">
        <v>2288</v>
      </c>
      <c r="K233" t="s">
        <v>767</v>
      </c>
      <c r="L233">
        <v>9011</v>
      </c>
      <c r="M233">
        <v>2</v>
      </c>
      <c r="O233">
        <v>0.3</v>
      </c>
      <c r="P233" s="80" t="s">
        <v>2290</v>
      </c>
      <c r="Q233" t="s">
        <v>769</v>
      </c>
      <c r="R233">
        <v>9010</v>
      </c>
      <c r="S233" t="s">
        <v>2187</v>
      </c>
      <c r="U233">
        <v>0.9</v>
      </c>
      <c r="V233">
        <v>70001</v>
      </c>
      <c r="W233">
        <v>1</v>
      </c>
      <c r="X233">
        <v>1</v>
      </c>
      <c r="Y233">
        <v>70002</v>
      </c>
      <c r="Z233">
        <v>1</v>
      </c>
      <c r="AA233">
        <v>1</v>
      </c>
      <c r="AB233">
        <v>1001</v>
      </c>
      <c r="AC233">
        <v>100</v>
      </c>
      <c r="AD233">
        <v>1</v>
      </c>
      <c r="AE233">
        <v>8000</v>
      </c>
      <c r="AF233">
        <v>1800</v>
      </c>
      <c r="AG233">
        <v>1</v>
      </c>
    </row>
    <row r="234" spans="1:33" ht="38.25" customHeight="1">
      <c r="A234">
        <v>1128</v>
      </c>
      <c r="B234" t="s">
        <v>1959</v>
      </c>
      <c r="C234">
        <v>5</v>
      </c>
      <c r="D234" t="s">
        <v>2308</v>
      </c>
      <c r="E234">
        <v>65</v>
      </c>
      <c r="G234" s="90" t="s">
        <v>2309</v>
      </c>
      <c r="I234">
        <v>17220</v>
      </c>
      <c r="J234" s="80" t="s">
        <v>2288</v>
      </c>
      <c r="K234" t="s">
        <v>767</v>
      </c>
      <c r="L234">
        <v>9006</v>
      </c>
      <c r="M234" t="s">
        <v>2310</v>
      </c>
      <c r="O234">
        <v>0.7</v>
      </c>
      <c r="P234" s="80" t="s">
        <v>2290</v>
      </c>
      <c r="Q234" t="s">
        <v>769</v>
      </c>
      <c r="R234">
        <v>9011</v>
      </c>
      <c r="S234" t="s">
        <v>2311</v>
      </c>
      <c r="U234">
        <v>0.6</v>
      </c>
      <c r="V234">
        <v>70001</v>
      </c>
      <c r="W234">
        <v>1</v>
      </c>
      <c r="X234">
        <v>1</v>
      </c>
      <c r="Y234">
        <v>70002</v>
      </c>
      <c r="Z234">
        <v>1</v>
      </c>
      <c r="AA234">
        <v>1</v>
      </c>
      <c r="AB234">
        <v>1001</v>
      </c>
      <c r="AC234">
        <v>100</v>
      </c>
      <c r="AD234">
        <v>1</v>
      </c>
      <c r="AE234">
        <v>8000</v>
      </c>
      <c r="AF234">
        <v>1800</v>
      </c>
      <c r="AG234">
        <v>1</v>
      </c>
    </row>
    <row r="235" spans="1:33" ht="38.25" customHeight="1">
      <c r="A235">
        <v>1129</v>
      </c>
      <c r="B235" t="s">
        <v>1959</v>
      </c>
      <c r="C235">
        <v>5</v>
      </c>
      <c r="D235" t="s">
        <v>2312</v>
      </c>
      <c r="E235">
        <v>65</v>
      </c>
      <c r="G235" s="90" t="s">
        <v>2313</v>
      </c>
      <c r="I235">
        <v>17345</v>
      </c>
      <c r="J235" s="80" t="s">
        <v>2288</v>
      </c>
      <c r="K235" t="s">
        <v>767</v>
      </c>
      <c r="L235">
        <v>9008</v>
      </c>
      <c r="M235">
        <v>2</v>
      </c>
      <c r="O235">
        <v>0.6</v>
      </c>
      <c r="P235" s="80" t="s">
        <v>2290</v>
      </c>
      <c r="Q235" t="s">
        <v>769</v>
      </c>
      <c r="R235">
        <v>9003</v>
      </c>
      <c r="S235" t="s">
        <v>2314</v>
      </c>
      <c r="U235">
        <v>1</v>
      </c>
      <c r="V235">
        <v>70001</v>
      </c>
      <c r="W235">
        <v>1</v>
      </c>
      <c r="X235">
        <v>1</v>
      </c>
      <c r="Y235">
        <v>70002</v>
      </c>
      <c r="Z235">
        <v>1</v>
      </c>
      <c r="AA235">
        <v>1</v>
      </c>
      <c r="AB235">
        <v>1001</v>
      </c>
      <c r="AC235">
        <v>100</v>
      </c>
      <c r="AD235">
        <v>1</v>
      </c>
      <c r="AE235">
        <v>8000</v>
      </c>
      <c r="AF235">
        <v>1800</v>
      </c>
      <c r="AG235">
        <v>1</v>
      </c>
    </row>
    <row r="236" spans="1:33" ht="38.25" customHeight="1">
      <c r="A236">
        <v>1130</v>
      </c>
      <c r="B236" t="s">
        <v>1959</v>
      </c>
      <c r="C236">
        <v>5</v>
      </c>
      <c r="D236" t="s">
        <v>2315</v>
      </c>
      <c r="E236">
        <v>66</v>
      </c>
      <c r="G236" s="90" t="s">
        <v>2316</v>
      </c>
      <c r="I236">
        <v>17470</v>
      </c>
      <c r="J236" s="80" t="s">
        <v>2288</v>
      </c>
      <c r="K236" t="s">
        <v>767</v>
      </c>
      <c r="L236">
        <v>9008</v>
      </c>
      <c r="M236" t="s">
        <v>2317</v>
      </c>
      <c r="O236">
        <v>0.8</v>
      </c>
      <c r="P236" s="80" t="s">
        <v>2290</v>
      </c>
      <c r="Q236" t="s">
        <v>769</v>
      </c>
      <c r="R236">
        <v>9008</v>
      </c>
      <c r="S236" t="s">
        <v>1890</v>
      </c>
      <c r="U236">
        <v>0.9</v>
      </c>
      <c r="V236">
        <v>70001</v>
      </c>
      <c r="W236">
        <v>1</v>
      </c>
      <c r="X236">
        <v>1</v>
      </c>
      <c r="Y236">
        <v>70002</v>
      </c>
      <c r="Z236">
        <v>1</v>
      </c>
      <c r="AA236">
        <v>1</v>
      </c>
      <c r="AB236">
        <v>1001</v>
      </c>
      <c r="AC236">
        <v>100</v>
      </c>
      <c r="AD236">
        <v>1</v>
      </c>
      <c r="AE236">
        <v>8000</v>
      </c>
      <c r="AF236">
        <v>1850</v>
      </c>
      <c r="AG236">
        <v>1</v>
      </c>
    </row>
    <row r="237" spans="1:33" ht="38.25" customHeight="1">
      <c r="A237">
        <v>1131</v>
      </c>
      <c r="B237" t="s">
        <v>1959</v>
      </c>
      <c r="C237">
        <v>5</v>
      </c>
      <c r="D237" t="s">
        <v>2318</v>
      </c>
      <c r="E237">
        <v>66</v>
      </c>
      <c r="G237" s="90" t="s">
        <v>2319</v>
      </c>
      <c r="I237">
        <v>17595</v>
      </c>
      <c r="J237" s="80" t="s">
        <v>2288</v>
      </c>
      <c r="K237" t="s">
        <v>767</v>
      </c>
      <c r="L237">
        <v>9005</v>
      </c>
      <c r="M237" t="s">
        <v>2005</v>
      </c>
      <c r="O237">
        <v>0.8</v>
      </c>
      <c r="P237" s="80" t="s">
        <v>2290</v>
      </c>
      <c r="Q237" t="s">
        <v>769</v>
      </c>
      <c r="R237">
        <v>9004</v>
      </c>
      <c r="S237">
        <v>1</v>
      </c>
      <c r="U237">
        <v>0.3</v>
      </c>
      <c r="V237">
        <v>70001</v>
      </c>
      <c r="W237">
        <v>1</v>
      </c>
      <c r="X237">
        <v>1</v>
      </c>
      <c r="Y237">
        <v>70002</v>
      </c>
      <c r="Z237">
        <v>1</v>
      </c>
      <c r="AA237">
        <v>1</v>
      </c>
      <c r="AB237">
        <v>1001</v>
      </c>
      <c r="AC237">
        <v>100</v>
      </c>
      <c r="AD237">
        <v>1</v>
      </c>
      <c r="AE237">
        <v>8000</v>
      </c>
      <c r="AF237">
        <v>1850</v>
      </c>
      <c r="AG237">
        <v>1</v>
      </c>
    </row>
    <row r="238" spans="1:33" ht="38.25" customHeight="1">
      <c r="A238">
        <v>1132</v>
      </c>
      <c r="B238" t="s">
        <v>1959</v>
      </c>
      <c r="C238">
        <v>5</v>
      </c>
      <c r="D238" t="s">
        <v>2320</v>
      </c>
      <c r="E238">
        <v>67</v>
      </c>
      <c r="G238" s="90" t="s">
        <v>2321</v>
      </c>
      <c r="I238">
        <v>17720</v>
      </c>
      <c r="J238" s="80" t="s">
        <v>2288</v>
      </c>
      <c r="K238" t="s">
        <v>767</v>
      </c>
      <c r="L238">
        <v>9011</v>
      </c>
      <c r="M238" t="s">
        <v>1907</v>
      </c>
      <c r="O238">
        <v>0.6</v>
      </c>
      <c r="P238" s="80" t="s">
        <v>2290</v>
      </c>
      <c r="Q238" t="s">
        <v>769</v>
      </c>
      <c r="R238">
        <v>9010</v>
      </c>
      <c r="S238" t="s">
        <v>1820</v>
      </c>
      <c r="U238">
        <v>0.4</v>
      </c>
      <c r="V238">
        <v>70001</v>
      </c>
      <c r="W238">
        <v>1</v>
      </c>
      <c r="X238">
        <v>1</v>
      </c>
      <c r="Y238">
        <v>70002</v>
      </c>
      <c r="Z238">
        <v>1</v>
      </c>
      <c r="AA238">
        <v>1</v>
      </c>
      <c r="AB238">
        <v>1001</v>
      </c>
      <c r="AC238">
        <v>100</v>
      </c>
      <c r="AD238">
        <v>1</v>
      </c>
      <c r="AE238">
        <v>8000</v>
      </c>
      <c r="AF238">
        <v>1900</v>
      </c>
      <c r="AG238">
        <v>1</v>
      </c>
    </row>
    <row r="239" spans="1:33" ht="38.25" customHeight="1">
      <c r="A239">
        <v>1133</v>
      </c>
      <c r="B239" t="s">
        <v>1959</v>
      </c>
      <c r="C239">
        <v>5</v>
      </c>
      <c r="D239" t="s">
        <v>2322</v>
      </c>
      <c r="E239">
        <v>67</v>
      </c>
      <c r="G239" s="90" t="s">
        <v>2323</v>
      </c>
      <c r="I239">
        <v>17845</v>
      </c>
      <c r="J239" s="80" t="s">
        <v>2288</v>
      </c>
      <c r="K239" t="s">
        <v>767</v>
      </c>
      <c r="L239">
        <v>9001</v>
      </c>
      <c r="M239" t="s">
        <v>1836</v>
      </c>
      <c r="O239">
        <v>0.4</v>
      </c>
      <c r="P239" s="80" t="s">
        <v>2290</v>
      </c>
      <c r="Q239" t="s">
        <v>769</v>
      </c>
      <c r="R239">
        <v>9008</v>
      </c>
      <c r="S239" t="s">
        <v>1730</v>
      </c>
      <c r="U239">
        <v>0.8</v>
      </c>
      <c r="V239">
        <v>70001</v>
      </c>
      <c r="W239">
        <v>1</v>
      </c>
      <c r="X239">
        <v>1</v>
      </c>
      <c r="Y239">
        <v>70002</v>
      </c>
      <c r="Z239">
        <v>1</v>
      </c>
      <c r="AA239">
        <v>1</v>
      </c>
      <c r="AB239">
        <v>1001</v>
      </c>
      <c r="AC239">
        <v>100</v>
      </c>
      <c r="AD239">
        <v>1</v>
      </c>
      <c r="AE239">
        <v>8000</v>
      </c>
      <c r="AF239">
        <v>1900</v>
      </c>
      <c r="AG239">
        <v>1</v>
      </c>
    </row>
    <row r="240" spans="1:33" ht="38.25" customHeight="1">
      <c r="A240">
        <v>1134</v>
      </c>
      <c r="B240" t="s">
        <v>1959</v>
      </c>
      <c r="C240">
        <v>5</v>
      </c>
      <c r="D240" t="s">
        <v>2324</v>
      </c>
      <c r="E240">
        <v>68</v>
      </c>
      <c r="G240" s="90" t="s">
        <v>2325</v>
      </c>
      <c r="I240">
        <v>17970</v>
      </c>
      <c r="J240" s="80" t="s">
        <v>2288</v>
      </c>
      <c r="K240" t="s">
        <v>767</v>
      </c>
      <c r="L240">
        <v>9007</v>
      </c>
      <c r="M240" t="s">
        <v>2326</v>
      </c>
      <c r="O240">
        <v>0.5</v>
      </c>
      <c r="P240" s="80" t="s">
        <v>2290</v>
      </c>
      <c r="Q240" t="s">
        <v>769</v>
      </c>
      <c r="R240">
        <v>9011</v>
      </c>
      <c r="S240">
        <v>10</v>
      </c>
      <c r="U240">
        <v>0.9</v>
      </c>
      <c r="V240">
        <v>70001</v>
      </c>
      <c r="W240">
        <v>1</v>
      </c>
      <c r="X240">
        <v>1</v>
      </c>
      <c r="Y240">
        <v>70002</v>
      </c>
      <c r="Z240">
        <v>1</v>
      </c>
      <c r="AA240">
        <v>1</v>
      </c>
      <c r="AB240">
        <v>1001</v>
      </c>
      <c r="AC240">
        <v>100</v>
      </c>
      <c r="AD240">
        <v>1</v>
      </c>
      <c r="AE240">
        <v>8000</v>
      </c>
      <c r="AF240">
        <v>1900</v>
      </c>
      <c r="AG240">
        <v>1</v>
      </c>
    </row>
    <row r="241" spans="1:33" ht="38.25" customHeight="1">
      <c r="A241">
        <v>1135</v>
      </c>
      <c r="B241" t="s">
        <v>1959</v>
      </c>
      <c r="C241">
        <v>5</v>
      </c>
      <c r="D241" t="s">
        <v>2327</v>
      </c>
      <c r="E241">
        <v>68</v>
      </c>
      <c r="G241" s="90" t="s">
        <v>2328</v>
      </c>
      <c r="I241">
        <v>18095</v>
      </c>
      <c r="J241" s="80" t="s">
        <v>2288</v>
      </c>
      <c r="K241" t="s">
        <v>767</v>
      </c>
      <c r="L241">
        <v>9011</v>
      </c>
      <c r="M241">
        <v>3</v>
      </c>
      <c r="O241">
        <v>0.9</v>
      </c>
      <c r="P241" s="80" t="s">
        <v>2290</v>
      </c>
      <c r="Q241" t="s">
        <v>769</v>
      </c>
      <c r="R241">
        <v>9010</v>
      </c>
      <c r="S241" t="s">
        <v>2002</v>
      </c>
      <c r="U241">
        <v>0.5</v>
      </c>
      <c r="V241">
        <v>70001</v>
      </c>
      <c r="W241">
        <v>1</v>
      </c>
      <c r="X241">
        <v>1</v>
      </c>
      <c r="Y241">
        <v>70002</v>
      </c>
      <c r="Z241">
        <v>1</v>
      </c>
      <c r="AA241">
        <v>1</v>
      </c>
      <c r="AB241">
        <v>1001</v>
      </c>
      <c r="AC241">
        <v>100</v>
      </c>
      <c r="AD241">
        <v>1</v>
      </c>
      <c r="AE241">
        <v>8000</v>
      </c>
      <c r="AF241">
        <v>1950</v>
      </c>
      <c r="AG241">
        <v>1</v>
      </c>
    </row>
    <row r="242" spans="1:33" ht="38.25" customHeight="1">
      <c r="A242">
        <v>1136</v>
      </c>
      <c r="B242" t="s">
        <v>1959</v>
      </c>
      <c r="C242">
        <v>5</v>
      </c>
      <c r="D242" t="s">
        <v>2329</v>
      </c>
      <c r="E242">
        <v>69</v>
      </c>
      <c r="G242" s="90" t="s">
        <v>2330</v>
      </c>
      <c r="I242">
        <v>18220</v>
      </c>
      <c r="J242" s="80" t="s">
        <v>2288</v>
      </c>
      <c r="K242" t="s">
        <v>767</v>
      </c>
      <c r="L242">
        <v>9011</v>
      </c>
      <c r="M242" t="s">
        <v>2331</v>
      </c>
      <c r="O242">
        <v>0.3</v>
      </c>
      <c r="P242" s="80" t="s">
        <v>2290</v>
      </c>
      <c r="Q242" t="s">
        <v>769</v>
      </c>
      <c r="R242">
        <v>9012</v>
      </c>
      <c r="S242" t="s">
        <v>2332</v>
      </c>
      <c r="U242">
        <v>0.6</v>
      </c>
      <c r="V242">
        <v>70001</v>
      </c>
      <c r="W242">
        <v>1</v>
      </c>
      <c r="X242">
        <v>1</v>
      </c>
      <c r="Y242">
        <v>70002</v>
      </c>
      <c r="Z242">
        <v>1</v>
      </c>
      <c r="AA242">
        <v>1</v>
      </c>
      <c r="AB242">
        <v>1001</v>
      </c>
      <c r="AC242">
        <v>100</v>
      </c>
      <c r="AD242">
        <v>1</v>
      </c>
      <c r="AE242">
        <v>8000</v>
      </c>
      <c r="AF242">
        <v>1950</v>
      </c>
      <c r="AG242">
        <v>1</v>
      </c>
    </row>
    <row r="243" spans="1:33" ht="38.25" customHeight="1">
      <c r="A243">
        <v>1137</v>
      </c>
      <c r="B243" t="s">
        <v>1959</v>
      </c>
      <c r="C243">
        <v>5</v>
      </c>
      <c r="D243" t="s">
        <v>2333</v>
      </c>
      <c r="E243">
        <v>69</v>
      </c>
      <c r="G243" s="90" t="s">
        <v>2334</v>
      </c>
      <c r="I243">
        <v>18345</v>
      </c>
      <c r="J243" s="80" t="s">
        <v>2288</v>
      </c>
      <c r="K243" t="s">
        <v>767</v>
      </c>
      <c r="L243">
        <v>9006</v>
      </c>
      <c r="M243">
        <v>12</v>
      </c>
      <c r="O243">
        <v>0.7</v>
      </c>
      <c r="P243" s="80" t="s">
        <v>2290</v>
      </c>
      <c r="Q243" t="s">
        <v>769</v>
      </c>
      <c r="R243">
        <v>9004</v>
      </c>
      <c r="S243" t="s">
        <v>2335</v>
      </c>
      <c r="U243">
        <v>0.8</v>
      </c>
      <c r="V243">
        <v>70001</v>
      </c>
      <c r="W243">
        <v>1</v>
      </c>
      <c r="X243">
        <v>1</v>
      </c>
      <c r="Y243">
        <v>70002</v>
      </c>
      <c r="Z243">
        <v>1</v>
      </c>
      <c r="AA243">
        <v>1</v>
      </c>
      <c r="AB243">
        <v>1001</v>
      </c>
      <c r="AC243">
        <v>100</v>
      </c>
      <c r="AD243">
        <v>1</v>
      </c>
      <c r="AE243">
        <v>8000</v>
      </c>
      <c r="AF243">
        <v>1950</v>
      </c>
      <c r="AG243">
        <v>1</v>
      </c>
    </row>
    <row r="244" spans="1:33" ht="38.25" customHeight="1">
      <c r="A244">
        <v>1138</v>
      </c>
      <c r="B244" t="s">
        <v>1959</v>
      </c>
      <c r="C244">
        <v>5</v>
      </c>
      <c r="D244" t="s">
        <v>2336</v>
      </c>
      <c r="E244">
        <v>70</v>
      </c>
      <c r="G244" s="90" t="s">
        <v>2337</v>
      </c>
      <c r="I244">
        <v>18470</v>
      </c>
      <c r="J244" s="80" t="s">
        <v>2288</v>
      </c>
      <c r="K244" t="s">
        <v>767</v>
      </c>
      <c r="L244">
        <v>9007</v>
      </c>
      <c r="M244" t="s">
        <v>1924</v>
      </c>
      <c r="O244">
        <v>0.6</v>
      </c>
      <c r="P244" s="80" t="s">
        <v>2290</v>
      </c>
      <c r="Q244" t="s">
        <v>769</v>
      </c>
      <c r="R244">
        <v>9004</v>
      </c>
      <c r="S244">
        <v>2</v>
      </c>
      <c r="U244">
        <v>0.7</v>
      </c>
      <c r="V244">
        <v>70001</v>
      </c>
      <c r="W244">
        <v>1</v>
      </c>
      <c r="X244">
        <v>1</v>
      </c>
      <c r="Y244">
        <v>70002</v>
      </c>
      <c r="Z244">
        <v>1</v>
      </c>
      <c r="AA244">
        <v>1</v>
      </c>
      <c r="AB244">
        <v>1001</v>
      </c>
      <c r="AC244">
        <v>100</v>
      </c>
      <c r="AD244">
        <v>1</v>
      </c>
      <c r="AE244">
        <v>8000</v>
      </c>
      <c r="AF244">
        <v>2000</v>
      </c>
      <c r="AG244">
        <v>1</v>
      </c>
    </row>
    <row r="245" spans="1:33" ht="38.25" customHeight="1">
      <c r="A245">
        <v>1139</v>
      </c>
      <c r="B245" t="s">
        <v>1959</v>
      </c>
      <c r="C245">
        <v>5</v>
      </c>
      <c r="D245" t="s">
        <v>2338</v>
      </c>
      <c r="E245">
        <v>70</v>
      </c>
      <c r="G245" s="90" t="s">
        <v>2339</v>
      </c>
      <c r="I245">
        <v>18595</v>
      </c>
      <c r="J245" s="80" t="s">
        <v>2288</v>
      </c>
      <c r="K245" t="s">
        <v>767</v>
      </c>
      <c r="L245">
        <v>9005</v>
      </c>
      <c r="M245">
        <v>5</v>
      </c>
      <c r="O245">
        <v>0.7</v>
      </c>
      <c r="P245" s="80" t="s">
        <v>2290</v>
      </c>
      <c r="Q245" t="s">
        <v>769</v>
      </c>
      <c r="R245">
        <v>9010</v>
      </c>
      <c r="S245" t="s">
        <v>2279</v>
      </c>
      <c r="U245">
        <v>0.5</v>
      </c>
      <c r="V245">
        <v>70001</v>
      </c>
      <c r="W245">
        <v>1</v>
      </c>
      <c r="X245">
        <v>1</v>
      </c>
      <c r="Y245">
        <v>70002</v>
      </c>
      <c r="Z245">
        <v>1</v>
      </c>
      <c r="AA245">
        <v>1</v>
      </c>
      <c r="AB245">
        <v>1001</v>
      </c>
      <c r="AC245">
        <v>100</v>
      </c>
      <c r="AD245">
        <v>1</v>
      </c>
      <c r="AE245">
        <v>8000</v>
      </c>
      <c r="AF245">
        <v>2000</v>
      </c>
      <c r="AG245">
        <v>1</v>
      </c>
    </row>
    <row r="246" spans="1:33" ht="38.25" customHeight="1">
      <c r="A246">
        <v>1140</v>
      </c>
      <c r="B246" t="s">
        <v>1959</v>
      </c>
      <c r="C246">
        <v>5</v>
      </c>
      <c r="D246" t="s">
        <v>2340</v>
      </c>
      <c r="E246">
        <v>71</v>
      </c>
      <c r="G246" s="90" t="s">
        <v>2341</v>
      </c>
      <c r="I246">
        <v>18720</v>
      </c>
      <c r="J246" s="80" t="s">
        <v>2288</v>
      </c>
      <c r="K246" t="s">
        <v>767</v>
      </c>
      <c r="L246">
        <v>9001</v>
      </c>
      <c r="M246">
        <v>1</v>
      </c>
      <c r="O246">
        <v>0.5</v>
      </c>
      <c r="P246" s="80" t="s">
        <v>2290</v>
      </c>
      <c r="Q246" t="s">
        <v>769</v>
      </c>
      <c r="R246">
        <v>9008</v>
      </c>
      <c r="S246" t="s">
        <v>2342</v>
      </c>
      <c r="U246">
        <v>0.9</v>
      </c>
      <c r="V246">
        <v>70001</v>
      </c>
      <c r="W246">
        <v>1</v>
      </c>
      <c r="X246">
        <v>1</v>
      </c>
      <c r="Y246">
        <v>70002</v>
      </c>
      <c r="Z246">
        <v>1</v>
      </c>
      <c r="AA246">
        <v>1</v>
      </c>
      <c r="AB246">
        <v>1001</v>
      </c>
      <c r="AC246">
        <v>100</v>
      </c>
      <c r="AD246">
        <v>1</v>
      </c>
      <c r="AE246">
        <v>8000</v>
      </c>
      <c r="AF246">
        <v>2050</v>
      </c>
      <c r="AG246">
        <v>1</v>
      </c>
    </row>
    <row r="247" spans="1:33" ht="38.25" customHeight="1">
      <c r="A247">
        <v>1141</v>
      </c>
      <c r="B247" t="s">
        <v>1959</v>
      </c>
      <c r="C247">
        <v>5</v>
      </c>
      <c r="D247" t="s">
        <v>2343</v>
      </c>
      <c r="E247">
        <v>71</v>
      </c>
      <c r="G247" s="90" t="s">
        <v>2344</v>
      </c>
      <c r="I247">
        <v>18845</v>
      </c>
      <c r="J247" s="80" t="s">
        <v>2288</v>
      </c>
      <c r="K247" t="s">
        <v>767</v>
      </c>
      <c r="L247">
        <v>9007</v>
      </c>
      <c r="M247" t="s">
        <v>1824</v>
      </c>
      <c r="O247">
        <v>0.6</v>
      </c>
      <c r="P247" s="80" t="s">
        <v>2290</v>
      </c>
      <c r="Q247" t="s">
        <v>769</v>
      </c>
      <c r="R247">
        <v>9008</v>
      </c>
      <c r="S247" t="s">
        <v>1781</v>
      </c>
      <c r="U247">
        <v>0.6</v>
      </c>
      <c r="V247">
        <v>70001</v>
      </c>
      <c r="W247">
        <v>1</v>
      </c>
      <c r="X247">
        <v>1</v>
      </c>
      <c r="Y247">
        <v>70002</v>
      </c>
      <c r="Z247">
        <v>1</v>
      </c>
      <c r="AA247">
        <v>1</v>
      </c>
      <c r="AB247">
        <v>1001</v>
      </c>
      <c r="AC247">
        <v>100</v>
      </c>
      <c r="AD247">
        <v>1</v>
      </c>
      <c r="AE247">
        <v>8000</v>
      </c>
      <c r="AF247">
        <v>2050</v>
      </c>
      <c r="AG247">
        <v>1</v>
      </c>
    </row>
    <row r="248" spans="1:33" ht="38.25" customHeight="1">
      <c r="A248">
        <v>1142</v>
      </c>
      <c r="B248" t="s">
        <v>1959</v>
      </c>
      <c r="C248">
        <v>5</v>
      </c>
      <c r="D248" t="s">
        <v>2345</v>
      </c>
      <c r="E248">
        <v>72</v>
      </c>
      <c r="G248" s="90" t="s">
        <v>2346</v>
      </c>
      <c r="I248">
        <v>18970</v>
      </c>
      <c r="J248" s="80" t="s">
        <v>2288</v>
      </c>
      <c r="K248" t="s">
        <v>767</v>
      </c>
      <c r="L248">
        <v>9012</v>
      </c>
      <c r="M248" t="s">
        <v>1794</v>
      </c>
      <c r="O248">
        <v>1</v>
      </c>
      <c r="P248" s="80" t="s">
        <v>2290</v>
      </c>
      <c r="Q248" t="s">
        <v>769</v>
      </c>
      <c r="R248">
        <v>9003</v>
      </c>
      <c r="S248" t="s">
        <v>1845</v>
      </c>
      <c r="U248">
        <v>0.2</v>
      </c>
      <c r="V248">
        <v>70001</v>
      </c>
      <c r="W248">
        <v>1</v>
      </c>
      <c r="X248">
        <v>1</v>
      </c>
      <c r="Y248">
        <v>70002</v>
      </c>
      <c r="Z248">
        <v>1</v>
      </c>
      <c r="AA248">
        <v>1</v>
      </c>
      <c r="AB248">
        <v>1001</v>
      </c>
      <c r="AC248">
        <v>100</v>
      </c>
      <c r="AD248">
        <v>1</v>
      </c>
      <c r="AE248">
        <v>8000</v>
      </c>
      <c r="AF248">
        <v>2050</v>
      </c>
      <c r="AG248">
        <v>1</v>
      </c>
    </row>
    <row r="249" spans="1:33" ht="38.25" customHeight="1">
      <c r="A249">
        <v>1143</v>
      </c>
      <c r="B249" t="s">
        <v>1959</v>
      </c>
      <c r="C249">
        <v>5</v>
      </c>
      <c r="D249" t="s">
        <v>2347</v>
      </c>
      <c r="E249">
        <v>72</v>
      </c>
      <c r="G249" s="90" t="s">
        <v>2348</v>
      </c>
      <c r="I249">
        <v>19095</v>
      </c>
      <c r="J249" s="80" t="s">
        <v>2288</v>
      </c>
      <c r="K249" t="s">
        <v>767</v>
      </c>
      <c r="L249">
        <v>9008</v>
      </c>
      <c r="M249" t="s">
        <v>2349</v>
      </c>
      <c r="O249">
        <v>0.8</v>
      </c>
      <c r="P249" s="80" t="s">
        <v>2290</v>
      </c>
      <c r="Q249" t="s">
        <v>769</v>
      </c>
      <c r="R249">
        <v>9010</v>
      </c>
      <c r="S249" t="s">
        <v>2350</v>
      </c>
      <c r="U249">
        <v>0.4</v>
      </c>
      <c r="V249">
        <v>70001</v>
      </c>
      <c r="W249">
        <v>1</v>
      </c>
      <c r="X249">
        <v>1</v>
      </c>
      <c r="Y249">
        <v>70002</v>
      </c>
      <c r="Z249">
        <v>1</v>
      </c>
      <c r="AA249">
        <v>1</v>
      </c>
      <c r="AB249">
        <v>1001</v>
      </c>
      <c r="AC249">
        <v>100</v>
      </c>
      <c r="AD249">
        <v>1</v>
      </c>
      <c r="AE249">
        <v>8000</v>
      </c>
      <c r="AF249">
        <v>2100</v>
      </c>
      <c r="AG249">
        <v>1</v>
      </c>
    </row>
    <row r="250" spans="1:33" ht="38.25" customHeight="1">
      <c r="A250">
        <v>1144</v>
      </c>
      <c r="B250" t="s">
        <v>1959</v>
      </c>
      <c r="C250">
        <v>5</v>
      </c>
      <c r="D250" t="s">
        <v>2351</v>
      </c>
      <c r="E250">
        <v>73</v>
      </c>
      <c r="G250" s="90" t="s">
        <v>2352</v>
      </c>
      <c r="I250">
        <v>19220</v>
      </c>
      <c r="J250" s="80" t="s">
        <v>2288</v>
      </c>
      <c r="K250" t="s">
        <v>767</v>
      </c>
      <c r="L250">
        <v>9006</v>
      </c>
      <c r="M250" t="s">
        <v>2353</v>
      </c>
      <c r="O250">
        <v>0.3</v>
      </c>
      <c r="P250" s="80" t="s">
        <v>2290</v>
      </c>
      <c r="Q250" t="s">
        <v>769</v>
      </c>
      <c r="R250">
        <v>9004</v>
      </c>
      <c r="S250" t="s">
        <v>2354</v>
      </c>
      <c r="U250">
        <v>0.7</v>
      </c>
      <c r="V250">
        <v>70001</v>
      </c>
      <c r="W250">
        <v>1</v>
      </c>
      <c r="X250">
        <v>1</v>
      </c>
      <c r="Y250">
        <v>70002</v>
      </c>
      <c r="Z250">
        <v>1</v>
      </c>
      <c r="AA250">
        <v>1</v>
      </c>
      <c r="AB250">
        <v>1001</v>
      </c>
      <c r="AC250">
        <v>100</v>
      </c>
      <c r="AD250">
        <v>1</v>
      </c>
      <c r="AE250">
        <v>8000</v>
      </c>
      <c r="AF250">
        <v>2100</v>
      </c>
      <c r="AG250">
        <v>1</v>
      </c>
    </row>
    <row r="251" spans="1:33" ht="38.25" customHeight="1">
      <c r="A251">
        <v>1145</v>
      </c>
      <c r="B251" t="s">
        <v>1959</v>
      </c>
      <c r="C251">
        <v>5</v>
      </c>
      <c r="D251" t="s">
        <v>2355</v>
      </c>
      <c r="E251">
        <v>73</v>
      </c>
      <c r="G251" s="90" t="s">
        <v>2356</v>
      </c>
      <c r="I251">
        <v>19345</v>
      </c>
      <c r="J251" s="80" t="s">
        <v>2288</v>
      </c>
      <c r="K251" t="s">
        <v>767</v>
      </c>
      <c r="L251">
        <v>9011</v>
      </c>
      <c r="M251">
        <v>11</v>
      </c>
      <c r="O251">
        <v>0.1</v>
      </c>
      <c r="P251" s="80" t="s">
        <v>2290</v>
      </c>
      <c r="Q251" t="s">
        <v>769</v>
      </c>
      <c r="R251">
        <v>9007</v>
      </c>
      <c r="S251" t="s">
        <v>2058</v>
      </c>
      <c r="U251">
        <v>0.4</v>
      </c>
      <c r="V251">
        <v>70001</v>
      </c>
      <c r="W251">
        <v>1</v>
      </c>
      <c r="X251">
        <v>1</v>
      </c>
      <c r="Y251">
        <v>70002</v>
      </c>
      <c r="Z251">
        <v>1</v>
      </c>
      <c r="AA251">
        <v>1</v>
      </c>
      <c r="AB251">
        <v>1001</v>
      </c>
      <c r="AC251">
        <v>100</v>
      </c>
      <c r="AD251">
        <v>1</v>
      </c>
      <c r="AE251">
        <v>8000</v>
      </c>
      <c r="AF251">
        <v>2100</v>
      </c>
      <c r="AG251">
        <v>1</v>
      </c>
    </row>
    <row r="252" spans="1:33" ht="38.25" customHeight="1">
      <c r="A252">
        <v>1146</v>
      </c>
      <c r="B252" t="s">
        <v>1959</v>
      </c>
      <c r="C252">
        <v>5</v>
      </c>
      <c r="D252" t="s">
        <v>2357</v>
      </c>
      <c r="E252">
        <v>74</v>
      </c>
      <c r="G252" s="90" t="s">
        <v>2358</v>
      </c>
      <c r="I252">
        <v>19470</v>
      </c>
      <c r="J252" s="80" t="s">
        <v>2288</v>
      </c>
      <c r="K252" t="s">
        <v>767</v>
      </c>
      <c r="L252">
        <v>9001</v>
      </c>
      <c r="M252" t="s">
        <v>2359</v>
      </c>
      <c r="O252">
        <v>0.6</v>
      </c>
      <c r="P252" s="80" t="s">
        <v>2290</v>
      </c>
      <c r="Q252" t="s">
        <v>769</v>
      </c>
      <c r="R252">
        <v>9008</v>
      </c>
      <c r="S252" t="s">
        <v>2360</v>
      </c>
      <c r="U252">
        <v>0.8</v>
      </c>
      <c r="V252">
        <v>70001</v>
      </c>
      <c r="W252">
        <v>1</v>
      </c>
      <c r="X252">
        <v>1</v>
      </c>
      <c r="Y252">
        <v>70002</v>
      </c>
      <c r="Z252">
        <v>1</v>
      </c>
      <c r="AA252">
        <v>1</v>
      </c>
      <c r="AB252">
        <v>1001</v>
      </c>
      <c r="AC252">
        <v>100</v>
      </c>
      <c r="AD252">
        <v>1</v>
      </c>
      <c r="AE252">
        <v>8000</v>
      </c>
      <c r="AF252">
        <v>2150</v>
      </c>
      <c r="AG252">
        <v>1</v>
      </c>
    </row>
    <row r="253" spans="1:33" ht="38.25" customHeight="1">
      <c r="A253">
        <v>1147</v>
      </c>
      <c r="B253" t="s">
        <v>1959</v>
      </c>
      <c r="C253">
        <v>5</v>
      </c>
      <c r="D253" t="s">
        <v>2361</v>
      </c>
      <c r="E253">
        <v>74</v>
      </c>
      <c r="G253" s="90" t="s">
        <v>2362</v>
      </c>
      <c r="I253">
        <v>19595</v>
      </c>
      <c r="J253" s="80" t="s">
        <v>2288</v>
      </c>
      <c r="K253" t="s">
        <v>767</v>
      </c>
      <c r="L253">
        <v>9011</v>
      </c>
      <c r="M253">
        <v>2</v>
      </c>
      <c r="O253">
        <v>1</v>
      </c>
      <c r="P253" s="80" t="s">
        <v>2290</v>
      </c>
      <c r="Q253" t="s">
        <v>769</v>
      </c>
      <c r="R253">
        <v>9007</v>
      </c>
      <c r="S253">
        <v>4</v>
      </c>
      <c r="U253">
        <v>0.9</v>
      </c>
      <c r="V253">
        <v>70001</v>
      </c>
      <c r="W253">
        <v>1</v>
      </c>
      <c r="X253">
        <v>1</v>
      </c>
      <c r="Y253">
        <v>70002</v>
      </c>
      <c r="Z253">
        <v>1</v>
      </c>
      <c r="AA253">
        <v>1</v>
      </c>
      <c r="AB253">
        <v>1001</v>
      </c>
      <c r="AC253">
        <v>100</v>
      </c>
      <c r="AD253">
        <v>1</v>
      </c>
      <c r="AE253">
        <v>8000</v>
      </c>
      <c r="AF253">
        <v>2150</v>
      </c>
      <c r="AG253">
        <v>1</v>
      </c>
    </row>
    <row r="254" spans="1:33" ht="38.25" customHeight="1">
      <c r="A254">
        <v>1148</v>
      </c>
      <c r="B254" t="s">
        <v>1959</v>
      </c>
      <c r="C254">
        <v>5</v>
      </c>
      <c r="D254" t="s">
        <v>2363</v>
      </c>
      <c r="E254">
        <v>75</v>
      </c>
      <c r="G254" s="90" t="s">
        <v>2364</v>
      </c>
      <c r="I254">
        <v>19720</v>
      </c>
      <c r="J254" s="80" t="s">
        <v>2288</v>
      </c>
      <c r="K254" t="s">
        <v>767</v>
      </c>
      <c r="L254">
        <v>9007</v>
      </c>
      <c r="M254">
        <v>10</v>
      </c>
      <c r="O254">
        <v>0.5</v>
      </c>
      <c r="P254" s="80" t="s">
        <v>2290</v>
      </c>
      <c r="Q254" t="s">
        <v>769</v>
      </c>
      <c r="R254">
        <v>9003</v>
      </c>
      <c r="S254" t="s">
        <v>2243</v>
      </c>
      <c r="U254">
        <v>0.9</v>
      </c>
      <c r="V254">
        <v>70001</v>
      </c>
      <c r="W254">
        <v>1</v>
      </c>
      <c r="X254">
        <v>1</v>
      </c>
      <c r="Y254">
        <v>70002</v>
      </c>
      <c r="Z254">
        <v>1</v>
      </c>
      <c r="AA254">
        <v>1</v>
      </c>
      <c r="AB254">
        <v>1001</v>
      </c>
      <c r="AC254">
        <v>100</v>
      </c>
      <c r="AD254">
        <v>1</v>
      </c>
      <c r="AE254">
        <v>8000</v>
      </c>
      <c r="AF254">
        <v>2200</v>
      </c>
      <c r="AG254">
        <v>1</v>
      </c>
    </row>
    <row r="255" spans="1:33" ht="38.25" customHeight="1">
      <c r="A255">
        <v>1149</v>
      </c>
      <c r="B255" t="s">
        <v>1959</v>
      </c>
      <c r="C255">
        <v>5</v>
      </c>
      <c r="D255" t="s">
        <v>2365</v>
      </c>
      <c r="E255">
        <v>75</v>
      </c>
      <c r="G255" s="90" t="s">
        <v>2366</v>
      </c>
      <c r="I255">
        <v>19845</v>
      </c>
      <c r="J255" s="80" t="s">
        <v>2288</v>
      </c>
      <c r="K255" t="s">
        <v>767</v>
      </c>
      <c r="L255">
        <v>9002</v>
      </c>
      <c r="M255" t="s">
        <v>1900</v>
      </c>
      <c r="O255">
        <v>0.7</v>
      </c>
      <c r="P255" s="80" t="s">
        <v>2290</v>
      </c>
      <c r="Q255" t="s">
        <v>769</v>
      </c>
      <c r="R255">
        <v>9007</v>
      </c>
      <c r="S255" t="s">
        <v>2367</v>
      </c>
      <c r="U255">
        <v>0.1</v>
      </c>
      <c r="V255">
        <v>70001</v>
      </c>
      <c r="W255">
        <v>1</v>
      </c>
      <c r="X255">
        <v>1</v>
      </c>
      <c r="Y255">
        <v>70002</v>
      </c>
      <c r="Z255">
        <v>1</v>
      </c>
      <c r="AA255">
        <v>1</v>
      </c>
      <c r="AB255">
        <v>1001</v>
      </c>
      <c r="AC255">
        <v>500</v>
      </c>
      <c r="AD255">
        <v>1</v>
      </c>
      <c r="AE255">
        <v>8000</v>
      </c>
      <c r="AF255">
        <v>2200</v>
      </c>
      <c r="AG255">
        <v>1</v>
      </c>
    </row>
    <row r="256" spans="1:33" ht="38.25" customHeight="1">
      <c r="A256">
        <v>1150</v>
      </c>
      <c r="B256" t="s">
        <v>1959</v>
      </c>
      <c r="C256">
        <v>6</v>
      </c>
      <c r="D256" t="s">
        <v>2368</v>
      </c>
      <c r="E256">
        <v>76</v>
      </c>
      <c r="G256" s="90" t="s">
        <v>2369</v>
      </c>
      <c r="I256">
        <v>19970</v>
      </c>
      <c r="J256" s="80" t="s">
        <v>2370</v>
      </c>
      <c r="K256" t="s">
        <v>767</v>
      </c>
      <c r="L256">
        <v>9006</v>
      </c>
      <c r="M256">
        <v>4</v>
      </c>
      <c r="O256">
        <v>0.8</v>
      </c>
      <c r="P256" s="80" t="s">
        <v>2371</v>
      </c>
      <c r="Q256" t="s">
        <v>769</v>
      </c>
      <c r="R256">
        <v>9008</v>
      </c>
      <c r="S256" t="s">
        <v>2311</v>
      </c>
      <c r="U256">
        <v>0.9</v>
      </c>
      <c r="V256">
        <v>70001</v>
      </c>
      <c r="W256">
        <v>2</v>
      </c>
      <c r="X256">
        <v>1</v>
      </c>
      <c r="Y256">
        <v>70002</v>
      </c>
      <c r="Z256">
        <v>2</v>
      </c>
      <c r="AA256">
        <v>1</v>
      </c>
      <c r="AB256">
        <v>1001</v>
      </c>
      <c r="AC256">
        <v>100</v>
      </c>
      <c r="AD256">
        <v>1</v>
      </c>
      <c r="AE256">
        <v>8000</v>
      </c>
      <c r="AF256">
        <v>2200</v>
      </c>
      <c r="AG256">
        <v>1</v>
      </c>
    </row>
    <row r="257" spans="1:33" ht="38.25" customHeight="1">
      <c r="A257">
        <v>1151</v>
      </c>
      <c r="B257" t="s">
        <v>1959</v>
      </c>
      <c r="C257">
        <v>6</v>
      </c>
      <c r="D257" t="s">
        <v>2372</v>
      </c>
      <c r="E257">
        <v>76</v>
      </c>
      <c r="G257" s="90" t="s">
        <v>2373</v>
      </c>
      <c r="I257">
        <v>20095</v>
      </c>
      <c r="J257" s="80" t="s">
        <v>2370</v>
      </c>
      <c r="K257" t="s">
        <v>767</v>
      </c>
      <c r="L257">
        <v>9002</v>
      </c>
      <c r="M257">
        <v>5</v>
      </c>
      <c r="O257">
        <v>0.1</v>
      </c>
      <c r="P257" s="80" t="s">
        <v>2371</v>
      </c>
      <c r="Q257" t="s">
        <v>769</v>
      </c>
      <c r="R257">
        <v>9008</v>
      </c>
      <c r="S257">
        <v>5</v>
      </c>
      <c r="U257">
        <v>0.4</v>
      </c>
      <c r="V257">
        <v>70001</v>
      </c>
      <c r="W257">
        <v>2</v>
      </c>
      <c r="X257">
        <v>1</v>
      </c>
      <c r="Y257">
        <v>70002</v>
      </c>
      <c r="Z257">
        <v>2</v>
      </c>
      <c r="AA257">
        <v>1</v>
      </c>
      <c r="AB257">
        <v>1001</v>
      </c>
      <c r="AC257">
        <v>100</v>
      </c>
      <c r="AD257">
        <v>1</v>
      </c>
      <c r="AE257">
        <v>8000</v>
      </c>
      <c r="AF257">
        <v>2250</v>
      </c>
      <c r="AG257">
        <v>1</v>
      </c>
    </row>
    <row r="258" spans="1:33" ht="38.25" customHeight="1">
      <c r="A258">
        <v>1152</v>
      </c>
      <c r="B258" t="s">
        <v>1959</v>
      </c>
      <c r="C258">
        <v>6</v>
      </c>
      <c r="D258" t="s">
        <v>2374</v>
      </c>
      <c r="E258">
        <v>77</v>
      </c>
      <c r="G258" s="90" t="s">
        <v>2375</v>
      </c>
      <c r="I258">
        <v>20220</v>
      </c>
      <c r="J258" s="80" t="s">
        <v>2370</v>
      </c>
      <c r="K258" t="s">
        <v>767</v>
      </c>
      <c r="L258">
        <v>9007</v>
      </c>
      <c r="M258" t="s">
        <v>1656</v>
      </c>
      <c r="O258">
        <v>0.4</v>
      </c>
      <c r="P258" s="80" t="s">
        <v>2371</v>
      </c>
      <c r="Q258" t="s">
        <v>769</v>
      </c>
      <c r="R258">
        <v>9012</v>
      </c>
      <c r="S258" t="s">
        <v>2089</v>
      </c>
      <c r="U258">
        <v>0.4</v>
      </c>
      <c r="V258">
        <v>70001</v>
      </c>
      <c r="W258">
        <v>2</v>
      </c>
      <c r="X258">
        <v>1</v>
      </c>
      <c r="Y258">
        <v>70002</v>
      </c>
      <c r="Z258">
        <v>2</v>
      </c>
      <c r="AA258">
        <v>1</v>
      </c>
      <c r="AB258">
        <v>1001</v>
      </c>
      <c r="AC258">
        <v>100</v>
      </c>
      <c r="AD258">
        <v>1</v>
      </c>
      <c r="AE258">
        <v>8000</v>
      </c>
      <c r="AF258">
        <v>2250</v>
      </c>
      <c r="AG258">
        <v>1</v>
      </c>
    </row>
    <row r="259" spans="1:33" ht="38.25" customHeight="1">
      <c r="A259">
        <v>1153</v>
      </c>
      <c r="B259" t="s">
        <v>1959</v>
      </c>
      <c r="C259">
        <v>6</v>
      </c>
      <c r="D259" t="s">
        <v>2376</v>
      </c>
      <c r="E259">
        <v>77</v>
      </c>
      <c r="G259" s="90" t="s">
        <v>2377</v>
      </c>
      <c r="I259">
        <v>20345</v>
      </c>
      <c r="J259" s="80" t="s">
        <v>2370</v>
      </c>
      <c r="K259" t="s">
        <v>767</v>
      </c>
      <c r="L259">
        <v>9011</v>
      </c>
      <c r="M259" t="s">
        <v>2378</v>
      </c>
      <c r="O259">
        <v>0.6</v>
      </c>
      <c r="P259" s="80" t="s">
        <v>2371</v>
      </c>
      <c r="Q259" t="s">
        <v>769</v>
      </c>
      <c r="R259">
        <v>9011</v>
      </c>
      <c r="S259" t="s">
        <v>1712</v>
      </c>
      <c r="U259">
        <v>1</v>
      </c>
      <c r="V259">
        <v>70001</v>
      </c>
      <c r="W259">
        <v>2</v>
      </c>
      <c r="X259">
        <v>1</v>
      </c>
      <c r="Y259">
        <v>70002</v>
      </c>
      <c r="Z259">
        <v>2</v>
      </c>
      <c r="AA259">
        <v>1</v>
      </c>
      <c r="AB259">
        <v>1001</v>
      </c>
      <c r="AC259">
        <v>100</v>
      </c>
      <c r="AD259">
        <v>1</v>
      </c>
      <c r="AE259">
        <v>8000</v>
      </c>
      <c r="AF259">
        <v>2250</v>
      </c>
      <c r="AG259">
        <v>1</v>
      </c>
    </row>
    <row r="260" spans="1:33" ht="38.25" customHeight="1">
      <c r="A260">
        <v>1154</v>
      </c>
      <c r="B260" t="s">
        <v>1959</v>
      </c>
      <c r="C260">
        <v>6</v>
      </c>
      <c r="D260" t="s">
        <v>2379</v>
      </c>
      <c r="E260">
        <v>78</v>
      </c>
      <c r="G260" s="90" t="s">
        <v>2380</v>
      </c>
      <c r="I260">
        <v>20470</v>
      </c>
      <c r="J260" s="80" t="s">
        <v>2370</v>
      </c>
      <c r="K260" t="s">
        <v>767</v>
      </c>
      <c r="L260">
        <v>9011</v>
      </c>
      <c r="M260">
        <v>3</v>
      </c>
      <c r="O260">
        <v>0.9</v>
      </c>
      <c r="P260" s="80" t="s">
        <v>2371</v>
      </c>
      <c r="Q260" t="s">
        <v>769</v>
      </c>
      <c r="R260">
        <v>9004</v>
      </c>
      <c r="S260" t="s">
        <v>2058</v>
      </c>
      <c r="U260">
        <v>1</v>
      </c>
      <c r="V260">
        <v>70001</v>
      </c>
      <c r="W260">
        <v>2</v>
      </c>
      <c r="X260">
        <v>1</v>
      </c>
      <c r="Y260">
        <v>70002</v>
      </c>
      <c r="Z260">
        <v>2</v>
      </c>
      <c r="AA260">
        <v>1</v>
      </c>
      <c r="AB260">
        <v>1001</v>
      </c>
      <c r="AC260">
        <v>100</v>
      </c>
      <c r="AD260">
        <v>1</v>
      </c>
      <c r="AE260">
        <v>8000</v>
      </c>
      <c r="AF260">
        <v>2300</v>
      </c>
      <c r="AG260">
        <v>1</v>
      </c>
    </row>
    <row r="261" spans="1:33" ht="38.25" customHeight="1">
      <c r="A261">
        <v>1155</v>
      </c>
      <c r="B261" t="s">
        <v>1959</v>
      </c>
      <c r="C261">
        <v>6</v>
      </c>
      <c r="D261" t="s">
        <v>2381</v>
      </c>
      <c r="E261">
        <v>78</v>
      </c>
      <c r="G261" s="90" t="s">
        <v>2382</v>
      </c>
      <c r="I261">
        <v>20595</v>
      </c>
      <c r="J261" s="80" t="s">
        <v>2370</v>
      </c>
      <c r="K261" t="s">
        <v>767</v>
      </c>
      <c r="L261">
        <v>9012</v>
      </c>
      <c r="M261" t="s">
        <v>1812</v>
      </c>
      <c r="O261">
        <v>0.9</v>
      </c>
      <c r="P261" s="80" t="s">
        <v>2371</v>
      </c>
      <c r="Q261" t="s">
        <v>769</v>
      </c>
      <c r="R261">
        <v>9012</v>
      </c>
      <c r="S261">
        <v>4</v>
      </c>
      <c r="U261">
        <v>0.5</v>
      </c>
      <c r="V261">
        <v>70001</v>
      </c>
      <c r="W261">
        <v>2</v>
      </c>
      <c r="X261">
        <v>1</v>
      </c>
      <c r="Y261">
        <v>70002</v>
      </c>
      <c r="Z261">
        <v>2</v>
      </c>
      <c r="AA261">
        <v>1</v>
      </c>
      <c r="AB261">
        <v>1001</v>
      </c>
      <c r="AC261">
        <v>100</v>
      </c>
      <c r="AD261">
        <v>1</v>
      </c>
      <c r="AE261">
        <v>8000</v>
      </c>
      <c r="AF261">
        <v>2300</v>
      </c>
      <c r="AG261">
        <v>1</v>
      </c>
    </row>
    <row r="262" spans="1:33" ht="38.25" customHeight="1">
      <c r="A262">
        <v>1156</v>
      </c>
      <c r="B262" t="s">
        <v>1959</v>
      </c>
      <c r="C262">
        <v>6</v>
      </c>
      <c r="D262" t="s">
        <v>2383</v>
      </c>
      <c r="E262">
        <v>79</v>
      </c>
      <c r="G262" s="90" t="s">
        <v>2384</v>
      </c>
      <c r="I262">
        <v>20720</v>
      </c>
      <c r="J262" s="80" t="s">
        <v>2370</v>
      </c>
      <c r="K262" t="s">
        <v>767</v>
      </c>
      <c r="L262">
        <v>9012</v>
      </c>
      <c r="M262">
        <v>6</v>
      </c>
      <c r="O262">
        <v>0.9</v>
      </c>
      <c r="P262" s="80" t="s">
        <v>2371</v>
      </c>
      <c r="Q262" t="s">
        <v>769</v>
      </c>
      <c r="R262">
        <v>9012</v>
      </c>
      <c r="S262" t="s">
        <v>2285</v>
      </c>
      <c r="U262">
        <v>1</v>
      </c>
      <c r="V262">
        <v>70001</v>
      </c>
      <c r="W262">
        <v>2</v>
      </c>
      <c r="X262">
        <v>1</v>
      </c>
      <c r="Y262">
        <v>70002</v>
      </c>
      <c r="Z262">
        <v>2</v>
      </c>
      <c r="AA262">
        <v>1</v>
      </c>
      <c r="AB262">
        <v>1001</v>
      </c>
      <c r="AC262">
        <v>100</v>
      </c>
      <c r="AD262">
        <v>1</v>
      </c>
      <c r="AE262">
        <v>8000</v>
      </c>
      <c r="AF262">
        <v>2350</v>
      </c>
      <c r="AG262">
        <v>1</v>
      </c>
    </row>
    <row r="263" spans="1:33" ht="38.25" customHeight="1">
      <c r="A263">
        <v>1157</v>
      </c>
      <c r="B263" t="s">
        <v>1959</v>
      </c>
      <c r="C263">
        <v>6</v>
      </c>
      <c r="D263" t="s">
        <v>2385</v>
      </c>
      <c r="E263">
        <v>79</v>
      </c>
      <c r="G263" s="90" t="s">
        <v>2386</v>
      </c>
      <c r="I263">
        <v>20845</v>
      </c>
      <c r="J263" s="80" t="s">
        <v>2370</v>
      </c>
      <c r="K263" t="s">
        <v>767</v>
      </c>
      <c r="L263">
        <v>9011</v>
      </c>
      <c r="M263" t="s">
        <v>2387</v>
      </c>
      <c r="O263">
        <v>0.5</v>
      </c>
      <c r="P263" s="80" t="s">
        <v>2371</v>
      </c>
      <c r="Q263" t="s">
        <v>769</v>
      </c>
      <c r="R263">
        <v>9008</v>
      </c>
      <c r="S263">
        <v>10</v>
      </c>
      <c r="U263">
        <v>0.7</v>
      </c>
      <c r="V263">
        <v>70001</v>
      </c>
      <c r="W263">
        <v>2</v>
      </c>
      <c r="X263">
        <v>1</v>
      </c>
      <c r="Y263">
        <v>70002</v>
      </c>
      <c r="Z263">
        <v>2</v>
      </c>
      <c r="AA263">
        <v>1</v>
      </c>
      <c r="AB263">
        <v>1001</v>
      </c>
      <c r="AC263">
        <v>100</v>
      </c>
      <c r="AD263">
        <v>1</v>
      </c>
      <c r="AE263">
        <v>8000</v>
      </c>
      <c r="AF263">
        <v>2350</v>
      </c>
      <c r="AG263">
        <v>1</v>
      </c>
    </row>
    <row r="264" spans="1:33" ht="38.25" customHeight="1">
      <c r="A264">
        <v>1158</v>
      </c>
      <c r="B264" t="s">
        <v>1959</v>
      </c>
      <c r="C264">
        <v>6</v>
      </c>
      <c r="D264" t="s">
        <v>2388</v>
      </c>
      <c r="E264">
        <v>80</v>
      </c>
      <c r="G264" s="90" t="s">
        <v>2389</v>
      </c>
      <c r="I264">
        <v>20970</v>
      </c>
      <c r="J264" s="80" t="s">
        <v>2370</v>
      </c>
      <c r="K264" t="s">
        <v>767</v>
      </c>
      <c r="L264">
        <v>9006</v>
      </c>
      <c r="M264" t="s">
        <v>2390</v>
      </c>
      <c r="O264">
        <v>0.3</v>
      </c>
      <c r="P264" s="80" t="s">
        <v>2371</v>
      </c>
      <c r="Q264" t="s">
        <v>769</v>
      </c>
      <c r="R264">
        <v>9007</v>
      </c>
      <c r="S264">
        <v>5</v>
      </c>
      <c r="U264">
        <v>0.2</v>
      </c>
      <c r="V264">
        <v>70001</v>
      </c>
      <c r="W264">
        <v>2</v>
      </c>
      <c r="X264">
        <v>1</v>
      </c>
      <c r="Y264">
        <v>70002</v>
      </c>
      <c r="Z264">
        <v>2</v>
      </c>
      <c r="AA264">
        <v>1</v>
      </c>
      <c r="AB264">
        <v>1001</v>
      </c>
      <c r="AC264">
        <v>100</v>
      </c>
      <c r="AD264">
        <v>1</v>
      </c>
      <c r="AE264">
        <v>8000</v>
      </c>
      <c r="AF264">
        <v>2350</v>
      </c>
      <c r="AG264">
        <v>1</v>
      </c>
    </row>
    <row r="265" spans="1:33" ht="38.25" customHeight="1">
      <c r="A265">
        <v>1159</v>
      </c>
      <c r="B265" t="s">
        <v>1959</v>
      </c>
      <c r="C265">
        <v>6</v>
      </c>
      <c r="D265" t="s">
        <v>2391</v>
      </c>
      <c r="E265">
        <v>80</v>
      </c>
      <c r="G265" s="90" t="s">
        <v>2392</v>
      </c>
      <c r="I265">
        <v>21095</v>
      </c>
      <c r="J265" s="80" t="s">
        <v>2370</v>
      </c>
      <c r="K265" t="s">
        <v>767</v>
      </c>
      <c r="L265">
        <v>9002</v>
      </c>
      <c r="M265">
        <v>1</v>
      </c>
      <c r="O265">
        <v>0.7</v>
      </c>
      <c r="P265" s="80" t="s">
        <v>2371</v>
      </c>
      <c r="Q265" t="s">
        <v>769</v>
      </c>
      <c r="R265">
        <v>9007</v>
      </c>
      <c r="S265" t="s">
        <v>2393</v>
      </c>
      <c r="U265">
        <v>0.3</v>
      </c>
      <c r="V265">
        <v>70001</v>
      </c>
      <c r="W265">
        <v>2</v>
      </c>
      <c r="X265">
        <v>1</v>
      </c>
      <c r="Y265">
        <v>70002</v>
      </c>
      <c r="Z265">
        <v>2</v>
      </c>
      <c r="AA265">
        <v>1</v>
      </c>
      <c r="AB265">
        <v>1001</v>
      </c>
      <c r="AC265">
        <v>100</v>
      </c>
      <c r="AD265">
        <v>1</v>
      </c>
      <c r="AE265">
        <v>8000</v>
      </c>
      <c r="AF265">
        <v>2400</v>
      </c>
      <c r="AG265">
        <v>1</v>
      </c>
    </row>
    <row r="266" spans="1:33" ht="38.25" customHeight="1">
      <c r="A266">
        <v>1160</v>
      </c>
      <c r="B266" t="s">
        <v>1959</v>
      </c>
      <c r="C266">
        <v>6</v>
      </c>
      <c r="D266" t="s">
        <v>2394</v>
      </c>
      <c r="E266">
        <v>81</v>
      </c>
      <c r="G266" s="90" t="s">
        <v>2395</v>
      </c>
      <c r="I266">
        <v>21220</v>
      </c>
      <c r="J266" s="80" t="s">
        <v>2370</v>
      </c>
      <c r="K266" t="s">
        <v>767</v>
      </c>
      <c r="L266">
        <v>9002</v>
      </c>
      <c r="M266" t="s">
        <v>1787</v>
      </c>
      <c r="O266">
        <v>0.5</v>
      </c>
      <c r="P266" s="80" t="s">
        <v>2371</v>
      </c>
      <c r="Q266" t="s">
        <v>769</v>
      </c>
      <c r="R266">
        <v>9004</v>
      </c>
      <c r="S266" t="s">
        <v>2108</v>
      </c>
      <c r="U266">
        <v>0.1</v>
      </c>
      <c r="V266">
        <v>70001</v>
      </c>
      <c r="W266">
        <v>2</v>
      </c>
      <c r="X266">
        <v>1</v>
      </c>
      <c r="Y266">
        <v>70002</v>
      </c>
      <c r="Z266">
        <v>2</v>
      </c>
      <c r="AA266">
        <v>1</v>
      </c>
      <c r="AB266">
        <v>1001</v>
      </c>
      <c r="AC266">
        <v>100</v>
      </c>
      <c r="AD266">
        <v>1</v>
      </c>
      <c r="AE266">
        <v>8000</v>
      </c>
      <c r="AF266">
        <v>2400</v>
      </c>
      <c r="AG266">
        <v>1</v>
      </c>
    </row>
    <row r="267" spans="1:33" ht="38.25" customHeight="1">
      <c r="A267">
        <v>1161</v>
      </c>
      <c r="B267" t="s">
        <v>1959</v>
      </c>
      <c r="C267">
        <v>6</v>
      </c>
      <c r="D267" t="s">
        <v>2396</v>
      </c>
      <c r="E267">
        <v>81</v>
      </c>
      <c r="G267" s="90" t="s">
        <v>2397</v>
      </c>
      <c r="I267">
        <v>21345</v>
      </c>
      <c r="J267" s="80" t="s">
        <v>2370</v>
      </c>
      <c r="K267" t="s">
        <v>767</v>
      </c>
      <c r="L267">
        <v>9008</v>
      </c>
      <c r="M267">
        <v>4</v>
      </c>
      <c r="O267">
        <v>1</v>
      </c>
      <c r="P267" s="80" t="s">
        <v>2371</v>
      </c>
      <c r="Q267" t="s">
        <v>769</v>
      </c>
      <c r="R267">
        <v>9008</v>
      </c>
      <c r="S267" t="s">
        <v>2182</v>
      </c>
      <c r="U267">
        <v>0.8</v>
      </c>
      <c r="V267">
        <v>70001</v>
      </c>
      <c r="W267">
        <v>2</v>
      </c>
      <c r="X267">
        <v>1</v>
      </c>
      <c r="Y267">
        <v>70002</v>
      </c>
      <c r="Z267">
        <v>2</v>
      </c>
      <c r="AA267">
        <v>1</v>
      </c>
      <c r="AB267">
        <v>1001</v>
      </c>
      <c r="AC267">
        <v>100</v>
      </c>
      <c r="AD267">
        <v>1</v>
      </c>
      <c r="AE267">
        <v>8000</v>
      </c>
      <c r="AF267">
        <v>2450</v>
      </c>
      <c r="AG267">
        <v>1</v>
      </c>
    </row>
    <row r="268" spans="1:33" ht="38.25" customHeight="1">
      <c r="A268">
        <v>1162</v>
      </c>
      <c r="B268" t="s">
        <v>1959</v>
      </c>
      <c r="C268">
        <v>6</v>
      </c>
      <c r="D268" t="s">
        <v>2398</v>
      </c>
      <c r="E268">
        <v>82</v>
      </c>
      <c r="G268" s="90" t="s">
        <v>2399</v>
      </c>
      <c r="I268">
        <v>21470</v>
      </c>
      <c r="J268" s="80" t="s">
        <v>2370</v>
      </c>
      <c r="K268" t="s">
        <v>767</v>
      </c>
      <c r="L268">
        <v>9012</v>
      </c>
      <c r="M268">
        <v>5</v>
      </c>
      <c r="O268">
        <v>0.4</v>
      </c>
      <c r="P268" s="80" t="s">
        <v>2371</v>
      </c>
      <c r="Q268" t="s">
        <v>769</v>
      </c>
      <c r="R268">
        <v>9008</v>
      </c>
      <c r="S268">
        <v>8</v>
      </c>
      <c r="U268">
        <v>0.1</v>
      </c>
      <c r="V268">
        <v>70001</v>
      </c>
      <c r="W268">
        <v>2</v>
      </c>
      <c r="X268">
        <v>1</v>
      </c>
      <c r="Y268">
        <v>70002</v>
      </c>
      <c r="Z268">
        <v>2</v>
      </c>
      <c r="AA268">
        <v>1</v>
      </c>
      <c r="AB268">
        <v>1001</v>
      </c>
      <c r="AC268">
        <v>100</v>
      </c>
      <c r="AD268">
        <v>1</v>
      </c>
      <c r="AE268">
        <v>8000</v>
      </c>
      <c r="AF268">
        <v>2450</v>
      </c>
      <c r="AG268">
        <v>1</v>
      </c>
    </row>
    <row r="269" spans="1:33" ht="38.25" customHeight="1">
      <c r="A269">
        <v>1163</v>
      </c>
      <c r="B269" t="s">
        <v>1959</v>
      </c>
      <c r="C269">
        <v>6</v>
      </c>
      <c r="D269" t="s">
        <v>2400</v>
      </c>
      <c r="E269">
        <v>82</v>
      </c>
      <c r="G269" s="90" t="s">
        <v>2401</v>
      </c>
      <c r="I269">
        <v>21595</v>
      </c>
      <c r="J269" s="80" t="s">
        <v>2370</v>
      </c>
      <c r="K269" t="s">
        <v>767</v>
      </c>
      <c r="L269">
        <v>9007</v>
      </c>
      <c r="M269">
        <v>3</v>
      </c>
      <c r="O269">
        <v>0.7</v>
      </c>
      <c r="P269" s="80" t="s">
        <v>2371</v>
      </c>
      <c r="Q269" t="s">
        <v>769</v>
      </c>
      <c r="R269">
        <v>9012</v>
      </c>
      <c r="S269" t="s">
        <v>1786</v>
      </c>
      <c r="U269">
        <v>0.5</v>
      </c>
      <c r="V269">
        <v>70001</v>
      </c>
      <c r="W269">
        <v>2</v>
      </c>
      <c r="X269">
        <v>1</v>
      </c>
      <c r="Y269">
        <v>70002</v>
      </c>
      <c r="Z269">
        <v>2</v>
      </c>
      <c r="AA269">
        <v>1</v>
      </c>
      <c r="AB269">
        <v>1001</v>
      </c>
      <c r="AC269">
        <v>100</v>
      </c>
      <c r="AD269">
        <v>1</v>
      </c>
      <c r="AE269">
        <v>8000</v>
      </c>
      <c r="AF269">
        <v>2450</v>
      </c>
      <c r="AG269">
        <v>1</v>
      </c>
    </row>
    <row r="270" spans="1:33" ht="38.25" customHeight="1">
      <c r="A270">
        <v>1164</v>
      </c>
      <c r="B270" t="s">
        <v>1959</v>
      </c>
      <c r="C270">
        <v>6</v>
      </c>
      <c r="D270" t="s">
        <v>2402</v>
      </c>
      <c r="E270">
        <v>83</v>
      </c>
      <c r="G270" s="90" t="s">
        <v>2403</v>
      </c>
      <c r="I270">
        <v>21720</v>
      </c>
      <c r="J270" s="80" t="s">
        <v>2370</v>
      </c>
      <c r="K270" t="s">
        <v>767</v>
      </c>
      <c r="L270">
        <v>9006</v>
      </c>
      <c r="M270">
        <v>4</v>
      </c>
      <c r="O270">
        <v>0.5</v>
      </c>
      <c r="P270" s="80" t="s">
        <v>2371</v>
      </c>
      <c r="Q270" t="s">
        <v>769</v>
      </c>
      <c r="R270">
        <v>9010</v>
      </c>
      <c r="S270" t="s">
        <v>2404</v>
      </c>
      <c r="U270">
        <v>0.3</v>
      </c>
      <c r="V270">
        <v>70001</v>
      </c>
      <c r="W270">
        <v>2</v>
      </c>
      <c r="X270">
        <v>1</v>
      </c>
      <c r="Y270">
        <v>70002</v>
      </c>
      <c r="Z270">
        <v>2</v>
      </c>
      <c r="AA270">
        <v>1</v>
      </c>
      <c r="AB270">
        <v>1001</v>
      </c>
      <c r="AC270">
        <v>100</v>
      </c>
      <c r="AD270">
        <v>1</v>
      </c>
      <c r="AE270">
        <v>8000</v>
      </c>
      <c r="AF270">
        <v>2500</v>
      </c>
      <c r="AG270">
        <v>1</v>
      </c>
    </row>
    <row r="271" spans="1:33" ht="38.25" customHeight="1">
      <c r="A271">
        <v>1165</v>
      </c>
      <c r="B271" t="s">
        <v>1959</v>
      </c>
      <c r="C271">
        <v>6</v>
      </c>
      <c r="D271" t="s">
        <v>2405</v>
      </c>
      <c r="E271">
        <v>83</v>
      </c>
      <c r="G271" s="90" t="s">
        <v>2406</v>
      </c>
      <c r="I271">
        <v>21845</v>
      </c>
      <c r="J271" s="80" t="s">
        <v>2370</v>
      </c>
      <c r="K271" t="s">
        <v>767</v>
      </c>
      <c r="L271">
        <v>9002</v>
      </c>
      <c r="M271" t="s">
        <v>1958</v>
      </c>
      <c r="O271">
        <v>1</v>
      </c>
      <c r="P271" s="80" t="s">
        <v>2371</v>
      </c>
      <c r="Q271" t="s">
        <v>769</v>
      </c>
      <c r="R271">
        <v>9011</v>
      </c>
      <c r="S271">
        <v>9</v>
      </c>
      <c r="U271">
        <v>0.9</v>
      </c>
      <c r="V271">
        <v>70001</v>
      </c>
      <c r="W271">
        <v>2</v>
      </c>
      <c r="X271">
        <v>1</v>
      </c>
      <c r="Y271">
        <v>70002</v>
      </c>
      <c r="Z271">
        <v>2</v>
      </c>
      <c r="AA271">
        <v>1</v>
      </c>
      <c r="AB271">
        <v>1001</v>
      </c>
      <c r="AC271">
        <v>100</v>
      </c>
      <c r="AD271">
        <v>1</v>
      </c>
      <c r="AE271">
        <v>8000</v>
      </c>
      <c r="AF271">
        <v>2500</v>
      </c>
      <c r="AG271">
        <v>1</v>
      </c>
    </row>
    <row r="272" spans="1:33" ht="38.25" customHeight="1">
      <c r="A272">
        <v>1166</v>
      </c>
      <c r="B272" t="s">
        <v>1959</v>
      </c>
      <c r="C272">
        <v>6</v>
      </c>
      <c r="D272" t="s">
        <v>2407</v>
      </c>
      <c r="E272">
        <v>84</v>
      </c>
      <c r="G272" s="90" t="s">
        <v>2408</v>
      </c>
      <c r="I272">
        <v>21970</v>
      </c>
      <c r="J272" s="80" t="s">
        <v>2370</v>
      </c>
      <c r="K272" t="s">
        <v>767</v>
      </c>
      <c r="L272">
        <v>9001</v>
      </c>
      <c r="M272" t="s">
        <v>1820</v>
      </c>
      <c r="O272">
        <v>0.3</v>
      </c>
      <c r="P272" s="80" t="s">
        <v>2371</v>
      </c>
      <c r="Q272" t="s">
        <v>769</v>
      </c>
      <c r="R272">
        <v>9011</v>
      </c>
      <c r="S272" t="s">
        <v>1919</v>
      </c>
      <c r="U272">
        <v>0.6</v>
      </c>
      <c r="V272">
        <v>70001</v>
      </c>
      <c r="W272">
        <v>2</v>
      </c>
      <c r="X272">
        <v>1</v>
      </c>
      <c r="Y272">
        <v>70002</v>
      </c>
      <c r="Z272">
        <v>2</v>
      </c>
      <c r="AA272">
        <v>1</v>
      </c>
      <c r="AB272">
        <v>1001</v>
      </c>
      <c r="AC272">
        <v>100</v>
      </c>
      <c r="AD272">
        <v>1</v>
      </c>
      <c r="AE272">
        <v>8000</v>
      </c>
      <c r="AF272">
        <v>2550</v>
      </c>
      <c r="AG272">
        <v>1</v>
      </c>
    </row>
    <row r="273" spans="1:33" ht="38.25" customHeight="1">
      <c r="A273">
        <v>1167</v>
      </c>
      <c r="B273" t="s">
        <v>1959</v>
      </c>
      <c r="C273">
        <v>6</v>
      </c>
      <c r="D273" t="s">
        <v>2409</v>
      </c>
      <c r="E273">
        <v>84</v>
      </c>
      <c r="G273" s="90" t="s">
        <v>2410</v>
      </c>
      <c r="I273">
        <v>22095</v>
      </c>
      <c r="J273" s="80" t="s">
        <v>2370</v>
      </c>
      <c r="K273" t="s">
        <v>767</v>
      </c>
      <c r="L273">
        <v>9005</v>
      </c>
      <c r="M273" t="s">
        <v>1881</v>
      </c>
      <c r="O273">
        <v>0.9</v>
      </c>
      <c r="P273" s="80" t="s">
        <v>2371</v>
      </c>
      <c r="Q273" t="s">
        <v>769</v>
      </c>
      <c r="R273">
        <v>9007</v>
      </c>
      <c r="S273" t="s">
        <v>2267</v>
      </c>
      <c r="U273">
        <v>0.9</v>
      </c>
      <c r="V273">
        <v>70001</v>
      </c>
      <c r="W273">
        <v>2</v>
      </c>
      <c r="X273">
        <v>1</v>
      </c>
      <c r="Y273">
        <v>70002</v>
      </c>
      <c r="Z273">
        <v>2</v>
      </c>
      <c r="AA273">
        <v>1</v>
      </c>
      <c r="AB273">
        <v>1001</v>
      </c>
      <c r="AC273">
        <v>100</v>
      </c>
      <c r="AD273">
        <v>1</v>
      </c>
      <c r="AE273">
        <v>8000</v>
      </c>
      <c r="AF273">
        <v>2550</v>
      </c>
      <c r="AG273">
        <v>1</v>
      </c>
    </row>
    <row r="274" spans="1:33" ht="38.25" customHeight="1">
      <c r="A274">
        <v>1168</v>
      </c>
      <c r="B274" t="s">
        <v>1959</v>
      </c>
      <c r="C274">
        <v>6</v>
      </c>
      <c r="D274" t="s">
        <v>2411</v>
      </c>
      <c r="E274">
        <v>85</v>
      </c>
      <c r="G274" s="90" t="s">
        <v>2412</v>
      </c>
      <c r="I274">
        <v>22220</v>
      </c>
      <c r="J274" s="80" t="s">
        <v>2370</v>
      </c>
      <c r="K274" t="s">
        <v>767</v>
      </c>
      <c r="L274">
        <v>9002</v>
      </c>
      <c r="M274" t="s">
        <v>2058</v>
      </c>
      <c r="O274">
        <v>1</v>
      </c>
      <c r="P274" s="80" t="s">
        <v>2371</v>
      </c>
      <c r="Q274" t="s">
        <v>769</v>
      </c>
      <c r="R274">
        <v>9004</v>
      </c>
      <c r="S274">
        <v>11</v>
      </c>
      <c r="U274">
        <v>0.7</v>
      </c>
      <c r="V274">
        <v>70001</v>
      </c>
      <c r="W274">
        <v>2</v>
      </c>
      <c r="X274">
        <v>1</v>
      </c>
      <c r="Y274">
        <v>70002</v>
      </c>
      <c r="Z274">
        <v>2</v>
      </c>
      <c r="AA274">
        <v>1</v>
      </c>
      <c r="AB274">
        <v>1001</v>
      </c>
      <c r="AC274">
        <v>100</v>
      </c>
      <c r="AD274">
        <v>1</v>
      </c>
      <c r="AE274">
        <v>8000</v>
      </c>
      <c r="AF274">
        <v>2550</v>
      </c>
      <c r="AG274">
        <v>1</v>
      </c>
    </row>
    <row r="275" spans="1:33" ht="38.25" customHeight="1">
      <c r="A275">
        <v>1169</v>
      </c>
      <c r="B275" t="s">
        <v>1959</v>
      </c>
      <c r="C275">
        <v>6</v>
      </c>
      <c r="D275" t="s">
        <v>2413</v>
      </c>
      <c r="E275">
        <v>85</v>
      </c>
      <c r="G275" s="90" t="s">
        <v>2414</v>
      </c>
      <c r="I275">
        <v>22345</v>
      </c>
      <c r="J275" s="80" t="s">
        <v>2370</v>
      </c>
      <c r="K275" t="s">
        <v>767</v>
      </c>
      <c r="L275">
        <v>9002</v>
      </c>
      <c r="M275" t="s">
        <v>2415</v>
      </c>
      <c r="O275">
        <v>1</v>
      </c>
      <c r="P275" s="80" t="s">
        <v>2371</v>
      </c>
      <c r="Q275" t="s">
        <v>769</v>
      </c>
      <c r="R275">
        <v>9004</v>
      </c>
      <c r="S275" t="s">
        <v>1749</v>
      </c>
      <c r="U275">
        <v>0.6</v>
      </c>
      <c r="V275">
        <v>70001</v>
      </c>
      <c r="W275">
        <v>2</v>
      </c>
      <c r="X275">
        <v>1</v>
      </c>
      <c r="Y275">
        <v>70002</v>
      </c>
      <c r="Z275">
        <v>2</v>
      </c>
      <c r="AA275">
        <v>1</v>
      </c>
      <c r="AB275">
        <v>1001</v>
      </c>
      <c r="AC275">
        <v>100</v>
      </c>
      <c r="AD275">
        <v>1</v>
      </c>
      <c r="AE275">
        <v>8000</v>
      </c>
      <c r="AF275">
        <v>2600</v>
      </c>
      <c r="AG275">
        <v>1</v>
      </c>
    </row>
    <row r="276" spans="1:33" ht="38.25" customHeight="1">
      <c r="A276">
        <v>1170</v>
      </c>
      <c r="B276" t="s">
        <v>1959</v>
      </c>
      <c r="C276">
        <v>6</v>
      </c>
      <c r="D276" t="s">
        <v>2416</v>
      </c>
      <c r="E276">
        <v>86</v>
      </c>
      <c r="G276" s="90" t="s">
        <v>2417</v>
      </c>
      <c r="I276">
        <v>22470</v>
      </c>
      <c r="J276" s="80" t="s">
        <v>2370</v>
      </c>
      <c r="K276" t="s">
        <v>767</v>
      </c>
      <c r="L276">
        <v>9007</v>
      </c>
      <c r="M276" t="s">
        <v>2418</v>
      </c>
      <c r="O276">
        <v>0.1</v>
      </c>
      <c r="P276" s="80" t="s">
        <v>2371</v>
      </c>
      <c r="Q276" t="s">
        <v>769</v>
      </c>
      <c r="R276">
        <v>9004</v>
      </c>
      <c r="S276" t="s">
        <v>2419</v>
      </c>
      <c r="U276">
        <v>0.7</v>
      </c>
      <c r="V276">
        <v>70001</v>
      </c>
      <c r="W276">
        <v>2</v>
      </c>
      <c r="X276">
        <v>1</v>
      </c>
      <c r="Y276">
        <v>70002</v>
      </c>
      <c r="Z276">
        <v>2</v>
      </c>
      <c r="AA276">
        <v>1</v>
      </c>
      <c r="AB276">
        <v>1001</v>
      </c>
      <c r="AC276">
        <v>100</v>
      </c>
      <c r="AD276">
        <v>1</v>
      </c>
      <c r="AE276">
        <v>8000</v>
      </c>
      <c r="AF276">
        <v>2600</v>
      </c>
      <c r="AG276">
        <v>1</v>
      </c>
    </row>
    <row r="277" spans="1:33" ht="38.25" customHeight="1">
      <c r="A277">
        <v>1171</v>
      </c>
      <c r="B277" t="s">
        <v>1959</v>
      </c>
      <c r="C277">
        <v>6</v>
      </c>
      <c r="D277" t="s">
        <v>2420</v>
      </c>
      <c r="E277">
        <v>86</v>
      </c>
      <c r="G277" s="90" t="s">
        <v>2421</v>
      </c>
      <c r="I277">
        <v>22595</v>
      </c>
      <c r="J277" s="80" t="s">
        <v>2370</v>
      </c>
      <c r="K277" t="s">
        <v>767</v>
      </c>
      <c r="L277">
        <v>9011</v>
      </c>
      <c r="M277" t="s">
        <v>2149</v>
      </c>
      <c r="O277">
        <v>0.6</v>
      </c>
      <c r="P277" s="80" t="s">
        <v>2371</v>
      </c>
      <c r="Q277" t="s">
        <v>769</v>
      </c>
      <c r="R277">
        <v>9008</v>
      </c>
      <c r="S277" t="s">
        <v>1696</v>
      </c>
      <c r="U277">
        <v>1</v>
      </c>
      <c r="V277">
        <v>70001</v>
      </c>
      <c r="W277">
        <v>2</v>
      </c>
      <c r="X277">
        <v>1</v>
      </c>
      <c r="Y277">
        <v>70002</v>
      </c>
      <c r="Z277">
        <v>2</v>
      </c>
      <c r="AA277">
        <v>1</v>
      </c>
      <c r="AB277">
        <v>1001</v>
      </c>
      <c r="AC277">
        <v>100</v>
      </c>
      <c r="AD277">
        <v>1</v>
      </c>
      <c r="AE277">
        <v>8000</v>
      </c>
      <c r="AF277">
        <v>2650</v>
      </c>
      <c r="AG277">
        <v>1</v>
      </c>
    </row>
    <row r="278" spans="1:33" ht="38.25" customHeight="1">
      <c r="A278">
        <v>1172</v>
      </c>
      <c r="B278" t="s">
        <v>1959</v>
      </c>
      <c r="C278">
        <v>6</v>
      </c>
      <c r="D278" t="s">
        <v>2422</v>
      </c>
      <c r="E278">
        <v>87</v>
      </c>
      <c r="G278" s="90" t="s">
        <v>2423</v>
      </c>
      <c r="I278">
        <v>22720</v>
      </c>
      <c r="J278" s="80" t="s">
        <v>2370</v>
      </c>
      <c r="K278" t="s">
        <v>767</v>
      </c>
      <c r="L278">
        <v>9002</v>
      </c>
      <c r="M278" t="s">
        <v>2424</v>
      </c>
      <c r="O278">
        <v>0.3</v>
      </c>
      <c r="P278" s="80" t="s">
        <v>2371</v>
      </c>
      <c r="Q278" t="s">
        <v>769</v>
      </c>
      <c r="R278">
        <v>9012</v>
      </c>
      <c r="S278" t="s">
        <v>2425</v>
      </c>
      <c r="U278">
        <v>0.7</v>
      </c>
      <c r="V278">
        <v>70001</v>
      </c>
      <c r="W278">
        <v>2</v>
      </c>
      <c r="X278">
        <v>1</v>
      </c>
      <c r="Y278">
        <v>70002</v>
      </c>
      <c r="Z278">
        <v>2</v>
      </c>
      <c r="AA278">
        <v>1</v>
      </c>
      <c r="AB278">
        <v>1001</v>
      </c>
      <c r="AC278">
        <v>100</v>
      </c>
      <c r="AD278">
        <v>1</v>
      </c>
      <c r="AE278">
        <v>8000</v>
      </c>
      <c r="AF278">
        <v>2650</v>
      </c>
      <c r="AG278">
        <v>1</v>
      </c>
    </row>
    <row r="279" spans="1:33" ht="38.25" customHeight="1">
      <c r="A279">
        <v>1173</v>
      </c>
      <c r="B279" t="s">
        <v>1959</v>
      </c>
      <c r="C279">
        <v>6</v>
      </c>
      <c r="D279" t="s">
        <v>2426</v>
      </c>
      <c r="E279">
        <v>87</v>
      </c>
      <c r="G279" s="90" t="s">
        <v>2427</v>
      </c>
      <c r="I279">
        <v>22845</v>
      </c>
      <c r="J279" s="80" t="s">
        <v>2370</v>
      </c>
      <c r="K279" t="s">
        <v>767</v>
      </c>
      <c r="L279">
        <v>9011</v>
      </c>
      <c r="M279">
        <v>4</v>
      </c>
      <c r="O279">
        <v>0.5</v>
      </c>
      <c r="P279" s="80" t="s">
        <v>2371</v>
      </c>
      <c r="Q279" t="s">
        <v>769</v>
      </c>
      <c r="R279">
        <v>9008</v>
      </c>
      <c r="S279" t="s">
        <v>1928</v>
      </c>
      <c r="U279">
        <v>0.7</v>
      </c>
      <c r="V279">
        <v>70001</v>
      </c>
      <c r="W279">
        <v>2</v>
      </c>
      <c r="X279">
        <v>1</v>
      </c>
      <c r="Y279">
        <v>70002</v>
      </c>
      <c r="Z279">
        <v>2</v>
      </c>
      <c r="AA279">
        <v>1</v>
      </c>
      <c r="AB279">
        <v>1001</v>
      </c>
      <c r="AC279">
        <v>100</v>
      </c>
      <c r="AD279">
        <v>1</v>
      </c>
      <c r="AE279">
        <v>8000</v>
      </c>
      <c r="AF279">
        <v>2650</v>
      </c>
      <c r="AG279">
        <v>1</v>
      </c>
    </row>
    <row r="280" spans="1:33" ht="38.25" customHeight="1">
      <c r="A280">
        <v>1174</v>
      </c>
      <c r="B280" t="s">
        <v>1959</v>
      </c>
      <c r="C280">
        <v>6</v>
      </c>
      <c r="D280" t="s">
        <v>2428</v>
      </c>
      <c r="E280">
        <v>88</v>
      </c>
      <c r="G280" s="90" t="s">
        <v>2429</v>
      </c>
      <c r="I280">
        <v>22970</v>
      </c>
      <c r="J280" s="80" t="s">
        <v>2370</v>
      </c>
      <c r="K280" t="s">
        <v>767</v>
      </c>
      <c r="L280">
        <v>9001</v>
      </c>
      <c r="M280" t="s">
        <v>2390</v>
      </c>
      <c r="O280">
        <v>0.4</v>
      </c>
      <c r="P280" s="80" t="s">
        <v>2371</v>
      </c>
      <c r="Q280" t="s">
        <v>769</v>
      </c>
      <c r="R280">
        <v>9012</v>
      </c>
      <c r="S280">
        <v>10</v>
      </c>
      <c r="U280">
        <v>0.3</v>
      </c>
      <c r="V280">
        <v>70001</v>
      </c>
      <c r="W280">
        <v>2</v>
      </c>
      <c r="X280">
        <v>1</v>
      </c>
      <c r="Y280">
        <v>70002</v>
      </c>
      <c r="Z280">
        <v>2</v>
      </c>
      <c r="AA280">
        <v>1</v>
      </c>
      <c r="AB280">
        <v>1001</v>
      </c>
      <c r="AC280">
        <v>100</v>
      </c>
      <c r="AD280">
        <v>1</v>
      </c>
      <c r="AE280">
        <v>8000</v>
      </c>
      <c r="AF280">
        <v>2700</v>
      </c>
      <c r="AG280">
        <v>1</v>
      </c>
    </row>
    <row r="281" spans="1:33" ht="38.25" customHeight="1">
      <c r="A281">
        <v>1175</v>
      </c>
      <c r="B281" t="s">
        <v>1959</v>
      </c>
      <c r="C281">
        <v>6</v>
      </c>
      <c r="D281" t="s">
        <v>2430</v>
      </c>
      <c r="E281">
        <v>88</v>
      </c>
      <c r="G281" s="90" t="s">
        <v>2431</v>
      </c>
      <c r="I281">
        <v>23095</v>
      </c>
      <c r="J281" s="80" t="s">
        <v>2370</v>
      </c>
      <c r="K281" t="s">
        <v>767</v>
      </c>
      <c r="L281">
        <v>9007</v>
      </c>
      <c r="M281">
        <v>4</v>
      </c>
      <c r="O281">
        <v>0.6</v>
      </c>
      <c r="P281" s="80" t="s">
        <v>2371</v>
      </c>
      <c r="Q281" t="s">
        <v>769</v>
      </c>
      <c r="R281">
        <v>9011</v>
      </c>
      <c r="S281" t="s">
        <v>2432</v>
      </c>
      <c r="U281">
        <v>0.6</v>
      </c>
      <c r="V281">
        <v>70001</v>
      </c>
      <c r="W281">
        <v>2</v>
      </c>
      <c r="X281">
        <v>1</v>
      </c>
      <c r="Y281">
        <v>70002</v>
      </c>
      <c r="Z281">
        <v>2</v>
      </c>
      <c r="AA281">
        <v>1</v>
      </c>
      <c r="AB281">
        <v>1001</v>
      </c>
      <c r="AC281">
        <v>100</v>
      </c>
      <c r="AD281">
        <v>1</v>
      </c>
      <c r="AE281">
        <v>8000</v>
      </c>
      <c r="AF281">
        <v>2700</v>
      </c>
      <c r="AG281">
        <v>1</v>
      </c>
    </row>
    <row r="282" spans="1:33" ht="38.25" customHeight="1">
      <c r="A282">
        <v>1176</v>
      </c>
      <c r="B282" t="s">
        <v>1959</v>
      </c>
      <c r="C282">
        <v>6</v>
      </c>
      <c r="D282" t="s">
        <v>2433</v>
      </c>
      <c r="E282">
        <v>89</v>
      </c>
      <c r="G282" s="90" t="s">
        <v>2434</v>
      </c>
      <c r="I282">
        <v>23220</v>
      </c>
      <c r="J282" s="80" t="s">
        <v>2370</v>
      </c>
      <c r="K282" t="s">
        <v>767</v>
      </c>
      <c r="L282">
        <v>9011</v>
      </c>
      <c r="M282" t="s">
        <v>2435</v>
      </c>
      <c r="O282">
        <v>0.8</v>
      </c>
      <c r="P282" s="80" t="s">
        <v>2371</v>
      </c>
      <c r="Q282" t="s">
        <v>769</v>
      </c>
      <c r="R282">
        <v>9011</v>
      </c>
      <c r="S282" t="s">
        <v>2050</v>
      </c>
      <c r="U282">
        <v>0.9</v>
      </c>
      <c r="V282">
        <v>70001</v>
      </c>
      <c r="W282">
        <v>2</v>
      </c>
      <c r="X282">
        <v>1</v>
      </c>
      <c r="Y282">
        <v>70002</v>
      </c>
      <c r="Z282">
        <v>2</v>
      </c>
      <c r="AA282">
        <v>1</v>
      </c>
      <c r="AB282">
        <v>1001</v>
      </c>
      <c r="AC282">
        <v>100</v>
      </c>
      <c r="AD282">
        <v>1</v>
      </c>
      <c r="AE282">
        <v>8000</v>
      </c>
      <c r="AF282">
        <v>2750</v>
      </c>
      <c r="AG282">
        <v>1</v>
      </c>
    </row>
    <row r="283" spans="1:33" ht="38.25" customHeight="1">
      <c r="A283">
        <v>1177</v>
      </c>
      <c r="B283" t="s">
        <v>1959</v>
      </c>
      <c r="C283">
        <v>6</v>
      </c>
      <c r="D283" t="s">
        <v>2436</v>
      </c>
      <c r="E283">
        <v>89</v>
      </c>
      <c r="G283" s="90" t="s">
        <v>2437</v>
      </c>
      <c r="I283">
        <v>23345</v>
      </c>
      <c r="J283" s="80" t="s">
        <v>2370</v>
      </c>
      <c r="K283" t="s">
        <v>767</v>
      </c>
      <c r="L283">
        <v>9001</v>
      </c>
      <c r="M283" t="s">
        <v>1697</v>
      </c>
      <c r="O283">
        <v>0.2</v>
      </c>
      <c r="P283" s="80" t="s">
        <v>2371</v>
      </c>
      <c r="Q283" t="s">
        <v>769</v>
      </c>
      <c r="R283">
        <v>9010</v>
      </c>
      <c r="S283" t="s">
        <v>2438</v>
      </c>
      <c r="U283">
        <v>1</v>
      </c>
      <c r="V283">
        <v>70001</v>
      </c>
      <c r="W283">
        <v>2</v>
      </c>
      <c r="X283">
        <v>1</v>
      </c>
      <c r="Y283">
        <v>70002</v>
      </c>
      <c r="Z283">
        <v>2</v>
      </c>
      <c r="AA283">
        <v>1</v>
      </c>
      <c r="AB283">
        <v>1001</v>
      </c>
      <c r="AC283">
        <v>100</v>
      </c>
      <c r="AD283">
        <v>1</v>
      </c>
      <c r="AE283">
        <v>8000</v>
      </c>
      <c r="AF283">
        <v>2750</v>
      </c>
      <c r="AG283">
        <v>1</v>
      </c>
    </row>
    <row r="284" spans="1:33" ht="38.25" customHeight="1">
      <c r="A284">
        <v>1178</v>
      </c>
      <c r="B284" t="s">
        <v>1959</v>
      </c>
      <c r="C284">
        <v>6</v>
      </c>
      <c r="D284" t="s">
        <v>2439</v>
      </c>
      <c r="E284">
        <v>90</v>
      </c>
      <c r="G284" s="90" t="s">
        <v>2440</v>
      </c>
      <c r="I284">
        <v>23470</v>
      </c>
      <c r="J284" s="80" t="s">
        <v>2370</v>
      </c>
      <c r="K284" t="s">
        <v>767</v>
      </c>
      <c r="L284">
        <v>9008</v>
      </c>
      <c r="M284" t="s">
        <v>2441</v>
      </c>
      <c r="O284">
        <v>0.2</v>
      </c>
      <c r="P284" s="80" t="s">
        <v>2371</v>
      </c>
      <c r="Q284" t="s">
        <v>769</v>
      </c>
      <c r="R284">
        <v>9010</v>
      </c>
      <c r="S284" t="s">
        <v>1958</v>
      </c>
      <c r="U284">
        <v>0.5</v>
      </c>
      <c r="V284">
        <v>70001</v>
      </c>
      <c r="W284">
        <v>2</v>
      </c>
      <c r="X284">
        <v>1</v>
      </c>
      <c r="Y284">
        <v>70002</v>
      </c>
      <c r="Z284">
        <v>2</v>
      </c>
      <c r="AA284">
        <v>1</v>
      </c>
      <c r="AB284">
        <v>1001</v>
      </c>
      <c r="AC284">
        <v>100</v>
      </c>
      <c r="AD284">
        <v>1</v>
      </c>
      <c r="AE284">
        <v>8000</v>
      </c>
      <c r="AF284">
        <v>2750</v>
      </c>
      <c r="AG284">
        <v>1</v>
      </c>
    </row>
    <row r="285" spans="1:33" ht="38.25" customHeight="1">
      <c r="A285">
        <v>1179</v>
      </c>
      <c r="B285" t="s">
        <v>1959</v>
      </c>
      <c r="C285">
        <v>6</v>
      </c>
      <c r="D285" t="s">
        <v>2442</v>
      </c>
      <c r="E285">
        <v>90</v>
      </c>
      <c r="G285" s="90" t="s">
        <v>2443</v>
      </c>
      <c r="I285">
        <v>23595</v>
      </c>
      <c r="J285" s="80" t="s">
        <v>2370</v>
      </c>
      <c r="K285" t="s">
        <v>767</v>
      </c>
      <c r="L285">
        <v>9011</v>
      </c>
      <c r="M285">
        <v>8</v>
      </c>
      <c r="O285">
        <v>0.4</v>
      </c>
      <c r="P285" s="80" t="s">
        <v>2371</v>
      </c>
      <c r="Q285" t="s">
        <v>769</v>
      </c>
      <c r="R285">
        <v>9012</v>
      </c>
      <c r="S285">
        <v>11</v>
      </c>
      <c r="U285">
        <v>0.8</v>
      </c>
      <c r="V285">
        <v>70001</v>
      </c>
      <c r="W285">
        <v>2</v>
      </c>
      <c r="X285">
        <v>1</v>
      </c>
      <c r="Y285">
        <v>70002</v>
      </c>
      <c r="Z285">
        <v>2</v>
      </c>
      <c r="AA285">
        <v>1</v>
      </c>
      <c r="AB285">
        <v>1001</v>
      </c>
      <c r="AC285">
        <v>500</v>
      </c>
      <c r="AD285">
        <v>1</v>
      </c>
      <c r="AE285">
        <v>8000</v>
      </c>
      <c r="AF285">
        <v>2800</v>
      </c>
      <c r="AG285">
        <v>1</v>
      </c>
    </row>
    <row r="286" spans="1:33" ht="38.25" customHeight="1">
      <c r="A286">
        <v>1180</v>
      </c>
      <c r="B286" t="s">
        <v>1959</v>
      </c>
      <c r="C286">
        <v>6</v>
      </c>
      <c r="D286" t="s">
        <v>2444</v>
      </c>
      <c r="E286">
        <v>91</v>
      </c>
      <c r="G286" s="90" t="s">
        <v>2445</v>
      </c>
      <c r="I286">
        <v>23720</v>
      </c>
      <c r="J286" s="80" t="s">
        <v>2370</v>
      </c>
      <c r="K286" t="s">
        <v>767</v>
      </c>
      <c r="L286">
        <v>9012</v>
      </c>
      <c r="M286" t="s">
        <v>2446</v>
      </c>
      <c r="O286">
        <v>0.9</v>
      </c>
      <c r="P286" s="80" t="s">
        <v>2371</v>
      </c>
      <c r="Q286" t="s">
        <v>769</v>
      </c>
      <c r="R286">
        <v>9012</v>
      </c>
      <c r="S286">
        <v>8</v>
      </c>
      <c r="U286">
        <v>0.5</v>
      </c>
      <c r="V286">
        <v>70001</v>
      </c>
      <c r="W286">
        <v>2</v>
      </c>
      <c r="X286">
        <v>1</v>
      </c>
      <c r="Y286">
        <v>70002</v>
      </c>
      <c r="Z286">
        <v>2</v>
      </c>
      <c r="AA286">
        <v>1</v>
      </c>
      <c r="AB286">
        <v>1001</v>
      </c>
      <c r="AC286">
        <v>100</v>
      </c>
      <c r="AD286">
        <v>1</v>
      </c>
      <c r="AE286">
        <v>8000</v>
      </c>
      <c r="AF286">
        <v>2800</v>
      </c>
      <c r="AG286">
        <v>1</v>
      </c>
    </row>
    <row r="287" spans="1:33" ht="38.25" customHeight="1">
      <c r="A287">
        <v>1181</v>
      </c>
      <c r="B287" t="s">
        <v>1959</v>
      </c>
      <c r="C287">
        <v>6</v>
      </c>
      <c r="D287" t="s">
        <v>2447</v>
      </c>
      <c r="E287">
        <v>91</v>
      </c>
      <c r="G287" s="90" t="s">
        <v>2448</v>
      </c>
      <c r="I287">
        <v>23845</v>
      </c>
      <c r="J287" s="80" t="s">
        <v>2370</v>
      </c>
      <c r="K287" t="s">
        <v>767</v>
      </c>
      <c r="L287">
        <v>9007</v>
      </c>
      <c r="M287" t="s">
        <v>1907</v>
      </c>
      <c r="O287">
        <v>0.8</v>
      </c>
      <c r="P287" s="80" t="s">
        <v>2371</v>
      </c>
      <c r="Q287" t="s">
        <v>769</v>
      </c>
      <c r="R287">
        <v>9010</v>
      </c>
      <c r="S287">
        <v>12</v>
      </c>
      <c r="U287">
        <v>0.2</v>
      </c>
      <c r="V287">
        <v>70001</v>
      </c>
      <c r="W287">
        <v>2</v>
      </c>
      <c r="X287">
        <v>1</v>
      </c>
      <c r="Y287">
        <v>70002</v>
      </c>
      <c r="Z287">
        <v>2</v>
      </c>
      <c r="AA287">
        <v>1</v>
      </c>
      <c r="AB287">
        <v>1001</v>
      </c>
      <c r="AC287">
        <v>100</v>
      </c>
      <c r="AD287">
        <v>1</v>
      </c>
      <c r="AE287">
        <v>8000</v>
      </c>
      <c r="AF287">
        <v>2850</v>
      </c>
      <c r="AG287">
        <v>1</v>
      </c>
    </row>
    <row r="288" spans="1:33" ht="38.25" customHeight="1">
      <c r="A288">
        <v>1182</v>
      </c>
      <c r="B288" t="s">
        <v>1959</v>
      </c>
      <c r="C288">
        <v>6</v>
      </c>
      <c r="D288" t="s">
        <v>2449</v>
      </c>
      <c r="E288">
        <v>92</v>
      </c>
      <c r="G288" s="90" t="s">
        <v>2450</v>
      </c>
      <c r="I288">
        <v>23970</v>
      </c>
      <c r="J288" s="80" t="s">
        <v>2370</v>
      </c>
      <c r="K288" t="s">
        <v>767</v>
      </c>
      <c r="L288">
        <v>9007</v>
      </c>
      <c r="M288" t="s">
        <v>1786</v>
      </c>
      <c r="O288">
        <v>0.1</v>
      </c>
      <c r="P288" s="80" t="s">
        <v>2371</v>
      </c>
      <c r="Q288" t="s">
        <v>769</v>
      </c>
      <c r="R288">
        <v>9012</v>
      </c>
      <c r="S288" t="s">
        <v>2451</v>
      </c>
      <c r="U288">
        <v>0.4</v>
      </c>
      <c r="V288">
        <v>70001</v>
      </c>
      <c r="W288">
        <v>2</v>
      </c>
      <c r="X288">
        <v>1</v>
      </c>
      <c r="Y288">
        <v>70002</v>
      </c>
      <c r="Z288">
        <v>2</v>
      </c>
      <c r="AA288">
        <v>1</v>
      </c>
      <c r="AB288">
        <v>1001</v>
      </c>
      <c r="AC288">
        <v>100</v>
      </c>
      <c r="AD288">
        <v>1</v>
      </c>
      <c r="AE288">
        <v>8000</v>
      </c>
      <c r="AF288">
        <v>2850</v>
      </c>
      <c r="AG288">
        <v>1</v>
      </c>
    </row>
    <row r="289" spans="1:33" ht="38.25" customHeight="1">
      <c r="A289">
        <v>1183</v>
      </c>
      <c r="B289" t="s">
        <v>1959</v>
      </c>
      <c r="C289">
        <v>6</v>
      </c>
      <c r="D289" t="s">
        <v>2452</v>
      </c>
      <c r="E289">
        <v>92</v>
      </c>
      <c r="G289" s="90" t="s">
        <v>2453</v>
      </c>
      <c r="I289">
        <v>24095</v>
      </c>
      <c r="J289" s="80" t="s">
        <v>2370</v>
      </c>
      <c r="K289" t="s">
        <v>767</v>
      </c>
      <c r="L289">
        <v>9001</v>
      </c>
      <c r="M289" t="s">
        <v>2155</v>
      </c>
      <c r="O289">
        <v>0.7</v>
      </c>
      <c r="P289" s="80" t="s">
        <v>2371</v>
      </c>
      <c r="Q289" t="s">
        <v>769</v>
      </c>
      <c r="R289">
        <v>9011</v>
      </c>
      <c r="S289" t="s">
        <v>2454</v>
      </c>
      <c r="U289">
        <v>0.6</v>
      </c>
      <c r="V289">
        <v>70001</v>
      </c>
      <c r="W289">
        <v>2</v>
      </c>
      <c r="X289">
        <v>1</v>
      </c>
      <c r="Y289">
        <v>70002</v>
      </c>
      <c r="Z289">
        <v>2</v>
      </c>
      <c r="AA289">
        <v>1</v>
      </c>
      <c r="AB289">
        <v>1001</v>
      </c>
      <c r="AC289">
        <v>100</v>
      </c>
      <c r="AD289">
        <v>1</v>
      </c>
      <c r="AE289">
        <v>8000</v>
      </c>
      <c r="AF289">
        <v>2850</v>
      </c>
      <c r="AG289">
        <v>1</v>
      </c>
    </row>
    <row r="290" spans="1:33" ht="38.25" customHeight="1">
      <c r="A290">
        <v>1184</v>
      </c>
      <c r="B290" t="s">
        <v>1959</v>
      </c>
      <c r="C290">
        <v>6</v>
      </c>
      <c r="D290" t="s">
        <v>2455</v>
      </c>
      <c r="E290">
        <v>93</v>
      </c>
      <c r="G290" s="90" t="s">
        <v>2456</v>
      </c>
      <c r="I290">
        <v>24220</v>
      </c>
      <c r="J290" s="80" t="s">
        <v>2370</v>
      </c>
      <c r="K290" t="s">
        <v>767</v>
      </c>
      <c r="L290">
        <v>9002</v>
      </c>
      <c r="M290" t="s">
        <v>1790</v>
      </c>
      <c r="O290">
        <v>0.2</v>
      </c>
      <c r="P290" s="80" t="s">
        <v>2371</v>
      </c>
      <c r="Q290" t="s">
        <v>769</v>
      </c>
      <c r="R290">
        <v>9011</v>
      </c>
      <c r="S290" t="s">
        <v>1652</v>
      </c>
      <c r="U290">
        <v>0.9</v>
      </c>
      <c r="V290">
        <v>70001</v>
      </c>
      <c r="W290">
        <v>2</v>
      </c>
      <c r="X290">
        <v>1</v>
      </c>
      <c r="Y290">
        <v>70002</v>
      </c>
      <c r="Z290">
        <v>2</v>
      </c>
      <c r="AA290">
        <v>1</v>
      </c>
      <c r="AB290">
        <v>1001</v>
      </c>
      <c r="AC290">
        <v>100</v>
      </c>
      <c r="AD290">
        <v>1</v>
      </c>
      <c r="AE290">
        <v>8000</v>
      </c>
      <c r="AF290">
        <v>2900</v>
      </c>
      <c r="AG290">
        <v>1</v>
      </c>
    </row>
    <row r="291" spans="1:33" ht="38.25" customHeight="1">
      <c r="A291">
        <v>1185</v>
      </c>
      <c r="B291" t="s">
        <v>1959</v>
      </c>
      <c r="C291">
        <v>6</v>
      </c>
      <c r="D291" t="s">
        <v>2457</v>
      </c>
      <c r="E291">
        <v>93</v>
      </c>
      <c r="G291" s="90" t="s">
        <v>2458</v>
      </c>
      <c r="I291">
        <v>24345</v>
      </c>
      <c r="J291" s="80" t="s">
        <v>2370</v>
      </c>
      <c r="K291" t="s">
        <v>767</v>
      </c>
      <c r="L291">
        <v>9006</v>
      </c>
      <c r="M291" t="s">
        <v>1849</v>
      </c>
      <c r="O291">
        <v>0.9</v>
      </c>
      <c r="P291" s="80" t="s">
        <v>2371</v>
      </c>
      <c r="Q291" t="s">
        <v>769</v>
      </c>
      <c r="R291">
        <v>9010</v>
      </c>
      <c r="S291">
        <v>12</v>
      </c>
      <c r="U291">
        <v>0.9</v>
      </c>
      <c r="V291">
        <v>70001</v>
      </c>
      <c r="W291">
        <v>2</v>
      </c>
      <c r="X291">
        <v>1</v>
      </c>
      <c r="Y291">
        <v>70002</v>
      </c>
      <c r="Z291">
        <v>2</v>
      </c>
      <c r="AA291">
        <v>1</v>
      </c>
      <c r="AB291">
        <v>1001</v>
      </c>
      <c r="AC291">
        <v>100</v>
      </c>
      <c r="AD291">
        <v>1</v>
      </c>
      <c r="AE291">
        <v>8000</v>
      </c>
      <c r="AF291">
        <v>2900</v>
      </c>
      <c r="AG291">
        <v>1</v>
      </c>
    </row>
    <row r="292" spans="1:33" ht="38.25" customHeight="1">
      <c r="A292">
        <v>1186</v>
      </c>
      <c r="B292" t="s">
        <v>1959</v>
      </c>
      <c r="C292">
        <v>6</v>
      </c>
      <c r="D292" t="s">
        <v>2459</v>
      </c>
      <c r="E292">
        <v>94</v>
      </c>
      <c r="G292" s="90" t="s">
        <v>2460</v>
      </c>
      <c r="I292">
        <v>24470</v>
      </c>
      <c r="J292" s="80" t="s">
        <v>2370</v>
      </c>
      <c r="K292" t="s">
        <v>767</v>
      </c>
      <c r="L292">
        <v>9001</v>
      </c>
      <c r="M292" t="s">
        <v>1704</v>
      </c>
      <c r="O292">
        <v>0.9</v>
      </c>
      <c r="P292" s="80" t="s">
        <v>2371</v>
      </c>
      <c r="Q292" t="s">
        <v>769</v>
      </c>
      <c r="R292">
        <v>9012</v>
      </c>
      <c r="S292">
        <v>12</v>
      </c>
      <c r="U292">
        <v>0.5</v>
      </c>
      <c r="V292">
        <v>70001</v>
      </c>
      <c r="W292">
        <v>2</v>
      </c>
      <c r="X292">
        <v>1</v>
      </c>
      <c r="Y292">
        <v>70002</v>
      </c>
      <c r="Z292">
        <v>2</v>
      </c>
      <c r="AA292">
        <v>1</v>
      </c>
      <c r="AB292">
        <v>1001</v>
      </c>
      <c r="AC292">
        <v>100</v>
      </c>
      <c r="AD292">
        <v>1</v>
      </c>
      <c r="AE292">
        <v>8000</v>
      </c>
      <c r="AF292">
        <v>2950</v>
      </c>
      <c r="AG292">
        <v>1</v>
      </c>
    </row>
    <row r="293" spans="1:33" ht="38.25" customHeight="1">
      <c r="A293">
        <v>1187</v>
      </c>
      <c r="B293" t="s">
        <v>1959</v>
      </c>
      <c r="C293">
        <v>6</v>
      </c>
      <c r="D293" t="s">
        <v>2461</v>
      </c>
      <c r="E293">
        <v>94</v>
      </c>
      <c r="G293" s="90" t="s">
        <v>2462</v>
      </c>
      <c r="I293">
        <v>24595</v>
      </c>
      <c r="J293" s="80" t="s">
        <v>2370</v>
      </c>
      <c r="K293" t="s">
        <v>767</v>
      </c>
      <c r="L293">
        <v>9012</v>
      </c>
      <c r="M293" t="s">
        <v>2418</v>
      </c>
      <c r="O293">
        <v>0.7</v>
      </c>
      <c r="P293" s="80" t="s">
        <v>2371</v>
      </c>
      <c r="Q293" t="s">
        <v>769</v>
      </c>
      <c r="R293">
        <v>9007</v>
      </c>
      <c r="S293">
        <v>1</v>
      </c>
      <c r="U293">
        <v>0.8</v>
      </c>
      <c r="V293">
        <v>70001</v>
      </c>
      <c r="W293">
        <v>2</v>
      </c>
      <c r="X293">
        <v>1</v>
      </c>
      <c r="Y293">
        <v>70002</v>
      </c>
      <c r="Z293">
        <v>2</v>
      </c>
      <c r="AA293">
        <v>1</v>
      </c>
      <c r="AB293">
        <v>1001</v>
      </c>
      <c r="AC293">
        <v>100</v>
      </c>
      <c r="AD293">
        <v>1</v>
      </c>
      <c r="AE293">
        <v>8000</v>
      </c>
      <c r="AF293">
        <v>2950</v>
      </c>
      <c r="AG293">
        <v>1</v>
      </c>
    </row>
    <row r="294" spans="1:33" ht="38.25" customHeight="1">
      <c r="A294">
        <v>1188</v>
      </c>
      <c r="B294" t="s">
        <v>1959</v>
      </c>
      <c r="C294">
        <v>6</v>
      </c>
      <c r="D294" t="s">
        <v>2463</v>
      </c>
      <c r="E294">
        <v>95</v>
      </c>
      <c r="G294" s="90" t="s">
        <v>2464</v>
      </c>
      <c r="I294">
        <v>24720</v>
      </c>
      <c r="J294" s="80" t="s">
        <v>2370</v>
      </c>
      <c r="K294" t="s">
        <v>767</v>
      </c>
      <c r="L294">
        <v>9005</v>
      </c>
      <c r="M294">
        <v>13</v>
      </c>
      <c r="O294">
        <v>0.2</v>
      </c>
      <c r="P294" s="80" t="s">
        <v>2371</v>
      </c>
      <c r="Q294" t="s">
        <v>769</v>
      </c>
      <c r="R294">
        <v>9003</v>
      </c>
      <c r="S294" t="s">
        <v>2465</v>
      </c>
      <c r="U294">
        <v>0.6</v>
      </c>
      <c r="V294">
        <v>70001</v>
      </c>
      <c r="W294">
        <v>2</v>
      </c>
      <c r="X294">
        <v>1</v>
      </c>
      <c r="Y294">
        <v>70002</v>
      </c>
      <c r="Z294">
        <v>2</v>
      </c>
      <c r="AA294">
        <v>1</v>
      </c>
      <c r="AB294">
        <v>1001</v>
      </c>
      <c r="AC294">
        <v>100</v>
      </c>
      <c r="AD294">
        <v>1</v>
      </c>
      <c r="AE294">
        <v>8000</v>
      </c>
      <c r="AF294">
        <v>2950</v>
      </c>
      <c r="AG294">
        <v>1</v>
      </c>
    </row>
    <row r="295" spans="1:33" ht="38.25" customHeight="1">
      <c r="A295">
        <v>1189</v>
      </c>
      <c r="B295" t="s">
        <v>1959</v>
      </c>
      <c r="C295">
        <v>6</v>
      </c>
      <c r="D295" t="s">
        <v>2466</v>
      </c>
      <c r="E295">
        <v>95</v>
      </c>
      <c r="G295" s="90" t="s">
        <v>2467</v>
      </c>
      <c r="I295">
        <v>24845</v>
      </c>
      <c r="J295" s="80" t="s">
        <v>2370</v>
      </c>
      <c r="K295" t="s">
        <v>767</v>
      </c>
      <c r="L295">
        <v>9001</v>
      </c>
      <c r="M295">
        <v>2</v>
      </c>
      <c r="O295">
        <v>0.3</v>
      </c>
      <c r="P295" s="80" t="s">
        <v>2371</v>
      </c>
      <c r="Q295" t="s">
        <v>769</v>
      </c>
      <c r="R295">
        <v>9012</v>
      </c>
      <c r="S295" t="s">
        <v>2468</v>
      </c>
      <c r="U295">
        <v>0.2</v>
      </c>
      <c r="V295">
        <v>70001</v>
      </c>
      <c r="W295">
        <v>2</v>
      </c>
      <c r="X295">
        <v>1</v>
      </c>
      <c r="Y295">
        <v>70002</v>
      </c>
      <c r="Z295">
        <v>2</v>
      </c>
      <c r="AA295">
        <v>1</v>
      </c>
      <c r="AB295">
        <v>1001</v>
      </c>
      <c r="AC295">
        <v>100</v>
      </c>
      <c r="AD295">
        <v>1</v>
      </c>
      <c r="AE295">
        <v>8000</v>
      </c>
      <c r="AF295">
        <v>3000</v>
      </c>
      <c r="AG295">
        <v>1</v>
      </c>
    </row>
    <row r="296" spans="1:33" ht="38.25" customHeight="1">
      <c r="A296">
        <v>1190</v>
      </c>
      <c r="B296" t="s">
        <v>1959</v>
      </c>
      <c r="C296">
        <v>7</v>
      </c>
      <c r="D296" t="s">
        <v>2469</v>
      </c>
      <c r="E296">
        <v>96</v>
      </c>
      <c r="G296" s="90" t="s">
        <v>2470</v>
      </c>
      <c r="I296">
        <v>24970</v>
      </c>
      <c r="J296" s="80" t="s">
        <v>2471</v>
      </c>
      <c r="K296" t="s">
        <v>767</v>
      </c>
      <c r="L296">
        <v>9005</v>
      </c>
      <c r="M296" t="s">
        <v>1852</v>
      </c>
      <c r="O296">
        <v>0.6</v>
      </c>
      <c r="P296" s="80" t="s">
        <v>2472</v>
      </c>
      <c r="Q296" t="s">
        <v>769</v>
      </c>
      <c r="R296">
        <v>9007</v>
      </c>
      <c r="S296" t="s">
        <v>2473</v>
      </c>
      <c r="U296">
        <v>0.5</v>
      </c>
      <c r="V296">
        <v>70001</v>
      </c>
      <c r="W296">
        <v>2</v>
      </c>
      <c r="X296">
        <v>1</v>
      </c>
      <c r="Y296">
        <v>70002</v>
      </c>
      <c r="Z296">
        <v>2</v>
      </c>
      <c r="AA296">
        <v>1</v>
      </c>
      <c r="AB296">
        <v>1001</v>
      </c>
      <c r="AC296">
        <v>100</v>
      </c>
      <c r="AD296">
        <v>1</v>
      </c>
      <c r="AE296">
        <v>8000</v>
      </c>
      <c r="AF296">
        <v>3000</v>
      </c>
      <c r="AG296">
        <v>1</v>
      </c>
    </row>
    <row r="297" spans="1:33" ht="38.25" customHeight="1">
      <c r="A297">
        <v>1191</v>
      </c>
      <c r="B297" t="s">
        <v>1959</v>
      </c>
      <c r="C297">
        <v>7</v>
      </c>
      <c r="D297" t="s">
        <v>2474</v>
      </c>
      <c r="E297">
        <v>96</v>
      </c>
      <c r="G297" s="90" t="s">
        <v>2475</v>
      </c>
      <c r="I297">
        <v>25095</v>
      </c>
      <c r="J297" s="80" t="s">
        <v>2471</v>
      </c>
      <c r="K297" t="s">
        <v>767</v>
      </c>
      <c r="L297">
        <v>9001</v>
      </c>
      <c r="M297" t="s">
        <v>2354</v>
      </c>
      <c r="O297">
        <v>0.9</v>
      </c>
      <c r="P297" s="80" t="s">
        <v>2472</v>
      </c>
      <c r="Q297" t="s">
        <v>769</v>
      </c>
      <c r="R297">
        <v>9003</v>
      </c>
      <c r="S297" t="s">
        <v>2476</v>
      </c>
      <c r="U297">
        <v>0.7</v>
      </c>
      <c r="V297">
        <v>70001</v>
      </c>
      <c r="W297">
        <v>2</v>
      </c>
      <c r="X297">
        <v>1</v>
      </c>
      <c r="Y297">
        <v>70002</v>
      </c>
      <c r="Z297">
        <v>2</v>
      </c>
      <c r="AA297">
        <v>1</v>
      </c>
      <c r="AB297">
        <v>1001</v>
      </c>
      <c r="AC297">
        <v>100</v>
      </c>
      <c r="AD297">
        <v>1</v>
      </c>
      <c r="AE297">
        <v>8000</v>
      </c>
      <c r="AF297">
        <v>3050</v>
      </c>
      <c r="AG297">
        <v>1</v>
      </c>
    </row>
    <row r="298" spans="1:33" ht="38.25" customHeight="1">
      <c r="A298">
        <v>1192</v>
      </c>
      <c r="B298" t="s">
        <v>1959</v>
      </c>
      <c r="C298">
        <v>7</v>
      </c>
      <c r="D298" t="s">
        <v>2477</v>
      </c>
      <c r="E298">
        <v>97</v>
      </c>
      <c r="G298" s="90" t="s">
        <v>2478</v>
      </c>
      <c r="I298">
        <v>25220</v>
      </c>
      <c r="J298" s="80" t="s">
        <v>2471</v>
      </c>
      <c r="K298" t="s">
        <v>767</v>
      </c>
      <c r="L298">
        <v>9007</v>
      </c>
      <c r="M298">
        <v>11</v>
      </c>
      <c r="O298">
        <v>0.6</v>
      </c>
      <c r="P298" s="80" t="s">
        <v>2472</v>
      </c>
      <c r="Q298" t="s">
        <v>769</v>
      </c>
      <c r="R298">
        <v>9007</v>
      </c>
      <c r="S298">
        <v>6</v>
      </c>
      <c r="U298">
        <v>0.2</v>
      </c>
      <c r="V298">
        <v>70001</v>
      </c>
      <c r="W298">
        <v>2</v>
      </c>
      <c r="X298">
        <v>1</v>
      </c>
      <c r="Y298">
        <v>70002</v>
      </c>
      <c r="Z298">
        <v>2</v>
      </c>
      <c r="AA298">
        <v>1</v>
      </c>
      <c r="AB298">
        <v>1001</v>
      </c>
      <c r="AC298">
        <v>100</v>
      </c>
      <c r="AD298">
        <v>1</v>
      </c>
      <c r="AE298">
        <v>8000</v>
      </c>
      <c r="AF298">
        <v>3050</v>
      </c>
      <c r="AG298">
        <v>1</v>
      </c>
    </row>
    <row r="299" spans="1:33" ht="38.25" customHeight="1">
      <c r="A299">
        <v>1193</v>
      </c>
      <c r="B299" t="s">
        <v>1959</v>
      </c>
      <c r="C299">
        <v>7</v>
      </c>
      <c r="D299" t="s">
        <v>2479</v>
      </c>
      <c r="E299">
        <v>97</v>
      </c>
      <c r="G299" s="90" t="s">
        <v>2480</v>
      </c>
      <c r="I299">
        <v>25345</v>
      </c>
      <c r="J299" s="80" t="s">
        <v>2471</v>
      </c>
      <c r="K299" t="s">
        <v>767</v>
      </c>
      <c r="L299">
        <v>9012</v>
      </c>
      <c r="M299" t="s">
        <v>1858</v>
      </c>
      <c r="O299">
        <v>0.4</v>
      </c>
      <c r="P299" s="80" t="s">
        <v>2472</v>
      </c>
      <c r="Q299" t="s">
        <v>769</v>
      </c>
      <c r="R299">
        <v>9003</v>
      </c>
      <c r="S299" t="s">
        <v>1777</v>
      </c>
      <c r="U299">
        <v>1</v>
      </c>
      <c r="V299">
        <v>70001</v>
      </c>
      <c r="W299">
        <v>2</v>
      </c>
      <c r="X299">
        <v>1</v>
      </c>
      <c r="Y299">
        <v>70002</v>
      </c>
      <c r="Z299">
        <v>2</v>
      </c>
      <c r="AA299">
        <v>1</v>
      </c>
      <c r="AB299">
        <v>1001</v>
      </c>
      <c r="AC299">
        <v>100</v>
      </c>
      <c r="AD299">
        <v>1</v>
      </c>
      <c r="AE299">
        <v>8000</v>
      </c>
      <c r="AF299">
        <v>3100</v>
      </c>
      <c r="AG299">
        <v>1</v>
      </c>
    </row>
    <row r="300" spans="1:33" ht="38.25" customHeight="1">
      <c r="A300">
        <v>1194</v>
      </c>
      <c r="B300" t="s">
        <v>1959</v>
      </c>
      <c r="C300">
        <v>7</v>
      </c>
      <c r="D300" t="s">
        <v>2481</v>
      </c>
      <c r="E300">
        <v>98</v>
      </c>
      <c r="G300" s="90" t="s">
        <v>2482</v>
      </c>
      <c r="I300">
        <v>25470</v>
      </c>
      <c r="J300" s="80" t="s">
        <v>2471</v>
      </c>
      <c r="K300" t="s">
        <v>767</v>
      </c>
      <c r="L300">
        <v>9001</v>
      </c>
      <c r="M300" t="s">
        <v>2483</v>
      </c>
      <c r="O300">
        <v>1</v>
      </c>
      <c r="P300" s="80" t="s">
        <v>2472</v>
      </c>
      <c r="Q300" t="s">
        <v>769</v>
      </c>
      <c r="R300">
        <v>9010</v>
      </c>
      <c r="S300">
        <v>13</v>
      </c>
      <c r="U300">
        <v>0.3</v>
      </c>
      <c r="V300">
        <v>70001</v>
      </c>
      <c r="W300">
        <v>2</v>
      </c>
      <c r="X300">
        <v>1</v>
      </c>
      <c r="Y300">
        <v>70002</v>
      </c>
      <c r="Z300">
        <v>2</v>
      </c>
      <c r="AA300">
        <v>1</v>
      </c>
      <c r="AB300">
        <v>1001</v>
      </c>
      <c r="AC300">
        <v>100</v>
      </c>
      <c r="AD300">
        <v>1</v>
      </c>
      <c r="AE300">
        <v>8000</v>
      </c>
      <c r="AF300">
        <v>3100</v>
      </c>
      <c r="AG300">
        <v>1</v>
      </c>
    </row>
    <row r="301" spans="1:33" ht="38.25" customHeight="1">
      <c r="A301">
        <v>1195</v>
      </c>
      <c r="B301" t="s">
        <v>1959</v>
      </c>
      <c r="C301">
        <v>7</v>
      </c>
      <c r="D301" t="s">
        <v>2484</v>
      </c>
      <c r="E301">
        <v>98</v>
      </c>
      <c r="G301" s="90" t="s">
        <v>2485</v>
      </c>
      <c r="I301">
        <v>25595</v>
      </c>
      <c r="J301" s="80" t="s">
        <v>2471</v>
      </c>
      <c r="K301" t="s">
        <v>767</v>
      </c>
      <c r="L301">
        <v>9008</v>
      </c>
      <c r="M301">
        <v>3</v>
      </c>
      <c r="O301">
        <v>0.7</v>
      </c>
      <c r="P301" s="80" t="s">
        <v>2472</v>
      </c>
      <c r="Q301" t="s">
        <v>769</v>
      </c>
      <c r="R301">
        <v>9007</v>
      </c>
      <c r="S301" t="s">
        <v>2486</v>
      </c>
      <c r="U301">
        <v>0.9</v>
      </c>
      <c r="V301">
        <v>70001</v>
      </c>
      <c r="W301">
        <v>2</v>
      </c>
      <c r="X301">
        <v>1</v>
      </c>
      <c r="Y301">
        <v>70002</v>
      </c>
      <c r="Z301">
        <v>2</v>
      </c>
      <c r="AA301">
        <v>1</v>
      </c>
      <c r="AB301">
        <v>1001</v>
      </c>
      <c r="AC301">
        <v>100</v>
      </c>
      <c r="AD301">
        <v>1</v>
      </c>
      <c r="AE301">
        <v>8000</v>
      </c>
      <c r="AF301">
        <v>3100</v>
      </c>
      <c r="AG301">
        <v>1</v>
      </c>
    </row>
    <row r="302" spans="1:33" ht="38.25" customHeight="1">
      <c r="A302">
        <v>1196</v>
      </c>
      <c r="B302" t="s">
        <v>1959</v>
      </c>
      <c r="C302">
        <v>7</v>
      </c>
      <c r="D302" t="s">
        <v>2487</v>
      </c>
      <c r="E302">
        <v>99</v>
      </c>
      <c r="G302" s="90" t="s">
        <v>2488</v>
      </c>
      <c r="I302">
        <v>25720</v>
      </c>
      <c r="J302" s="80" t="s">
        <v>2471</v>
      </c>
      <c r="K302" t="s">
        <v>767</v>
      </c>
      <c r="L302">
        <v>9002</v>
      </c>
      <c r="M302" t="s">
        <v>2489</v>
      </c>
      <c r="O302">
        <v>0.6</v>
      </c>
      <c r="P302" s="80" t="s">
        <v>2472</v>
      </c>
      <c r="Q302" t="s">
        <v>769</v>
      </c>
      <c r="R302">
        <v>9012</v>
      </c>
      <c r="S302">
        <v>6</v>
      </c>
      <c r="U302">
        <v>0.3</v>
      </c>
      <c r="V302">
        <v>70001</v>
      </c>
      <c r="W302">
        <v>2</v>
      </c>
      <c r="X302">
        <v>1</v>
      </c>
      <c r="Y302">
        <v>70002</v>
      </c>
      <c r="Z302">
        <v>2</v>
      </c>
      <c r="AA302">
        <v>1</v>
      </c>
      <c r="AB302">
        <v>1001</v>
      </c>
      <c r="AC302">
        <v>100</v>
      </c>
      <c r="AD302">
        <v>1</v>
      </c>
      <c r="AE302">
        <v>8000</v>
      </c>
      <c r="AF302">
        <v>3150</v>
      </c>
      <c r="AG302">
        <v>1</v>
      </c>
    </row>
    <row r="303" spans="1:33" ht="38.25" customHeight="1">
      <c r="A303">
        <v>1197</v>
      </c>
      <c r="B303" t="s">
        <v>1959</v>
      </c>
      <c r="C303">
        <v>7</v>
      </c>
      <c r="D303" t="s">
        <v>2490</v>
      </c>
      <c r="E303">
        <v>99</v>
      </c>
      <c r="G303" s="90" t="s">
        <v>2491</v>
      </c>
      <c r="I303">
        <v>25845</v>
      </c>
      <c r="J303" s="80" t="s">
        <v>2471</v>
      </c>
      <c r="K303" t="s">
        <v>767</v>
      </c>
      <c r="L303">
        <v>9002</v>
      </c>
      <c r="M303" t="s">
        <v>1870</v>
      </c>
      <c r="O303">
        <v>0.6</v>
      </c>
      <c r="P303" s="80" t="s">
        <v>2472</v>
      </c>
      <c r="Q303" t="s">
        <v>769</v>
      </c>
      <c r="R303">
        <v>9008</v>
      </c>
      <c r="S303" t="s">
        <v>2279</v>
      </c>
      <c r="U303">
        <v>0.2</v>
      </c>
      <c r="V303">
        <v>70001</v>
      </c>
      <c r="W303">
        <v>2</v>
      </c>
      <c r="X303">
        <v>1</v>
      </c>
      <c r="Y303">
        <v>70002</v>
      </c>
      <c r="Z303">
        <v>2</v>
      </c>
      <c r="AA303">
        <v>1</v>
      </c>
      <c r="AB303">
        <v>1001</v>
      </c>
      <c r="AC303">
        <v>100</v>
      </c>
      <c r="AD303">
        <v>1</v>
      </c>
      <c r="AE303">
        <v>8000</v>
      </c>
      <c r="AF303">
        <v>3150</v>
      </c>
      <c r="AG303">
        <v>1</v>
      </c>
    </row>
    <row r="304" spans="1:33" ht="38.25" customHeight="1">
      <c r="A304">
        <v>1198</v>
      </c>
      <c r="B304" t="s">
        <v>1959</v>
      </c>
      <c r="C304">
        <v>7</v>
      </c>
      <c r="D304" t="s">
        <v>2492</v>
      </c>
      <c r="E304">
        <v>100</v>
      </c>
      <c r="G304" s="90" t="s">
        <v>2493</v>
      </c>
      <c r="I304">
        <v>25970</v>
      </c>
      <c r="J304" s="80" t="s">
        <v>2471</v>
      </c>
      <c r="K304" t="s">
        <v>767</v>
      </c>
      <c r="L304">
        <v>9012</v>
      </c>
      <c r="M304" t="s">
        <v>1900</v>
      </c>
      <c r="O304">
        <v>0.3</v>
      </c>
      <c r="P304" s="80" t="s">
        <v>2472</v>
      </c>
      <c r="Q304" t="s">
        <v>769</v>
      </c>
      <c r="R304">
        <v>9007</v>
      </c>
      <c r="S304" t="s">
        <v>2232</v>
      </c>
      <c r="U304">
        <v>0.4</v>
      </c>
      <c r="V304">
        <v>70001</v>
      </c>
      <c r="W304">
        <v>2</v>
      </c>
      <c r="X304">
        <v>1</v>
      </c>
      <c r="Y304">
        <v>70002</v>
      </c>
      <c r="Z304">
        <v>2</v>
      </c>
      <c r="AA304">
        <v>1</v>
      </c>
      <c r="AB304">
        <v>1001</v>
      </c>
      <c r="AC304">
        <v>100</v>
      </c>
      <c r="AD304">
        <v>1</v>
      </c>
      <c r="AE304">
        <v>8000</v>
      </c>
      <c r="AF304">
        <v>3200</v>
      </c>
      <c r="AG304">
        <v>1</v>
      </c>
    </row>
    <row r="305" spans="1:33" ht="38.25" customHeight="1">
      <c r="A305">
        <v>1199</v>
      </c>
      <c r="B305" t="s">
        <v>1959</v>
      </c>
      <c r="C305">
        <v>7</v>
      </c>
      <c r="D305" t="s">
        <v>2494</v>
      </c>
      <c r="E305">
        <v>100</v>
      </c>
      <c r="G305" s="90" t="s">
        <v>2495</v>
      </c>
      <c r="I305">
        <v>26095</v>
      </c>
      <c r="J305" s="80" t="s">
        <v>2471</v>
      </c>
      <c r="K305" t="s">
        <v>767</v>
      </c>
      <c r="L305">
        <v>9012</v>
      </c>
      <c r="M305" t="s">
        <v>1777</v>
      </c>
      <c r="O305">
        <v>0.7</v>
      </c>
      <c r="P305" s="80" t="s">
        <v>2472</v>
      </c>
      <c r="Q305" t="s">
        <v>769</v>
      </c>
      <c r="R305">
        <v>9008</v>
      </c>
      <c r="S305" t="s">
        <v>1858</v>
      </c>
      <c r="U305">
        <v>0.8</v>
      </c>
      <c r="V305">
        <v>70001</v>
      </c>
      <c r="W305">
        <v>2</v>
      </c>
      <c r="X305">
        <v>1</v>
      </c>
      <c r="Y305">
        <v>70002</v>
      </c>
      <c r="Z305">
        <v>2</v>
      </c>
      <c r="AA305">
        <v>1</v>
      </c>
      <c r="AB305">
        <v>1001</v>
      </c>
      <c r="AC305">
        <v>100</v>
      </c>
      <c r="AD305">
        <v>1</v>
      </c>
      <c r="AE305">
        <v>8000</v>
      </c>
      <c r="AF305">
        <v>3200</v>
      </c>
      <c r="AG305">
        <v>1</v>
      </c>
    </row>
    <row r="306" spans="1:33" ht="38.25" customHeight="1">
      <c r="A306">
        <v>1200</v>
      </c>
      <c r="B306" t="s">
        <v>1959</v>
      </c>
      <c r="C306">
        <v>7</v>
      </c>
      <c r="D306" t="s">
        <v>2496</v>
      </c>
      <c r="E306">
        <v>101</v>
      </c>
      <c r="G306" s="90" t="s">
        <v>2497</v>
      </c>
      <c r="I306">
        <v>26220</v>
      </c>
      <c r="J306" s="80" t="s">
        <v>2471</v>
      </c>
      <c r="K306" t="s">
        <v>767</v>
      </c>
      <c r="L306">
        <v>9011</v>
      </c>
      <c r="M306" t="s">
        <v>2441</v>
      </c>
      <c r="O306">
        <v>0.6</v>
      </c>
      <c r="P306" s="80" t="s">
        <v>2472</v>
      </c>
      <c r="Q306" t="s">
        <v>769</v>
      </c>
      <c r="R306">
        <v>9003</v>
      </c>
      <c r="S306" t="s">
        <v>2498</v>
      </c>
      <c r="U306">
        <v>0.6</v>
      </c>
      <c r="V306">
        <v>70001</v>
      </c>
      <c r="W306">
        <v>2</v>
      </c>
      <c r="X306">
        <v>1</v>
      </c>
      <c r="Y306">
        <v>70002</v>
      </c>
      <c r="Z306">
        <v>2</v>
      </c>
      <c r="AA306">
        <v>1</v>
      </c>
      <c r="AB306">
        <v>1001</v>
      </c>
      <c r="AC306">
        <v>100</v>
      </c>
      <c r="AD306">
        <v>1</v>
      </c>
      <c r="AE306">
        <v>8000</v>
      </c>
      <c r="AF306">
        <v>3200</v>
      </c>
      <c r="AG306">
        <v>1</v>
      </c>
    </row>
    <row r="307" spans="1:33" ht="38.25" customHeight="1">
      <c r="A307">
        <v>1201</v>
      </c>
      <c r="B307" t="s">
        <v>1959</v>
      </c>
      <c r="C307">
        <v>7</v>
      </c>
      <c r="D307" t="s">
        <v>2499</v>
      </c>
      <c r="E307">
        <v>101</v>
      </c>
      <c r="G307" s="90" t="s">
        <v>2500</v>
      </c>
      <c r="I307">
        <v>26345</v>
      </c>
      <c r="J307" s="80" t="s">
        <v>2471</v>
      </c>
      <c r="K307" t="s">
        <v>767</v>
      </c>
      <c r="L307">
        <v>9006</v>
      </c>
      <c r="M307" t="s">
        <v>1858</v>
      </c>
      <c r="O307">
        <v>0.3</v>
      </c>
      <c r="P307" s="80" t="s">
        <v>2472</v>
      </c>
      <c r="Q307" t="s">
        <v>769</v>
      </c>
      <c r="R307">
        <v>9010</v>
      </c>
      <c r="S307" t="s">
        <v>1781</v>
      </c>
      <c r="U307">
        <v>0.4</v>
      </c>
      <c r="V307">
        <v>70001</v>
      </c>
      <c r="W307">
        <v>2</v>
      </c>
      <c r="X307">
        <v>1</v>
      </c>
      <c r="Y307">
        <v>70002</v>
      </c>
      <c r="Z307">
        <v>2</v>
      </c>
      <c r="AA307">
        <v>1</v>
      </c>
      <c r="AB307">
        <v>1001</v>
      </c>
      <c r="AC307">
        <v>100</v>
      </c>
      <c r="AD307">
        <v>1</v>
      </c>
      <c r="AE307">
        <v>8000</v>
      </c>
      <c r="AF307">
        <v>3250</v>
      </c>
      <c r="AG307">
        <v>1</v>
      </c>
    </row>
    <row r="308" spans="1:33" ht="38.25" customHeight="1">
      <c r="A308">
        <v>1202</v>
      </c>
      <c r="B308" t="s">
        <v>1959</v>
      </c>
      <c r="C308">
        <v>7</v>
      </c>
      <c r="D308" t="s">
        <v>2501</v>
      </c>
      <c r="E308">
        <v>102</v>
      </c>
      <c r="G308" s="90" t="s">
        <v>2502</v>
      </c>
      <c r="I308">
        <v>26470</v>
      </c>
      <c r="J308" s="80" t="s">
        <v>2471</v>
      </c>
      <c r="K308" t="s">
        <v>767</v>
      </c>
      <c r="L308">
        <v>9001</v>
      </c>
      <c r="M308" t="s">
        <v>2503</v>
      </c>
      <c r="O308">
        <v>0.7</v>
      </c>
      <c r="P308" s="80" t="s">
        <v>2472</v>
      </c>
      <c r="Q308" t="s">
        <v>769</v>
      </c>
      <c r="R308">
        <v>9004</v>
      </c>
      <c r="S308" t="s">
        <v>1759</v>
      </c>
      <c r="U308">
        <v>0.1</v>
      </c>
      <c r="V308">
        <v>70001</v>
      </c>
      <c r="W308">
        <v>2</v>
      </c>
      <c r="X308">
        <v>1</v>
      </c>
      <c r="Y308">
        <v>70002</v>
      </c>
      <c r="Z308">
        <v>2</v>
      </c>
      <c r="AA308">
        <v>1</v>
      </c>
      <c r="AB308">
        <v>1001</v>
      </c>
      <c r="AC308">
        <v>100</v>
      </c>
      <c r="AD308">
        <v>1</v>
      </c>
      <c r="AE308">
        <v>8000</v>
      </c>
      <c r="AF308">
        <v>3250</v>
      </c>
      <c r="AG308">
        <v>1</v>
      </c>
    </row>
    <row r="309" spans="1:33" ht="38.25" customHeight="1">
      <c r="A309">
        <v>1203</v>
      </c>
      <c r="B309" t="s">
        <v>1959</v>
      </c>
      <c r="C309">
        <v>7</v>
      </c>
      <c r="D309" t="s">
        <v>2504</v>
      </c>
      <c r="E309">
        <v>102</v>
      </c>
      <c r="G309" s="90" t="s">
        <v>2505</v>
      </c>
      <c r="I309">
        <v>26595</v>
      </c>
      <c r="J309" s="80" t="s">
        <v>2471</v>
      </c>
      <c r="K309" t="s">
        <v>767</v>
      </c>
      <c r="L309">
        <v>9005</v>
      </c>
      <c r="M309">
        <v>5</v>
      </c>
      <c r="O309">
        <v>0.9</v>
      </c>
      <c r="P309" s="80" t="s">
        <v>2472</v>
      </c>
      <c r="Q309" t="s">
        <v>769</v>
      </c>
      <c r="R309">
        <v>9008</v>
      </c>
      <c r="S309" t="s">
        <v>1769</v>
      </c>
      <c r="U309">
        <v>0.4</v>
      </c>
      <c r="V309">
        <v>70001</v>
      </c>
      <c r="W309">
        <v>2</v>
      </c>
      <c r="X309">
        <v>1</v>
      </c>
      <c r="Y309">
        <v>70002</v>
      </c>
      <c r="Z309">
        <v>2</v>
      </c>
      <c r="AA309">
        <v>1</v>
      </c>
      <c r="AB309">
        <v>1001</v>
      </c>
      <c r="AC309">
        <v>100</v>
      </c>
      <c r="AD309">
        <v>1</v>
      </c>
      <c r="AE309">
        <v>8000</v>
      </c>
      <c r="AF309">
        <v>3300</v>
      </c>
      <c r="AG309">
        <v>1</v>
      </c>
    </row>
    <row r="310" spans="1:33" ht="38.25" customHeight="1">
      <c r="A310">
        <v>1204</v>
      </c>
      <c r="B310" t="s">
        <v>1959</v>
      </c>
      <c r="C310">
        <v>7</v>
      </c>
      <c r="D310" t="s">
        <v>2506</v>
      </c>
      <c r="E310">
        <v>103</v>
      </c>
      <c r="G310" s="90" t="s">
        <v>2507</v>
      </c>
      <c r="I310">
        <v>26720</v>
      </c>
      <c r="J310" s="80" t="s">
        <v>2471</v>
      </c>
      <c r="K310" t="s">
        <v>767</v>
      </c>
      <c r="L310">
        <v>9005</v>
      </c>
      <c r="M310" t="s">
        <v>1787</v>
      </c>
      <c r="O310">
        <v>0.9</v>
      </c>
      <c r="P310" s="80" t="s">
        <v>2472</v>
      </c>
      <c r="Q310" t="s">
        <v>769</v>
      </c>
      <c r="R310">
        <v>9012</v>
      </c>
      <c r="S310" t="s">
        <v>2050</v>
      </c>
      <c r="U310">
        <v>0.4</v>
      </c>
      <c r="V310">
        <v>70001</v>
      </c>
      <c r="W310">
        <v>2</v>
      </c>
      <c r="X310">
        <v>1</v>
      </c>
      <c r="Y310">
        <v>70002</v>
      </c>
      <c r="Z310">
        <v>2</v>
      </c>
      <c r="AA310">
        <v>1</v>
      </c>
      <c r="AB310">
        <v>1001</v>
      </c>
      <c r="AC310">
        <v>100</v>
      </c>
      <c r="AD310">
        <v>1</v>
      </c>
      <c r="AE310">
        <v>8000</v>
      </c>
      <c r="AF310">
        <v>3300</v>
      </c>
      <c r="AG310">
        <v>1</v>
      </c>
    </row>
    <row r="311" spans="1:33" ht="38.25" customHeight="1">
      <c r="A311">
        <v>1205</v>
      </c>
      <c r="B311" t="s">
        <v>1959</v>
      </c>
      <c r="C311">
        <v>7</v>
      </c>
      <c r="D311" t="s">
        <v>2508</v>
      </c>
      <c r="E311">
        <v>103</v>
      </c>
      <c r="G311" s="90" t="s">
        <v>2509</v>
      </c>
      <c r="I311">
        <v>26845</v>
      </c>
      <c r="J311" s="80" t="s">
        <v>2471</v>
      </c>
      <c r="K311" t="s">
        <v>767</v>
      </c>
      <c r="L311">
        <v>9011</v>
      </c>
      <c r="M311">
        <v>13</v>
      </c>
      <c r="O311">
        <v>1</v>
      </c>
      <c r="P311" s="80" t="s">
        <v>2472</v>
      </c>
      <c r="Q311" t="s">
        <v>769</v>
      </c>
      <c r="R311">
        <v>9010</v>
      </c>
      <c r="S311">
        <v>2</v>
      </c>
      <c r="U311">
        <v>0.8</v>
      </c>
      <c r="V311">
        <v>70001</v>
      </c>
      <c r="W311">
        <v>2</v>
      </c>
      <c r="X311">
        <v>1</v>
      </c>
      <c r="Y311">
        <v>70002</v>
      </c>
      <c r="Z311">
        <v>2</v>
      </c>
      <c r="AA311">
        <v>1</v>
      </c>
      <c r="AB311">
        <v>1001</v>
      </c>
      <c r="AC311">
        <v>100</v>
      </c>
      <c r="AD311">
        <v>1</v>
      </c>
      <c r="AE311">
        <v>8000</v>
      </c>
      <c r="AF311">
        <v>3350</v>
      </c>
      <c r="AG311">
        <v>1</v>
      </c>
    </row>
    <row r="312" spans="1:33" ht="38.25" customHeight="1">
      <c r="A312">
        <v>1206</v>
      </c>
      <c r="B312" t="s">
        <v>1959</v>
      </c>
      <c r="C312">
        <v>7</v>
      </c>
      <c r="D312" t="s">
        <v>2510</v>
      </c>
      <c r="E312">
        <v>104</v>
      </c>
      <c r="G312" s="90" t="s">
        <v>2511</v>
      </c>
      <c r="I312">
        <v>26970</v>
      </c>
      <c r="J312" s="80" t="s">
        <v>2471</v>
      </c>
      <c r="K312" t="s">
        <v>767</v>
      </c>
      <c r="L312">
        <v>9002</v>
      </c>
      <c r="M312">
        <v>12</v>
      </c>
      <c r="O312">
        <v>0.2</v>
      </c>
      <c r="P312" s="80" t="s">
        <v>2472</v>
      </c>
      <c r="Q312" t="s">
        <v>769</v>
      </c>
      <c r="R312">
        <v>9007</v>
      </c>
      <c r="S312" t="s">
        <v>2149</v>
      </c>
      <c r="U312">
        <v>0.6</v>
      </c>
      <c r="V312">
        <v>70001</v>
      </c>
      <c r="W312">
        <v>2</v>
      </c>
      <c r="X312">
        <v>1</v>
      </c>
      <c r="Y312">
        <v>70002</v>
      </c>
      <c r="Z312">
        <v>2</v>
      </c>
      <c r="AA312">
        <v>1</v>
      </c>
      <c r="AB312">
        <v>1001</v>
      </c>
      <c r="AC312">
        <v>100</v>
      </c>
      <c r="AD312">
        <v>1</v>
      </c>
      <c r="AE312">
        <v>8000</v>
      </c>
      <c r="AF312">
        <v>3350</v>
      </c>
      <c r="AG312">
        <v>1</v>
      </c>
    </row>
    <row r="313" spans="1:33" ht="38.25" customHeight="1">
      <c r="A313">
        <v>1207</v>
      </c>
      <c r="B313" t="s">
        <v>1959</v>
      </c>
      <c r="C313">
        <v>7</v>
      </c>
      <c r="D313" t="s">
        <v>2512</v>
      </c>
      <c r="E313">
        <v>104</v>
      </c>
      <c r="G313" s="90" t="s">
        <v>2513</v>
      </c>
      <c r="I313">
        <v>27095</v>
      </c>
      <c r="J313" s="80" t="s">
        <v>2471</v>
      </c>
      <c r="K313" t="s">
        <v>767</v>
      </c>
      <c r="L313">
        <v>9008</v>
      </c>
      <c r="M313" t="s">
        <v>1812</v>
      </c>
      <c r="O313">
        <v>0.3</v>
      </c>
      <c r="P313" s="80" t="s">
        <v>2472</v>
      </c>
      <c r="Q313" t="s">
        <v>769</v>
      </c>
      <c r="R313">
        <v>9004</v>
      </c>
      <c r="S313" t="s">
        <v>2514</v>
      </c>
      <c r="U313">
        <v>0.8</v>
      </c>
      <c r="V313">
        <v>70001</v>
      </c>
      <c r="W313">
        <v>2</v>
      </c>
      <c r="X313">
        <v>1</v>
      </c>
      <c r="Y313">
        <v>70002</v>
      </c>
      <c r="Z313">
        <v>2</v>
      </c>
      <c r="AA313">
        <v>1</v>
      </c>
      <c r="AB313">
        <v>1001</v>
      </c>
      <c r="AC313">
        <v>100</v>
      </c>
      <c r="AD313">
        <v>1</v>
      </c>
      <c r="AE313">
        <v>8000</v>
      </c>
      <c r="AF313">
        <v>3350</v>
      </c>
      <c r="AG313">
        <v>1</v>
      </c>
    </row>
    <row r="314" spans="1:33" ht="38.25" customHeight="1">
      <c r="A314">
        <v>1208</v>
      </c>
      <c r="B314" t="s">
        <v>1959</v>
      </c>
      <c r="C314">
        <v>7</v>
      </c>
      <c r="D314" t="s">
        <v>2515</v>
      </c>
      <c r="E314">
        <v>105</v>
      </c>
      <c r="G314" s="90" t="s">
        <v>2516</v>
      </c>
      <c r="I314">
        <v>27220</v>
      </c>
      <c r="J314" s="80" t="s">
        <v>2471</v>
      </c>
      <c r="K314" t="s">
        <v>767</v>
      </c>
      <c r="L314">
        <v>9012</v>
      </c>
      <c r="M314">
        <v>8</v>
      </c>
      <c r="O314">
        <v>0.7</v>
      </c>
      <c r="P314" s="80" t="s">
        <v>2472</v>
      </c>
      <c r="Q314" t="s">
        <v>769</v>
      </c>
      <c r="R314">
        <v>9004</v>
      </c>
      <c r="S314" t="s">
        <v>1768</v>
      </c>
      <c r="U314">
        <v>0.7</v>
      </c>
      <c r="V314">
        <v>70001</v>
      </c>
      <c r="W314">
        <v>2</v>
      </c>
      <c r="X314">
        <v>1</v>
      </c>
      <c r="Y314">
        <v>70002</v>
      </c>
      <c r="Z314">
        <v>2</v>
      </c>
      <c r="AA314">
        <v>1</v>
      </c>
      <c r="AB314">
        <v>1001</v>
      </c>
      <c r="AC314">
        <v>100</v>
      </c>
      <c r="AD314">
        <v>1</v>
      </c>
      <c r="AE314">
        <v>8000</v>
      </c>
      <c r="AF314">
        <v>3400</v>
      </c>
      <c r="AG314">
        <v>1</v>
      </c>
    </row>
    <row r="315" spans="1:33" ht="38.25" customHeight="1">
      <c r="A315">
        <v>1209</v>
      </c>
      <c r="B315" t="s">
        <v>1959</v>
      </c>
      <c r="C315">
        <v>7</v>
      </c>
      <c r="D315" t="s">
        <v>2517</v>
      </c>
      <c r="E315">
        <v>105</v>
      </c>
      <c r="G315" s="90" t="s">
        <v>2518</v>
      </c>
      <c r="I315">
        <v>27345</v>
      </c>
      <c r="J315" s="80" t="s">
        <v>2471</v>
      </c>
      <c r="K315" t="s">
        <v>767</v>
      </c>
      <c r="L315">
        <v>9012</v>
      </c>
      <c r="M315" t="s">
        <v>1659</v>
      </c>
      <c r="O315">
        <v>0.8</v>
      </c>
      <c r="P315" s="80" t="s">
        <v>2472</v>
      </c>
      <c r="Q315" t="s">
        <v>769</v>
      </c>
      <c r="R315">
        <v>9011</v>
      </c>
      <c r="S315">
        <v>2</v>
      </c>
      <c r="U315">
        <v>0.7</v>
      </c>
      <c r="V315">
        <v>70001</v>
      </c>
      <c r="W315">
        <v>2</v>
      </c>
      <c r="X315">
        <v>1</v>
      </c>
      <c r="Y315">
        <v>70002</v>
      </c>
      <c r="Z315">
        <v>2</v>
      </c>
      <c r="AA315">
        <v>1</v>
      </c>
      <c r="AB315">
        <v>1001</v>
      </c>
      <c r="AC315">
        <v>500</v>
      </c>
      <c r="AD315">
        <v>1</v>
      </c>
      <c r="AE315">
        <v>8000</v>
      </c>
      <c r="AF315">
        <v>3400</v>
      </c>
      <c r="AG315">
        <v>1</v>
      </c>
    </row>
    <row r="316" spans="1:33" ht="38.25" customHeight="1">
      <c r="A316">
        <v>1210</v>
      </c>
      <c r="B316" t="s">
        <v>1959</v>
      </c>
      <c r="C316">
        <v>7</v>
      </c>
      <c r="D316" t="s">
        <v>2519</v>
      </c>
      <c r="E316">
        <v>106</v>
      </c>
      <c r="G316" s="90" t="s">
        <v>2520</v>
      </c>
      <c r="I316">
        <v>27470</v>
      </c>
      <c r="J316" s="80" t="s">
        <v>2471</v>
      </c>
      <c r="K316" t="s">
        <v>767</v>
      </c>
      <c r="L316">
        <v>9011</v>
      </c>
      <c r="M316" t="s">
        <v>2521</v>
      </c>
      <c r="O316">
        <v>0.3</v>
      </c>
      <c r="P316" s="80" t="s">
        <v>2472</v>
      </c>
      <c r="Q316" t="s">
        <v>769</v>
      </c>
      <c r="R316">
        <v>9007</v>
      </c>
      <c r="S316">
        <v>9</v>
      </c>
      <c r="U316">
        <v>0.4</v>
      </c>
      <c r="V316">
        <v>70001</v>
      </c>
      <c r="W316">
        <v>2</v>
      </c>
      <c r="X316">
        <v>1</v>
      </c>
      <c r="Y316">
        <v>70002</v>
      </c>
      <c r="Z316">
        <v>2</v>
      </c>
      <c r="AA316">
        <v>1</v>
      </c>
      <c r="AB316">
        <v>1001</v>
      </c>
      <c r="AC316">
        <v>100</v>
      </c>
      <c r="AD316">
        <v>1</v>
      </c>
      <c r="AE316">
        <v>8000</v>
      </c>
      <c r="AF316">
        <v>3450</v>
      </c>
      <c r="AG316">
        <v>1</v>
      </c>
    </row>
    <row r="317" spans="1:33" ht="38.25" customHeight="1">
      <c r="A317">
        <v>1211</v>
      </c>
      <c r="B317" t="s">
        <v>1959</v>
      </c>
      <c r="C317">
        <v>7</v>
      </c>
      <c r="D317" t="s">
        <v>2522</v>
      </c>
      <c r="E317">
        <v>106</v>
      </c>
      <c r="G317" s="90" t="s">
        <v>2523</v>
      </c>
      <c r="I317">
        <v>27595</v>
      </c>
      <c r="J317" s="80" t="s">
        <v>2471</v>
      </c>
      <c r="K317" t="s">
        <v>767</v>
      </c>
      <c r="L317">
        <v>9002</v>
      </c>
      <c r="M317" t="s">
        <v>2177</v>
      </c>
      <c r="O317">
        <v>0.2</v>
      </c>
      <c r="P317" s="80" t="s">
        <v>2472</v>
      </c>
      <c r="Q317" t="s">
        <v>769</v>
      </c>
      <c r="R317">
        <v>9003</v>
      </c>
      <c r="S317" t="s">
        <v>1824</v>
      </c>
      <c r="U317">
        <v>0.3</v>
      </c>
      <c r="V317">
        <v>70001</v>
      </c>
      <c r="W317">
        <v>2</v>
      </c>
      <c r="X317">
        <v>1</v>
      </c>
      <c r="Y317">
        <v>70002</v>
      </c>
      <c r="Z317">
        <v>2</v>
      </c>
      <c r="AA317">
        <v>1</v>
      </c>
      <c r="AB317">
        <v>1001</v>
      </c>
      <c r="AC317">
        <v>100</v>
      </c>
      <c r="AD317">
        <v>1</v>
      </c>
      <c r="AE317">
        <v>8000</v>
      </c>
      <c r="AF317">
        <v>3450</v>
      </c>
      <c r="AG317">
        <v>1</v>
      </c>
    </row>
    <row r="318" spans="1:33" ht="38.25" customHeight="1">
      <c r="A318">
        <v>1212</v>
      </c>
      <c r="B318" t="s">
        <v>1959</v>
      </c>
      <c r="C318">
        <v>7</v>
      </c>
      <c r="D318" t="s">
        <v>2524</v>
      </c>
      <c r="E318">
        <v>107</v>
      </c>
      <c r="G318" s="90" t="s">
        <v>2525</v>
      </c>
      <c r="I318">
        <v>27720</v>
      </c>
      <c r="J318" s="80" t="s">
        <v>2471</v>
      </c>
      <c r="K318" t="s">
        <v>767</v>
      </c>
      <c r="L318">
        <v>9012</v>
      </c>
      <c r="M318" t="s">
        <v>2191</v>
      </c>
      <c r="O318">
        <v>0.9</v>
      </c>
      <c r="P318" s="80" t="s">
        <v>2472</v>
      </c>
      <c r="Q318" t="s">
        <v>769</v>
      </c>
      <c r="R318">
        <v>9008</v>
      </c>
      <c r="S318" t="s">
        <v>2526</v>
      </c>
      <c r="U318">
        <v>0.9</v>
      </c>
      <c r="V318">
        <v>70001</v>
      </c>
      <c r="W318">
        <v>2</v>
      </c>
      <c r="X318">
        <v>1</v>
      </c>
      <c r="Y318">
        <v>70002</v>
      </c>
      <c r="Z318">
        <v>2</v>
      </c>
      <c r="AA318">
        <v>1</v>
      </c>
      <c r="AB318">
        <v>1001</v>
      </c>
      <c r="AC318">
        <v>100</v>
      </c>
      <c r="AD318">
        <v>1</v>
      </c>
      <c r="AE318">
        <v>8000</v>
      </c>
      <c r="AF318">
        <v>3500</v>
      </c>
      <c r="AG318">
        <v>1</v>
      </c>
    </row>
    <row r="319" spans="1:33" ht="38.25" customHeight="1">
      <c r="A319">
        <v>1213</v>
      </c>
      <c r="B319" t="s">
        <v>1959</v>
      </c>
      <c r="C319">
        <v>7</v>
      </c>
      <c r="D319" t="s">
        <v>2527</v>
      </c>
      <c r="E319">
        <v>107</v>
      </c>
      <c r="G319" s="90" t="s">
        <v>2528</v>
      </c>
      <c r="I319">
        <v>27845</v>
      </c>
      <c r="J319" s="80" t="s">
        <v>2471</v>
      </c>
      <c r="K319" t="s">
        <v>767</v>
      </c>
      <c r="L319">
        <v>9011</v>
      </c>
      <c r="M319">
        <v>12</v>
      </c>
      <c r="O319">
        <v>0.6</v>
      </c>
      <c r="P319" s="80" t="s">
        <v>2472</v>
      </c>
      <c r="Q319" t="s">
        <v>769</v>
      </c>
      <c r="R319">
        <v>9011</v>
      </c>
      <c r="S319" t="s">
        <v>1734</v>
      </c>
      <c r="U319">
        <v>0.8</v>
      </c>
      <c r="V319">
        <v>70001</v>
      </c>
      <c r="W319">
        <v>2</v>
      </c>
      <c r="X319">
        <v>1</v>
      </c>
      <c r="Y319">
        <v>70002</v>
      </c>
      <c r="Z319">
        <v>2</v>
      </c>
      <c r="AA319">
        <v>1</v>
      </c>
      <c r="AB319">
        <v>1001</v>
      </c>
      <c r="AC319">
        <v>100</v>
      </c>
      <c r="AD319">
        <v>1</v>
      </c>
      <c r="AE319">
        <v>8000</v>
      </c>
      <c r="AF319">
        <v>3500</v>
      </c>
      <c r="AG319">
        <v>1</v>
      </c>
    </row>
    <row r="320" spans="1:33" ht="38.25" customHeight="1">
      <c r="A320">
        <v>1214</v>
      </c>
      <c r="B320" t="s">
        <v>1959</v>
      </c>
      <c r="C320">
        <v>7</v>
      </c>
      <c r="D320" t="s">
        <v>2529</v>
      </c>
      <c r="E320">
        <v>108</v>
      </c>
      <c r="G320" s="90" t="s">
        <v>2530</v>
      </c>
      <c r="I320">
        <v>27970</v>
      </c>
      <c r="J320" s="80" t="s">
        <v>2471</v>
      </c>
      <c r="K320" t="s">
        <v>767</v>
      </c>
      <c r="L320">
        <v>9006</v>
      </c>
      <c r="M320" t="s">
        <v>2454</v>
      </c>
      <c r="O320">
        <v>0.5</v>
      </c>
      <c r="P320" s="80" t="s">
        <v>2472</v>
      </c>
      <c r="Q320" t="s">
        <v>769</v>
      </c>
      <c r="R320">
        <v>9012</v>
      </c>
      <c r="S320" t="s">
        <v>1978</v>
      </c>
      <c r="U320">
        <v>0.9</v>
      </c>
      <c r="V320">
        <v>70001</v>
      </c>
      <c r="W320">
        <v>2</v>
      </c>
      <c r="X320">
        <v>1</v>
      </c>
      <c r="Y320">
        <v>70002</v>
      </c>
      <c r="Z320">
        <v>2</v>
      </c>
      <c r="AA320">
        <v>1</v>
      </c>
      <c r="AB320">
        <v>1001</v>
      </c>
      <c r="AC320">
        <v>100</v>
      </c>
      <c r="AD320">
        <v>1</v>
      </c>
      <c r="AE320">
        <v>8000</v>
      </c>
      <c r="AF320">
        <v>3500</v>
      </c>
      <c r="AG320">
        <v>1</v>
      </c>
    </row>
    <row r="321" spans="1:33" ht="38.25" customHeight="1">
      <c r="A321">
        <v>1215</v>
      </c>
      <c r="B321" t="s">
        <v>1959</v>
      </c>
      <c r="C321">
        <v>7</v>
      </c>
      <c r="D321" t="s">
        <v>2531</v>
      </c>
      <c r="E321">
        <v>108</v>
      </c>
      <c r="G321" s="90" t="s">
        <v>2532</v>
      </c>
      <c r="I321">
        <v>28095</v>
      </c>
      <c r="J321" s="80" t="s">
        <v>2471</v>
      </c>
      <c r="K321" t="s">
        <v>767</v>
      </c>
      <c r="L321">
        <v>9011</v>
      </c>
      <c r="M321">
        <v>3</v>
      </c>
      <c r="O321">
        <v>0.2</v>
      </c>
      <c r="P321" s="80" t="s">
        <v>2472</v>
      </c>
      <c r="Q321" t="s">
        <v>769</v>
      </c>
      <c r="R321">
        <v>9011</v>
      </c>
      <c r="S321" t="s">
        <v>1893</v>
      </c>
      <c r="U321">
        <v>0.9</v>
      </c>
      <c r="V321">
        <v>70001</v>
      </c>
      <c r="W321">
        <v>2</v>
      </c>
      <c r="X321">
        <v>1</v>
      </c>
      <c r="Y321">
        <v>70002</v>
      </c>
      <c r="Z321">
        <v>2</v>
      </c>
      <c r="AA321">
        <v>1</v>
      </c>
      <c r="AB321">
        <v>1001</v>
      </c>
      <c r="AC321">
        <v>100</v>
      </c>
      <c r="AD321">
        <v>1</v>
      </c>
      <c r="AE321">
        <v>8000</v>
      </c>
      <c r="AF321">
        <v>3550</v>
      </c>
      <c r="AG321">
        <v>1</v>
      </c>
    </row>
    <row r="322" spans="1:33" ht="38.25" customHeight="1">
      <c r="A322">
        <v>1216</v>
      </c>
      <c r="B322" t="s">
        <v>1959</v>
      </c>
      <c r="C322">
        <v>7</v>
      </c>
      <c r="D322" t="s">
        <v>2533</v>
      </c>
      <c r="E322">
        <v>109</v>
      </c>
      <c r="G322" s="90" t="s">
        <v>2534</v>
      </c>
      <c r="I322">
        <v>28220</v>
      </c>
      <c r="J322" s="80" t="s">
        <v>2471</v>
      </c>
      <c r="K322" t="s">
        <v>767</v>
      </c>
      <c r="L322">
        <v>9011</v>
      </c>
      <c r="M322" t="s">
        <v>1700</v>
      </c>
      <c r="O322">
        <v>0.7</v>
      </c>
      <c r="P322" s="80" t="s">
        <v>2472</v>
      </c>
      <c r="Q322" t="s">
        <v>769</v>
      </c>
      <c r="R322">
        <v>9003</v>
      </c>
      <c r="S322" t="s">
        <v>1791</v>
      </c>
      <c r="U322">
        <v>0.6</v>
      </c>
      <c r="V322">
        <v>70001</v>
      </c>
      <c r="W322">
        <v>2</v>
      </c>
      <c r="X322">
        <v>1</v>
      </c>
      <c r="Y322">
        <v>70002</v>
      </c>
      <c r="Z322">
        <v>2</v>
      </c>
      <c r="AA322">
        <v>1</v>
      </c>
      <c r="AB322">
        <v>1001</v>
      </c>
      <c r="AC322">
        <v>100</v>
      </c>
      <c r="AD322">
        <v>1</v>
      </c>
      <c r="AE322">
        <v>8000</v>
      </c>
      <c r="AF322">
        <v>3550</v>
      </c>
      <c r="AG322">
        <v>1</v>
      </c>
    </row>
    <row r="323" spans="1:33" ht="38.25" customHeight="1">
      <c r="A323">
        <v>1217</v>
      </c>
      <c r="B323" t="s">
        <v>1959</v>
      </c>
      <c r="C323">
        <v>7</v>
      </c>
      <c r="D323" t="s">
        <v>2535</v>
      </c>
      <c r="E323">
        <v>109</v>
      </c>
      <c r="G323" s="90" t="s">
        <v>2536</v>
      </c>
      <c r="I323">
        <v>28345</v>
      </c>
      <c r="J323" s="80" t="s">
        <v>2471</v>
      </c>
      <c r="K323" t="s">
        <v>767</v>
      </c>
      <c r="L323">
        <v>9007</v>
      </c>
      <c r="M323">
        <v>2</v>
      </c>
      <c r="O323">
        <v>0.7</v>
      </c>
      <c r="P323" s="80" t="s">
        <v>2472</v>
      </c>
      <c r="Q323" t="s">
        <v>769</v>
      </c>
      <c r="R323">
        <v>9003</v>
      </c>
      <c r="S323" t="s">
        <v>2537</v>
      </c>
      <c r="U323">
        <v>0.1</v>
      </c>
      <c r="V323">
        <v>70001</v>
      </c>
      <c r="W323">
        <v>2</v>
      </c>
      <c r="X323">
        <v>1</v>
      </c>
      <c r="Y323">
        <v>70002</v>
      </c>
      <c r="Z323">
        <v>2</v>
      </c>
      <c r="AA323">
        <v>1</v>
      </c>
      <c r="AB323">
        <v>1001</v>
      </c>
      <c r="AC323">
        <v>100</v>
      </c>
      <c r="AD323">
        <v>1</v>
      </c>
      <c r="AE323">
        <v>8000</v>
      </c>
      <c r="AF323">
        <v>3600</v>
      </c>
      <c r="AG323">
        <v>1</v>
      </c>
    </row>
    <row r="324" spans="1:33" ht="38.25" customHeight="1">
      <c r="A324">
        <v>1218</v>
      </c>
      <c r="B324" t="s">
        <v>1959</v>
      </c>
      <c r="C324">
        <v>7</v>
      </c>
      <c r="D324" t="s">
        <v>2538</v>
      </c>
      <c r="E324">
        <v>110</v>
      </c>
      <c r="G324" s="90" t="s">
        <v>2539</v>
      </c>
      <c r="I324">
        <v>28470</v>
      </c>
      <c r="J324" s="80" t="s">
        <v>2471</v>
      </c>
      <c r="K324" t="s">
        <v>767</v>
      </c>
      <c r="L324">
        <v>9012</v>
      </c>
      <c r="M324">
        <v>2</v>
      </c>
      <c r="O324">
        <v>0.5</v>
      </c>
      <c r="P324" s="80" t="s">
        <v>2472</v>
      </c>
      <c r="Q324" t="s">
        <v>769</v>
      </c>
      <c r="R324">
        <v>9004</v>
      </c>
      <c r="S324" t="s">
        <v>2055</v>
      </c>
      <c r="U324">
        <v>0.9</v>
      </c>
      <c r="V324">
        <v>70001</v>
      </c>
      <c r="W324">
        <v>2</v>
      </c>
      <c r="X324">
        <v>1</v>
      </c>
      <c r="Y324">
        <v>70002</v>
      </c>
      <c r="Z324">
        <v>2</v>
      </c>
      <c r="AA324">
        <v>1</v>
      </c>
      <c r="AB324">
        <v>1001</v>
      </c>
      <c r="AC324">
        <v>100</v>
      </c>
      <c r="AD324">
        <v>1</v>
      </c>
      <c r="AE324">
        <v>8000</v>
      </c>
      <c r="AF324">
        <v>3600</v>
      </c>
      <c r="AG324">
        <v>1</v>
      </c>
    </row>
    <row r="325" spans="1:33" ht="38.25" customHeight="1">
      <c r="A325">
        <v>1219</v>
      </c>
      <c r="B325" t="s">
        <v>1959</v>
      </c>
      <c r="C325">
        <v>7</v>
      </c>
      <c r="D325" t="s">
        <v>2540</v>
      </c>
      <c r="E325">
        <v>110</v>
      </c>
      <c r="G325" s="90" t="s">
        <v>2541</v>
      </c>
      <c r="I325">
        <v>28595</v>
      </c>
      <c r="J325" s="80" t="s">
        <v>2471</v>
      </c>
      <c r="K325" t="s">
        <v>767</v>
      </c>
      <c r="L325">
        <v>9005</v>
      </c>
      <c r="M325" t="s">
        <v>2542</v>
      </c>
      <c r="O325">
        <v>0.3</v>
      </c>
      <c r="P325" s="80" t="s">
        <v>2472</v>
      </c>
      <c r="Q325" t="s">
        <v>769</v>
      </c>
      <c r="R325">
        <v>9007</v>
      </c>
      <c r="S325" t="s">
        <v>1652</v>
      </c>
      <c r="U325">
        <v>0.3</v>
      </c>
      <c r="V325">
        <v>70001</v>
      </c>
      <c r="W325">
        <v>2</v>
      </c>
      <c r="X325">
        <v>1</v>
      </c>
      <c r="Y325">
        <v>70002</v>
      </c>
      <c r="Z325">
        <v>2</v>
      </c>
      <c r="AA325">
        <v>1</v>
      </c>
      <c r="AB325">
        <v>1001</v>
      </c>
      <c r="AC325">
        <v>100</v>
      </c>
      <c r="AD325">
        <v>1</v>
      </c>
      <c r="AE325">
        <v>8000</v>
      </c>
      <c r="AF325">
        <v>3650</v>
      </c>
      <c r="AG325">
        <v>1</v>
      </c>
    </row>
    <row r="326" spans="1:33" ht="38.25" customHeight="1">
      <c r="A326">
        <v>1220</v>
      </c>
      <c r="B326" t="s">
        <v>1959</v>
      </c>
      <c r="C326">
        <v>7</v>
      </c>
      <c r="D326" t="s">
        <v>2543</v>
      </c>
      <c r="E326">
        <v>111</v>
      </c>
      <c r="G326" s="90" t="s">
        <v>2544</v>
      </c>
      <c r="I326">
        <v>28720</v>
      </c>
      <c r="J326" s="80" t="s">
        <v>2471</v>
      </c>
      <c r="K326" t="s">
        <v>767</v>
      </c>
      <c r="L326">
        <v>9008</v>
      </c>
      <c r="M326" t="s">
        <v>2253</v>
      </c>
      <c r="O326">
        <v>0.9</v>
      </c>
      <c r="P326" s="80" t="s">
        <v>2472</v>
      </c>
      <c r="Q326" t="s">
        <v>769</v>
      </c>
      <c r="R326">
        <v>9010</v>
      </c>
      <c r="S326">
        <v>7</v>
      </c>
      <c r="U326">
        <v>0.8</v>
      </c>
      <c r="V326">
        <v>70001</v>
      </c>
      <c r="W326">
        <v>2</v>
      </c>
      <c r="X326">
        <v>1</v>
      </c>
      <c r="Y326">
        <v>70002</v>
      </c>
      <c r="Z326">
        <v>2</v>
      </c>
      <c r="AA326">
        <v>1</v>
      </c>
      <c r="AB326">
        <v>1001</v>
      </c>
      <c r="AC326">
        <v>100</v>
      </c>
      <c r="AD326">
        <v>1</v>
      </c>
      <c r="AE326">
        <v>8000</v>
      </c>
      <c r="AF326">
        <v>3650</v>
      </c>
      <c r="AG326">
        <v>1</v>
      </c>
    </row>
    <row r="327" spans="1:33" ht="38.25" customHeight="1">
      <c r="A327">
        <v>1221</v>
      </c>
      <c r="B327" t="s">
        <v>1959</v>
      </c>
      <c r="C327">
        <v>7</v>
      </c>
      <c r="D327" t="s">
        <v>2545</v>
      </c>
      <c r="E327">
        <v>111</v>
      </c>
      <c r="G327" s="90" t="s">
        <v>2546</v>
      </c>
      <c r="I327">
        <v>28845</v>
      </c>
      <c r="J327" s="80" t="s">
        <v>2471</v>
      </c>
      <c r="K327" t="s">
        <v>767</v>
      </c>
      <c r="L327">
        <v>9002</v>
      </c>
      <c r="M327" t="s">
        <v>2547</v>
      </c>
      <c r="O327">
        <v>0.7</v>
      </c>
      <c r="P327" s="80" t="s">
        <v>2472</v>
      </c>
      <c r="Q327" t="s">
        <v>769</v>
      </c>
      <c r="R327">
        <v>9012</v>
      </c>
      <c r="S327" t="s">
        <v>1734</v>
      </c>
      <c r="U327">
        <v>0.2</v>
      </c>
      <c r="V327">
        <v>70001</v>
      </c>
      <c r="W327">
        <v>2</v>
      </c>
      <c r="X327">
        <v>1</v>
      </c>
      <c r="Y327">
        <v>70002</v>
      </c>
      <c r="Z327">
        <v>2</v>
      </c>
      <c r="AA327">
        <v>1</v>
      </c>
      <c r="AB327">
        <v>1001</v>
      </c>
      <c r="AC327">
        <v>100</v>
      </c>
      <c r="AD327">
        <v>1</v>
      </c>
      <c r="AE327">
        <v>8000</v>
      </c>
      <c r="AF327">
        <v>3650</v>
      </c>
      <c r="AG327">
        <v>1</v>
      </c>
    </row>
    <row r="328" spans="1:33" ht="38.25" customHeight="1">
      <c r="A328">
        <v>1222</v>
      </c>
      <c r="B328" t="s">
        <v>1959</v>
      </c>
      <c r="C328">
        <v>7</v>
      </c>
      <c r="D328" t="s">
        <v>2548</v>
      </c>
      <c r="E328">
        <v>112</v>
      </c>
      <c r="G328" s="90" t="s">
        <v>2549</v>
      </c>
      <c r="I328">
        <v>28970</v>
      </c>
      <c r="J328" s="80" t="s">
        <v>2471</v>
      </c>
      <c r="K328" t="s">
        <v>767</v>
      </c>
      <c r="L328">
        <v>9011</v>
      </c>
      <c r="M328">
        <v>9</v>
      </c>
      <c r="O328">
        <v>0.6</v>
      </c>
      <c r="P328" s="80" t="s">
        <v>2472</v>
      </c>
      <c r="Q328" t="s">
        <v>769</v>
      </c>
      <c r="R328">
        <v>9004</v>
      </c>
      <c r="S328" t="s">
        <v>2550</v>
      </c>
      <c r="U328">
        <v>0.9</v>
      </c>
      <c r="V328">
        <v>70001</v>
      </c>
      <c r="W328">
        <v>2</v>
      </c>
      <c r="X328">
        <v>1</v>
      </c>
      <c r="Y328">
        <v>70002</v>
      </c>
      <c r="Z328">
        <v>2</v>
      </c>
      <c r="AA328">
        <v>1</v>
      </c>
      <c r="AB328">
        <v>1001</v>
      </c>
      <c r="AC328">
        <v>100</v>
      </c>
      <c r="AD328">
        <v>1</v>
      </c>
      <c r="AE328">
        <v>8000</v>
      </c>
      <c r="AF328">
        <v>3700</v>
      </c>
      <c r="AG328">
        <v>1</v>
      </c>
    </row>
    <row r="329" spans="1:33" ht="38.25" customHeight="1">
      <c r="A329">
        <v>1223</v>
      </c>
      <c r="B329" t="s">
        <v>1959</v>
      </c>
      <c r="C329">
        <v>7</v>
      </c>
      <c r="D329" t="s">
        <v>2551</v>
      </c>
      <c r="E329">
        <v>112</v>
      </c>
      <c r="G329" s="90" t="s">
        <v>2552</v>
      </c>
      <c r="I329">
        <v>29095</v>
      </c>
      <c r="J329" s="80" t="s">
        <v>2471</v>
      </c>
      <c r="K329" t="s">
        <v>767</v>
      </c>
      <c r="L329">
        <v>9012</v>
      </c>
      <c r="M329">
        <v>7</v>
      </c>
      <c r="O329">
        <v>0.3</v>
      </c>
      <c r="P329" s="80" t="s">
        <v>2472</v>
      </c>
      <c r="Q329" t="s">
        <v>769</v>
      </c>
      <c r="R329">
        <v>9012</v>
      </c>
      <c r="S329">
        <v>6</v>
      </c>
      <c r="U329">
        <v>0.4</v>
      </c>
      <c r="V329">
        <v>70001</v>
      </c>
      <c r="W329">
        <v>2</v>
      </c>
      <c r="X329">
        <v>1</v>
      </c>
      <c r="Y329">
        <v>70002</v>
      </c>
      <c r="Z329">
        <v>2</v>
      </c>
      <c r="AA329">
        <v>1</v>
      </c>
      <c r="AB329">
        <v>1001</v>
      </c>
      <c r="AC329">
        <v>100</v>
      </c>
      <c r="AD329">
        <v>1</v>
      </c>
      <c r="AE329">
        <v>8000</v>
      </c>
      <c r="AF329">
        <v>3700</v>
      </c>
      <c r="AG329">
        <v>1</v>
      </c>
    </row>
    <row r="330" spans="1:33" ht="38.25" customHeight="1">
      <c r="A330">
        <v>1224</v>
      </c>
      <c r="B330" t="s">
        <v>1959</v>
      </c>
      <c r="C330">
        <v>7</v>
      </c>
      <c r="D330" t="s">
        <v>2553</v>
      </c>
      <c r="E330">
        <v>113</v>
      </c>
      <c r="G330" s="90" t="s">
        <v>2554</v>
      </c>
      <c r="I330">
        <v>29220</v>
      </c>
      <c r="J330" s="80" t="s">
        <v>2471</v>
      </c>
      <c r="K330" t="s">
        <v>767</v>
      </c>
      <c r="L330">
        <v>9007</v>
      </c>
      <c r="M330" t="s">
        <v>2232</v>
      </c>
      <c r="O330">
        <v>0.8</v>
      </c>
      <c r="P330" s="80" t="s">
        <v>2472</v>
      </c>
      <c r="Q330" t="s">
        <v>769</v>
      </c>
      <c r="R330">
        <v>9008</v>
      </c>
      <c r="S330">
        <v>4</v>
      </c>
      <c r="U330">
        <v>0.9</v>
      </c>
      <c r="V330">
        <v>70001</v>
      </c>
      <c r="W330">
        <v>2</v>
      </c>
      <c r="X330">
        <v>1</v>
      </c>
      <c r="Y330">
        <v>70002</v>
      </c>
      <c r="Z330">
        <v>2</v>
      </c>
      <c r="AA330">
        <v>1</v>
      </c>
      <c r="AB330">
        <v>1001</v>
      </c>
      <c r="AC330">
        <v>100</v>
      </c>
      <c r="AD330">
        <v>1</v>
      </c>
      <c r="AE330">
        <v>8000</v>
      </c>
      <c r="AF330">
        <v>3750</v>
      </c>
      <c r="AG330">
        <v>1</v>
      </c>
    </row>
    <row r="331" spans="1:33" ht="38.25" customHeight="1">
      <c r="A331">
        <v>1225</v>
      </c>
      <c r="B331" t="s">
        <v>1959</v>
      </c>
      <c r="C331">
        <v>7</v>
      </c>
      <c r="D331" t="s">
        <v>2555</v>
      </c>
      <c r="E331">
        <v>113</v>
      </c>
      <c r="G331" s="90" t="s">
        <v>2556</v>
      </c>
      <c r="I331">
        <v>29345</v>
      </c>
      <c r="J331" s="80" t="s">
        <v>2471</v>
      </c>
      <c r="K331" t="s">
        <v>767</v>
      </c>
      <c r="L331">
        <v>9007</v>
      </c>
      <c r="M331" t="s">
        <v>1690</v>
      </c>
      <c r="O331">
        <v>0.9</v>
      </c>
      <c r="P331" s="80" t="s">
        <v>2472</v>
      </c>
      <c r="Q331" t="s">
        <v>769</v>
      </c>
      <c r="R331">
        <v>9008</v>
      </c>
      <c r="S331" t="s">
        <v>1870</v>
      </c>
      <c r="U331">
        <v>0.6</v>
      </c>
      <c r="V331">
        <v>70001</v>
      </c>
      <c r="W331">
        <v>2</v>
      </c>
      <c r="X331">
        <v>1</v>
      </c>
      <c r="Y331">
        <v>70002</v>
      </c>
      <c r="Z331">
        <v>2</v>
      </c>
      <c r="AA331">
        <v>1</v>
      </c>
      <c r="AB331">
        <v>1001</v>
      </c>
      <c r="AC331">
        <v>100</v>
      </c>
      <c r="AD331">
        <v>1</v>
      </c>
      <c r="AE331">
        <v>8000</v>
      </c>
      <c r="AF331">
        <v>3750</v>
      </c>
      <c r="AG331">
        <v>1</v>
      </c>
    </row>
    <row r="332" spans="1:33" ht="38.25" customHeight="1">
      <c r="A332">
        <v>1226</v>
      </c>
      <c r="B332" t="s">
        <v>1959</v>
      </c>
      <c r="C332">
        <v>7</v>
      </c>
      <c r="D332" t="s">
        <v>2557</v>
      </c>
      <c r="E332">
        <v>114</v>
      </c>
      <c r="G332" s="90" t="s">
        <v>2558</v>
      </c>
      <c r="I332">
        <v>29470</v>
      </c>
      <c r="J332" s="80" t="s">
        <v>2471</v>
      </c>
      <c r="K332" t="s">
        <v>767</v>
      </c>
      <c r="L332">
        <v>9012</v>
      </c>
      <c r="M332">
        <v>2</v>
      </c>
      <c r="O332">
        <v>0.4</v>
      </c>
      <c r="P332" s="80" t="s">
        <v>2472</v>
      </c>
      <c r="Q332" t="s">
        <v>769</v>
      </c>
      <c r="R332">
        <v>9010</v>
      </c>
      <c r="S332" t="s">
        <v>1955</v>
      </c>
      <c r="U332">
        <v>0.3</v>
      </c>
      <c r="V332">
        <v>70001</v>
      </c>
      <c r="W332">
        <v>2</v>
      </c>
      <c r="X332">
        <v>1</v>
      </c>
      <c r="Y332">
        <v>70002</v>
      </c>
      <c r="Z332">
        <v>2</v>
      </c>
      <c r="AA332">
        <v>1</v>
      </c>
      <c r="AB332">
        <v>1001</v>
      </c>
      <c r="AC332">
        <v>100</v>
      </c>
      <c r="AD332">
        <v>1</v>
      </c>
      <c r="AE332">
        <v>8000</v>
      </c>
      <c r="AF332">
        <v>3800</v>
      </c>
      <c r="AG332">
        <v>1</v>
      </c>
    </row>
    <row r="333" spans="1:33" ht="38.25" customHeight="1">
      <c r="A333">
        <v>1227</v>
      </c>
      <c r="B333" t="s">
        <v>1959</v>
      </c>
      <c r="C333">
        <v>7</v>
      </c>
      <c r="D333" t="s">
        <v>2559</v>
      </c>
      <c r="E333">
        <v>114</v>
      </c>
      <c r="G333" s="90" t="s">
        <v>2560</v>
      </c>
      <c r="I333">
        <v>29595</v>
      </c>
      <c r="J333" s="80" t="s">
        <v>2471</v>
      </c>
      <c r="K333" t="s">
        <v>767</v>
      </c>
      <c r="L333">
        <v>9002</v>
      </c>
      <c r="M333">
        <v>5</v>
      </c>
      <c r="O333">
        <v>0.7</v>
      </c>
      <c r="P333" s="80" t="s">
        <v>2472</v>
      </c>
      <c r="Q333" t="s">
        <v>769</v>
      </c>
      <c r="R333">
        <v>9003</v>
      </c>
      <c r="S333" t="s">
        <v>2561</v>
      </c>
      <c r="U333">
        <v>0.1</v>
      </c>
      <c r="V333">
        <v>70001</v>
      </c>
      <c r="W333">
        <v>2</v>
      </c>
      <c r="X333">
        <v>1</v>
      </c>
      <c r="Y333">
        <v>70002</v>
      </c>
      <c r="Z333">
        <v>2</v>
      </c>
      <c r="AA333">
        <v>1</v>
      </c>
      <c r="AB333">
        <v>1001</v>
      </c>
      <c r="AC333">
        <v>100</v>
      </c>
      <c r="AD333">
        <v>1</v>
      </c>
      <c r="AE333">
        <v>8000</v>
      </c>
      <c r="AF333">
        <v>3800</v>
      </c>
      <c r="AG333">
        <v>1</v>
      </c>
    </row>
    <row r="334" spans="1:33" ht="38.25" customHeight="1">
      <c r="A334">
        <v>1228</v>
      </c>
      <c r="B334" t="s">
        <v>1959</v>
      </c>
      <c r="C334">
        <v>7</v>
      </c>
      <c r="D334" t="s">
        <v>2562</v>
      </c>
      <c r="E334">
        <v>115</v>
      </c>
      <c r="G334" s="90" t="s">
        <v>2563</v>
      </c>
      <c r="I334">
        <v>29720</v>
      </c>
      <c r="J334" s="80" t="s">
        <v>2471</v>
      </c>
      <c r="K334" t="s">
        <v>767</v>
      </c>
      <c r="L334">
        <v>9002</v>
      </c>
      <c r="M334" t="s">
        <v>2084</v>
      </c>
      <c r="O334">
        <v>0.2</v>
      </c>
      <c r="P334" s="80" t="s">
        <v>2472</v>
      </c>
      <c r="Q334" t="s">
        <v>769</v>
      </c>
      <c r="R334">
        <v>9008</v>
      </c>
      <c r="S334" t="s">
        <v>2231</v>
      </c>
      <c r="U334">
        <v>0.8</v>
      </c>
      <c r="V334">
        <v>70001</v>
      </c>
      <c r="W334">
        <v>2</v>
      </c>
      <c r="X334">
        <v>1</v>
      </c>
      <c r="Y334">
        <v>70002</v>
      </c>
      <c r="Z334">
        <v>2</v>
      </c>
      <c r="AA334">
        <v>1</v>
      </c>
      <c r="AB334">
        <v>1001</v>
      </c>
      <c r="AC334">
        <v>100</v>
      </c>
      <c r="AD334">
        <v>1</v>
      </c>
      <c r="AE334">
        <v>8000</v>
      </c>
      <c r="AF334">
        <v>3800</v>
      </c>
      <c r="AG334">
        <v>1</v>
      </c>
    </row>
    <row r="335" spans="1:33" ht="38.25" customHeight="1">
      <c r="A335">
        <v>1229</v>
      </c>
      <c r="B335" t="s">
        <v>1959</v>
      </c>
      <c r="C335">
        <v>7</v>
      </c>
      <c r="D335" t="s">
        <v>2564</v>
      </c>
      <c r="E335">
        <v>115</v>
      </c>
      <c r="G335" s="90" t="s">
        <v>2565</v>
      </c>
      <c r="I335">
        <v>29845</v>
      </c>
      <c r="J335" s="80" t="s">
        <v>2471</v>
      </c>
      <c r="K335" t="s">
        <v>767</v>
      </c>
      <c r="L335">
        <v>9001</v>
      </c>
      <c r="M335">
        <v>5</v>
      </c>
      <c r="O335">
        <v>0.4</v>
      </c>
      <c r="P335" s="80" t="s">
        <v>2472</v>
      </c>
      <c r="Q335" t="s">
        <v>769</v>
      </c>
      <c r="R335">
        <v>9008</v>
      </c>
      <c r="S335" t="s">
        <v>2001</v>
      </c>
      <c r="U335">
        <v>0.6</v>
      </c>
      <c r="V335">
        <v>70001</v>
      </c>
      <c r="W335">
        <v>2</v>
      </c>
      <c r="X335">
        <v>1</v>
      </c>
      <c r="Y335">
        <v>70002</v>
      </c>
      <c r="Z335">
        <v>2</v>
      </c>
      <c r="AA335">
        <v>1</v>
      </c>
      <c r="AB335">
        <v>1001</v>
      </c>
      <c r="AC335">
        <v>100</v>
      </c>
      <c r="AD335">
        <v>1</v>
      </c>
      <c r="AE335">
        <v>8000</v>
      </c>
      <c r="AF335">
        <v>3850</v>
      </c>
      <c r="AG335">
        <v>1</v>
      </c>
    </row>
    <row r="336" spans="1:33" ht="38.25" customHeight="1">
      <c r="A336">
        <v>1230</v>
      </c>
      <c r="B336" t="s">
        <v>1959</v>
      </c>
      <c r="C336">
        <v>8</v>
      </c>
      <c r="D336" t="s">
        <v>2566</v>
      </c>
      <c r="E336">
        <v>116</v>
      </c>
      <c r="G336" s="90" t="s">
        <v>2567</v>
      </c>
      <c r="I336">
        <v>29970</v>
      </c>
      <c r="J336" s="80" t="s">
        <v>2568</v>
      </c>
      <c r="K336" t="s">
        <v>767</v>
      </c>
      <c r="L336">
        <v>9008</v>
      </c>
      <c r="M336" t="s">
        <v>2569</v>
      </c>
      <c r="O336">
        <v>0.6</v>
      </c>
      <c r="P336" s="80" t="s">
        <v>2570</v>
      </c>
      <c r="Q336" t="s">
        <v>769</v>
      </c>
      <c r="R336">
        <v>9003</v>
      </c>
      <c r="S336" t="s">
        <v>2571</v>
      </c>
      <c r="U336">
        <v>0.2</v>
      </c>
      <c r="V336">
        <v>70001</v>
      </c>
      <c r="W336">
        <v>2</v>
      </c>
      <c r="X336">
        <v>1</v>
      </c>
      <c r="Y336">
        <v>70002</v>
      </c>
      <c r="Z336">
        <v>2</v>
      </c>
      <c r="AA336">
        <v>1</v>
      </c>
      <c r="AB336">
        <v>1001</v>
      </c>
      <c r="AC336">
        <v>100</v>
      </c>
      <c r="AD336">
        <v>1</v>
      </c>
      <c r="AE336">
        <v>8000</v>
      </c>
      <c r="AF336">
        <v>3850</v>
      </c>
      <c r="AG336">
        <v>1</v>
      </c>
    </row>
    <row r="337" spans="1:33" ht="38.25" customHeight="1">
      <c r="A337">
        <v>1231</v>
      </c>
      <c r="B337" t="s">
        <v>1959</v>
      </c>
      <c r="C337">
        <v>8</v>
      </c>
      <c r="D337" t="s">
        <v>2572</v>
      </c>
      <c r="E337">
        <v>116</v>
      </c>
      <c r="G337" s="90" t="s">
        <v>2573</v>
      </c>
      <c r="I337">
        <v>30095</v>
      </c>
      <c r="J337" s="80" t="s">
        <v>2568</v>
      </c>
      <c r="K337" t="s">
        <v>767</v>
      </c>
      <c r="L337">
        <v>9008</v>
      </c>
      <c r="M337">
        <v>8</v>
      </c>
      <c r="O337">
        <v>0.1</v>
      </c>
      <c r="P337" s="80" t="s">
        <v>2570</v>
      </c>
      <c r="Q337" t="s">
        <v>769</v>
      </c>
      <c r="R337">
        <v>9007</v>
      </c>
      <c r="S337">
        <v>9</v>
      </c>
      <c r="U337">
        <v>0.2</v>
      </c>
      <c r="V337">
        <v>70001</v>
      </c>
      <c r="W337">
        <v>2</v>
      </c>
      <c r="X337">
        <v>1</v>
      </c>
      <c r="Y337">
        <v>70002</v>
      </c>
      <c r="Z337">
        <v>2</v>
      </c>
      <c r="AA337">
        <v>1</v>
      </c>
      <c r="AB337">
        <v>1001</v>
      </c>
      <c r="AC337">
        <v>100</v>
      </c>
      <c r="AD337">
        <v>1</v>
      </c>
      <c r="AE337">
        <v>8000</v>
      </c>
      <c r="AF337">
        <v>3900</v>
      </c>
      <c r="AG337">
        <v>1</v>
      </c>
    </row>
    <row r="338" spans="1:33" ht="38.25" customHeight="1">
      <c r="A338">
        <v>1232</v>
      </c>
      <c r="B338" t="s">
        <v>1959</v>
      </c>
      <c r="C338">
        <v>8</v>
      </c>
      <c r="D338" t="s">
        <v>2574</v>
      </c>
      <c r="E338">
        <v>117</v>
      </c>
      <c r="G338" s="90" t="s">
        <v>2575</v>
      </c>
      <c r="I338">
        <v>30220</v>
      </c>
      <c r="J338" s="80" t="s">
        <v>2568</v>
      </c>
      <c r="K338" t="s">
        <v>767</v>
      </c>
      <c r="L338">
        <v>9011</v>
      </c>
      <c r="M338">
        <v>2</v>
      </c>
      <c r="O338">
        <v>0.3</v>
      </c>
      <c r="P338" s="80" t="s">
        <v>2570</v>
      </c>
      <c r="Q338" t="s">
        <v>769</v>
      </c>
      <c r="R338">
        <v>9007</v>
      </c>
      <c r="S338">
        <v>13</v>
      </c>
      <c r="U338">
        <v>0.3</v>
      </c>
      <c r="V338">
        <v>70001</v>
      </c>
      <c r="W338">
        <v>2</v>
      </c>
      <c r="X338">
        <v>1</v>
      </c>
      <c r="Y338">
        <v>70002</v>
      </c>
      <c r="Z338">
        <v>2</v>
      </c>
      <c r="AA338">
        <v>1</v>
      </c>
      <c r="AB338">
        <v>1001</v>
      </c>
      <c r="AC338">
        <v>100</v>
      </c>
      <c r="AD338">
        <v>1</v>
      </c>
      <c r="AE338">
        <v>8000</v>
      </c>
      <c r="AF338">
        <v>3900</v>
      </c>
      <c r="AG338">
        <v>1</v>
      </c>
    </row>
    <row r="339" spans="1:33" ht="38.25" customHeight="1">
      <c r="A339">
        <v>1233</v>
      </c>
      <c r="B339" t="s">
        <v>1959</v>
      </c>
      <c r="C339">
        <v>8</v>
      </c>
      <c r="D339" t="s">
        <v>2576</v>
      </c>
      <c r="E339">
        <v>117</v>
      </c>
      <c r="G339" s="90" t="s">
        <v>2577</v>
      </c>
      <c r="I339">
        <v>30345</v>
      </c>
      <c r="J339" s="80" t="s">
        <v>2568</v>
      </c>
      <c r="K339" t="s">
        <v>767</v>
      </c>
      <c r="L339">
        <v>9012</v>
      </c>
      <c r="M339" t="s">
        <v>1900</v>
      </c>
      <c r="O339">
        <v>0.4</v>
      </c>
      <c r="P339" s="80" t="s">
        <v>2570</v>
      </c>
      <c r="Q339" t="s">
        <v>769</v>
      </c>
      <c r="R339">
        <v>9011</v>
      </c>
      <c r="S339">
        <v>8</v>
      </c>
      <c r="U339">
        <v>0.8</v>
      </c>
      <c r="V339">
        <v>70001</v>
      </c>
      <c r="W339">
        <v>2</v>
      </c>
      <c r="X339">
        <v>1</v>
      </c>
      <c r="Y339">
        <v>70002</v>
      </c>
      <c r="Z339">
        <v>2</v>
      </c>
      <c r="AA339">
        <v>1</v>
      </c>
      <c r="AB339">
        <v>1001</v>
      </c>
      <c r="AC339">
        <v>100</v>
      </c>
      <c r="AD339">
        <v>1</v>
      </c>
      <c r="AE339">
        <v>8000</v>
      </c>
      <c r="AF339">
        <v>3950</v>
      </c>
      <c r="AG339">
        <v>1</v>
      </c>
    </row>
    <row r="340" spans="1:33" ht="38.25" customHeight="1">
      <c r="A340">
        <v>1234</v>
      </c>
      <c r="B340" t="s">
        <v>1959</v>
      </c>
      <c r="C340">
        <v>8</v>
      </c>
      <c r="D340" t="s">
        <v>2578</v>
      </c>
      <c r="E340">
        <v>118</v>
      </c>
      <c r="G340" s="90" t="s">
        <v>2579</v>
      </c>
      <c r="I340">
        <v>30470</v>
      </c>
      <c r="J340" s="80" t="s">
        <v>2568</v>
      </c>
      <c r="K340" t="s">
        <v>767</v>
      </c>
      <c r="L340">
        <v>9008</v>
      </c>
      <c r="M340" t="s">
        <v>1808</v>
      </c>
      <c r="O340">
        <v>0.4</v>
      </c>
      <c r="P340" s="80" t="s">
        <v>2570</v>
      </c>
      <c r="Q340" t="s">
        <v>769</v>
      </c>
      <c r="R340">
        <v>9008</v>
      </c>
      <c r="S340" t="s">
        <v>2580</v>
      </c>
      <c r="U340">
        <v>0.3</v>
      </c>
      <c r="V340">
        <v>70001</v>
      </c>
      <c r="W340">
        <v>2</v>
      </c>
      <c r="X340">
        <v>1</v>
      </c>
      <c r="Y340">
        <v>70002</v>
      </c>
      <c r="Z340">
        <v>2</v>
      </c>
      <c r="AA340">
        <v>1</v>
      </c>
      <c r="AB340">
        <v>1001</v>
      </c>
      <c r="AC340">
        <v>100</v>
      </c>
      <c r="AD340">
        <v>1</v>
      </c>
      <c r="AE340">
        <v>8000</v>
      </c>
      <c r="AF340">
        <v>3950</v>
      </c>
      <c r="AG340">
        <v>1</v>
      </c>
    </row>
    <row r="341" spans="1:33" ht="38.25" customHeight="1">
      <c r="A341">
        <v>1235</v>
      </c>
      <c r="B341" t="s">
        <v>1959</v>
      </c>
      <c r="C341">
        <v>8</v>
      </c>
      <c r="D341" t="s">
        <v>2581</v>
      </c>
      <c r="E341">
        <v>118</v>
      </c>
      <c r="G341" s="90" t="s">
        <v>2582</v>
      </c>
      <c r="I341">
        <v>30595</v>
      </c>
      <c r="J341" s="80" t="s">
        <v>2568</v>
      </c>
      <c r="K341" t="s">
        <v>767</v>
      </c>
      <c r="L341">
        <v>9012</v>
      </c>
      <c r="M341" t="s">
        <v>1713</v>
      </c>
      <c r="O341">
        <v>0.2</v>
      </c>
      <c r="P341" s="80" t="s">
        <v>2570</v>
      </c>
      <c r="Q341" t="s">
        <v>769</v>
      </c>
      <c r="R341">
        <v>9008</v>
      </c>
      <c r="S341" t="s">
        <v>2072</v>
      </c>
      <c r="U341">
        <v>0.8</v>
      </c>
      <c r="V341">
        <v>70001</v>
      </c>
      <c r="W341">
        <v>2</v>
      </c>
      <c r="X341">
        <v>1</v>
      </c>
      <c r="Y341">
        <v>70002</v>
      </c>
      <c r="Z341">
        <v>2</v>
      </c>
      <c r="AA341">
        <v>1</v>
      </c>
      <c r="AB341">
        <v>1001</v>
      </c>
      <c r="AC341">
        <v>100</v>
      </c>
      <c r="AD341">
        <v>1</v>
      </c>
      <c r="AE341">
        <v>8000</v>
      </c>
      <c r="AF341">
        <v>3950</v>
      </c>
      <c r="AG341">
        <v>1</v>
      </c>
    </row>
    <row r="342" spans="1:33" ht="38.25" customHeight="1">
      <c r="A342">
        <v>1236</v>
      </c>
      <c r="B342" t="s">
        <v>1959</v>
      </c>
      <c r="C342">
        <v>8</v>
      </c>
      <c r="D342" t="s">
        <v>2583</v>
      </c>
      <c r="E342">
        <v>119</v>
      </c>
      <c r="G342" s="90" t="s">
        <v>2584</v>
      </c>
      <c r="I342">
        <v>30720</v>
      </c>
      <c r="J342" s="80" t="s">
        <v>2568</v>
      </c>
      <c r="K342" t="s">
        <v>767</v>
      </c>
      <c r="L342">
        <v>9005</v>
      </c>
      <c r="M342" t="s">
        <v>1867</v>
      </c>
      <c r="O342">
        <v>0.4</v>
      </c>
      <c r="P342" s="80" t="s">
        <v>2570</v>
      </c>
      <c r="Q342" t="s">
        <v>769</v>
      </c>
      <c r="R342">
        <v>9003</v>
      </c>
      <c r="S342" t="s">
        <v>1989</v>
      </c>
      <c r="U342">
        <v>0.2</v>
      </c>
      <c r="V342">
        <v>70001</v>
      </c>
      <c r="W342">
        <v>2</v>
      </c>
      <c r="X342">
        <v>1</v>
      </c>
      <c r="Y342">
        <v>70002</v>
      </c>
      <c r="Z342">
        <v>2</v>
      </c>
      <c r="AA342">
        <v>1</v>
      </c>
      <c r="AB342">
        <v>1001</v>
      </c>
      <c r="AC342">
        <v>100</v>
      </c>
      <c r="AD342">
        <v>1</v>
      </c>
      <c r="AE342">
        <v>8000</v>
      </c>
      <c r="AF342">
        <v>4000</v>
      </c>
      <c r="AG342">
        <v>1</v>
      </c>
    </row>
    <row r="343" spans="1:33" ht="38.25" customHeight="1">
      <c r="A343">
        <v>1237</v>
      </c>
      <c r="B343" t="s">
        <v>1959</v>
      </c>
      <c r="C343">
        <v>8</v>
      </c>
      <c r="D343" t="s">
        <v>2585</v>
      </c>
      <c r="E343">
        <v>119</v>
      </c>
      <c r="G343" s="90" t="s">
        <v>2586</v>
      </c>
      <c r="I343">
        <v>30845</v>
      </c>
      <c r="J343" s="80" t="s">
        <v>2568</v>
      </c>
      <c r="K343" t="s">
        <v>767</v>
      </c>
      <c r="L343">
        <v>9011</v>
      </c>
      <c r="M343">
        <v>6</v>
      </c>
      <c r="O343">
        <v>0.9</v>
      </c>
      <c r="P343" s="80" t="s">
        <v>2570</v>
      </c>
      <c r="Q343" t="s">
        <v>769</v>
      </c>
      <c r="R343">
        <v>9003</v>
      </c>
      <c r="S343" t="s">
        <v>2587</v>
      </c>
      <c r="U343">
        <v>0.1</v>
      </c>
      <c r="V343">
        <v>70001</v>
      </c>
      <c r="W343">
        <v>2</v>
      </c>
      <c r="X343">
        <v>1</v>
      </c>
      <c r="Y343">
        <v>70002</v>
      </c>
      <c r="Z343">
        <v>2</v>
      </c>
      <c r="AA343">
        <v>1</v>
      </c>
      <c r="AB343">
        <v>1001</v>
      </c>
      <c r="AC343">
        <v>100</v>
      </c>
      <c r="AD343">
        <v>1</v>
      </c>
      <c r="AE343">
        <v>8000</v>
      </c>
      <c r="AF343">
        <v>4000</v>
      </c>
      <c r="AG343">
        <v>1</v>
      </c>
    </row>
    <row r="344" spans="1:33" ht="38.25" customHeight="1">
      <c r="A344">
        <v>1238</v>
      </c>
      <c r="B344" t="s">
        <v>1959</v>
      </c>
      <c r="C344">
        <v>8</v>
      </c>
      <c r="D344" t="s">
        <v>2588</v>
      </c>
      <c r="E344">
        <v>120</v>
      </c>
      <c r="G344" s="90" t="s">
        <v>2589</v>
      </c>
      <c r="I344">
        <v>30970</v>
      </c>
      <c r="J344" s="80" t="s">
        <v>2568</v>
      </c>
      <c r="K344" t="s">
        <v>767</v>
      </c>
      <c r="L344">
        <v>9011</v>
      </c>
      <c r="M344" t="s">
        <v>2590</v>
      </c>
      <c r="O344">
        <v>0.7</v>
      </c>
      <c r="P344" s="80" t="s">
        <v>2570</v>
      </c>
      <c r="Q344" t="s">
        <v>769</v>
      </c>
      <c r="R344">
        <v>9011</v>
      </c>
      <c r="S344" t="s">
        <v>1697</v>
      </c>
      <c r="U344">
        <v>0.7</v>
      </c>
      <c r="V344">
        <v>70001</v>
      </c>
      <c r="W344">
        <v>2</v>
      </c>
      <c r="X344">
        <v>1</v>
      </c>
      <c r="Y344">
        <v>70002</v>
      </c>
      <c r="Z344">
        <v>2</v>
      </c>
      <c r="AA344">
        <v>1</v>
      </c>
      <c r="AB344">
        <v>1001</v>
      </c>
      <c r="AC344">
        <v>100</v>
      </c>
      <c r="AD344">
        <v>1</v>
      </c>
      <c r="AE344">
        <v>8000</v>
      </c>
      <c r="AF344">
        <v>4050</v>
      </c>
      <c r="AG344">
        <v>1</v>
      </c>
    </row>
    <row r="345" spans="1:33" ht="38.25" customHeight="1">
      <c r="A345">
        <v>1239</v>
      </c>
      <c r="B345" t="s">
        <v>1959</v>
      </c>
      <c r="C345">
        <v>8</v>
      </c>
      <c r="D345" t="s">
        <v>2591</v>
      </c>
      <c r="E345">
        <v>120</v>
      </c>
      <c r="G345" s="90" t="s">
        <v>2592</v>
      </c>
      <c r="I345">
        <v>31095</v>
      </c>
      <c r="J345" s="80" t="s">
        <v>2568</v>
      </c>
      <c r="K345" t="s">
        <v>767</v>
      </c>
      <c r="L345">
        <v>9006</v>
      </c>
      <c r="M345" t="s">
        <v>2593</v>
      </c>
      <c r="O345">
        <v>0.7</v>
      </c>
      <c r="P345" s="80" t="s">
        <v>2570</v>
      </c>
      <c r="Q345" t="s">
        <v>769</v>
      </c>
      <c r="R345">
        <v>9010</v>
      </c>
      <c r="S345">
        <v>8</v>
      </c>
      <c r="U345">
        <v>0.3</v>
      </c>
      <c r="V345">
        <v>70001</v>
      </c>
      <c r="W345">
        <v>2</v>
      </c>
      <c r="X345">
        <v>1</v>
      </c>
      <c r="Y345">
        <v>70002</v>
      </c>
      <c r="Z345">
        <v>2</v>
      </c>
      <c r="AA345">
        <v>1</v>
      </c>
      <c r="AB345">
        <v>1001</v>
      </c>
      <c r="AC345">
        <v>500</v>
      </c>
      <c r="AD345">
        <v>1</v>
      </c>
      <c r="AE345">
        <v>8000</v>
      </c>
      <c r="AF345">
        <v>4050</v>
      </c>
      <c r="AG345">
        <v>1</v>
      </c>
    </row>
    <row r="346" spans="1:33" ht="38.25" customHeight="1">
      <c r="A346">
        <v>1240</v>
      </c>
      <c r="B346" t="s">
        <v>1959</v>
      </c>
      <c r="C346">
        <v>8</v>
      </c>
      <c r="D346" t="s">
        <v>2594</v>
      </c>
      <c r="E346">
        <v>121</v>
      </c>
      <c r="G346" s="90" t="s">
        <v>2595</v>
      </c>
      <c r="I346">
        <v>31220</v>
      </c>
      <c r="J346" s="80" t="s">
        <v>2568</v>
      </c>
      <c r="K346" t="s">
        <v>767</v>
      </c>
      <c r="L346">
        <v>9007</v>
      </c>
      <c r="M346" t="s">
        <v>1940</v>
      </c>
      <c r="O346">
        <v>0.1</v>
      </c>
      <c r="P346" s="80" t="s">
        <v>2570</v>
      </c>
      <c r="Q346" t="s">
        <v>769</v>
      </c>
      <c r="R346">
        <v>9004</v>
      </c>
      <c r="S346">
        <v>4</v>
      </c>
      <c r="U346">
        <v>0.9</v>
      </c>
      <c r="V346">
        <v>70001</v>
      </c>
      <c r="W346">
        <v>2</v>
      </c>
      <c r="X346">
        <v>1</v>
      </c>
      <c r="Y346">
        <v>70002</v>
      </c>
      <c r="Z346">
        <v>2</v>
      </c>
      <c r="AA346">
        <v>1</v>
      </c>
      <c r="AB346">
        <v>1001</v>
      </c>
      <c r="AC346">
        <v>100</v>
      </c>
      <c r="AD346">
        <v>1</v>
      </c>
      <c r="AE346">
        <v>8000</v>
      </c>
      <c r="AF346">
        <v>4100</v>
      </c>
      <c r="AG346">
        <v>1</v>
      </c>
    </row>
    <row r="347" spans="1:33" ht="38.25" customHeight="1">
      <c r="A347">
        <v>1241</v>
      </c>
      <c r="B347" t="s">
        <v>1959</v>
      </c>
      <c r="C347">
        <v>8</v>
      </c>
      <c r="D347" t="s">
        <v>2596</v>
      </c>
      <c r="E347">
        <v>121</v>
      </c>
      <c r="G347" s="90" t="s">
        <v>2597</v>
      </c>
      <c r="I347">
        <v>31345</v>
      </c>
      <c r="J347" s="80" t="s">
        <v>2568</v>
      </c>
      <c r="K347" t="s">
        <v>767</v>
      </c>
      <c r="L347">
        <v>9005</v>
      </c>
      <c r="M347">
        <v>10</v>
      </c>
      <c r="O347">
        <v>0.8</v>
      </c>
      <c r="P347" s="80" t="s">
        <v>2570</v>
      </c>
      <c r="Q347" t="s">
        <v>769</v>
      </c>
      <c r="R347">
        <v>9011</v>
      </c>
      <c r="S347" t="s">
        <v>2569</v>
      </c>
      <c r="U347">
        <v>0.8</v>
      </c>
      <c r="V347">
        <v>70001</v>
      </c>
      <c r="W347">
        <v>2</v>
      </c>
      <c r="X347">
        <v>1</v>
      </c>
      <c r="Y347">
        <v>70002</v>
      </c>
      <c r="Z347">
        <v>2</v>
      </c>
      <c r="AA347">
        <v>1</v>
      </c>
      <c r="AB347">
        <v>1001</v>
      </c>
      <c r="AC347">
        <v>100</v>
      </c>
      <c r="AD347">
        <v>1</v>
      </c>
      <c r="AE347">
        <v>8000</v>
      </c>
      <c r="AF347">
        <v>4100</v>
      </c>
      <c r="AG347">
        <v>1</v>
      </c>
    </row>
    <row r="348" spans="1:33" ht="38.25" customHeight="1">
      <c r="A348">
        <v>1242</v>
      </c>
      <c r="B348" t="s">
        <v>1959</v>
      </c>
      <c r="C348">
        <v>8</v>
      </c>
      <c r="D348" t="s">
        <v>2598</v>
      </c>
      <c r="E348">
        <v>122</v>
      </c>
      <c r="G348" s="90" t="s">
        <v>2599</v>
      </c>
      <c r="I348">
        <v>31470</v>
      </c>
      <c r="J348" s="80" t="s">
        <v>2568</v>
      </c>
      <c r="K348" t="s">
        <v>767</v>
      </c>
      <c r="L348">
        <v>9011</v>
      </c>
      <c r="M348" t="s">
        <v>2058</v>
      </c>
      <c r="O348">
        <v>0.3</v>
      </c>
      <c r="P348" s="80" t="s">
        <v>2570</v>
      </c>
      <c r="Q348" t="s">
        <v>769</v>
      </c>
      <c r="R348">
        <v>9007</v>
      </c>
      <c r="S348">
        <v>3</v>
      </c>
      <c r="U348">
        <v>0.4</v>
      </c>
      <c r="V348">
        <v>70001</v>
      </c>
      <c r="W348">
        <v>2</v>
      </c>
      <c r="X348">
        <v>1</v>
      </c>
      <c r="Y348">
        <v>70002</v>
      </c>
      <c r="Z348">
        <v>2</v>
      </c>
      <c r="AA348">
        <v>1</v>
      </c>
      <c r="AB348">
        <v>1001</v>
      </c>
      <c r="AC348">
        <v>100</v>
      </c>
      <c r="AD348">
        <v>1</v>
      </c>
      <c r="AE348">
        <v>8000</v>
      </c>
      <c r="AF348">
        <v>4150</v>
      </c>
      <c r="AG348">
        <v>1</v>
      </c>
    </row>
    <row r="349" spans="1:33" ht="38.25" customHeight="1">
      <c r="A349">
        <v>1243</v>
      </c>
      <c r="B349" t="s">
        <v>1959</v>
      </c>
      <c r="C349">
        <v>8</v>
      </c>
      <c r="D349" t="s">
        <v>2600</v>
      </c>
      <c r="E349">
        <v>122</v>
      </c>
      <c r="G349" s="90" t="s">
        <v>2601</v>
      </c>
      <c r="I349">
        <v>31595</v>
      </c>
      <c r="J349" s="80" t="s">
        <v>2568</v>
      </c>
      <c r="K349" t="s">
        <v>767</v>
      </c>
      <c r="L349">
        <v>9012</v>
      </c>
      <c r="M349" t="s">
        <v>1677</v>
      </c>
      <c r="O349">
        <v>0.5</v>
      </c>
      <c r="P349" s="80" t="s">
        <v>2570</v>
      </c>
      <c r="Q349" t="s">
        <v>769</v>
      </c>
      <c r="R349">
        <v>9004</v>
      </c>
      <c r="S349">
        <v>6</v>
      </c>
      <c r="U349">
        <v>1</v>
      </c>
      <c r="V349">
        <v>70001</v>
      </c>
      <c r="W349">
        <v>2</v>
      </c>
      <c r="X349">
        <v>1</v>
      </c>
      <c r="Y349">
        <v>70002</v>
      </c>
      <c r="Z349">
        <v>2</v>
      </c>
      <c r="AA349">
        <v>1</v>
      </c>
      <c r="AB349">
        <v>1001</v>
      </c>
      <c r="AC349">
        <v>100</v>
      </c>
      <c r="AD349">
        <v>1</v>
      </c>
      <c r="AE349">
        <v>8000</v>
      </c>
      <c r="AF349">
        <v>4150</v>
      </c>
      <c r="AG349">
        <v>1</v>
      </c>
    </row>
    <row r="350" spans="1:33" ht="38.25" customHeight="1">
      <c r="A350">
        <v>1244</v>
      </c>
      <c r="B350" t="s">
        <v>1959</v>
      </c>
      <c r="C350">
        <v>8</v>
      </c>
      <c r="D350" t="s">
        <v>2602</v>
      </c>
      <c r="E350">
        <v>123</v>
      </c>
      <c r="G350" s="90" t="s">
        <v>2603</v>
      </c>
      <c r="I350">
        <v>31720</v>
      </c>
      <c r="J350" s="80" t="s">
        <v>2568</v>
      </c>
      <c r="K350" t="s">
        <v>767</v>
      </c>
      <c r="L350">
        <v>9002</v>
      </c>
      <c r="M350">
        <v>1</v>
      </c>
      <c r="O350">
        <v>0.9</v>
      </c>
      <c r="P350" s="80" t="s">
        <v>2570</v>
      </c>
      <c r="Q350" t="s">
        <v>769</v>
      </c>
      <c r="R350">
        <v>9007</v>
      </c>
      <c r="S350" t="s">
        <v>1752</v>
      </c>
      <c r="U350">
        <v>0.4</v>
      </c>
      <c r="V350">
        <v>70001</v>
      </c>
      <c r="W350">
        <v>2</v>
      </c>
      <c r="X350">
        <v>1</v>
      </c>
      <c r="Y350">
        <v>70002</v>
      </c>
      <c r="Z350">
        <v>2</v>
      </c>
      <c r="AA350">
        <v>1</v>
      </c>
      <c r="AB350">
        <v>1001</v>
      </c>
      <c r="AC350">
        <v>100</v>
      </c>
      <c r="AD350">
        <v>1</v>
      </c>
      <c r="AE350">
        <v>8000</v>
      </c>
      <c r="AF350">
        <v>4150</v>
      </c>
      <c r="AG350">
        <v>1</v>
      </c>
    </row>
    <row r="351" spans="1:33" ht="38.25" customHeight="1">
      <c r="A351">
        <v>1245</v>
      </c>
      <c r="B351" t="s">
        <v>1959</v>
      </c>
      <c r="C351">
        <v>8</v>
      </c>
      <c r="D351" t="s">
        <v>2604</v>
      </c>
      <c r="E351">
        <v>123</v>
      </c>
      <c r="G351" s="90" t="s">
        <v>2605</v>
      </c>
      <c r="I351">
        <v>31845</v>
      </c>
      <c r="J351" s="80" t="s">
        <v>2568</v>
      </c>
      <c r="K351" t="s">
        <v>767</v>
      </c>
      <c r="L351">
        <v>9007</v>
      </c>
      <c r="M351" t="s">
        <v>1786</v>
      </c>
      <c r="O351">
        <v>0.6</v>
      </c>
      <c r="P351" s="80" t="s">
        <v>2570</v>
      </c>
      <c r="Q351" t="s">
        <v>769</v>
      </c>
      <c r="R351">
        <v>9007</v>
      </c>
      <c r="S351">
        <v>3</v>
      </c>
      <c r="U351">
        <v>0.8</v>
      </c>
      <c r="V351">
        <v>70001</v>
      </c>
      <c r="W351">
        <v>2</v>
      </c>
      <c r="X351">
        <v>1</v>
      </c>
      <c r="Y351">
        <v>70002</v>
      </c>
      <c r="Z351">
        <v>2</v>
      </c>
      <c r="AA351">
        <v>1</v>
      </c>
      <c r="AB351">
        <v>1001</v>
      </c>
      <c r="AC351">
        <v>100</v>
      </c>
      <c r="AD351">
        <v>1</v>
      </c>
      <c r="AE351">
        <v>8000</v>
      </c>
      <c r="AF351">
        <v>4200</v>
      </c>
      <c r="AG351">
        <v>1</v>
      </c>
    </row>
    <row r="352" spans="1:33" ht="38.25" customHeight="1">
      <c r="A352">
        <v>1246</v>
      </c>
      <c r="B352" t="s">
        <v>1959</v>
      </c>
      <c r="C352">
        <v>8</v>
      </c>
      <c r="D352" t="s">
        <v>2606</v>
      </c>
      <c r="E352">
        <v>124</v>
      </c>
      <c r="G352" s="90" t="s">
        <v>2607</v>
      </c>
      <c r="I352">
        <v>31970</v>
      </c>
      <c r="J352" s="80" t="s">
        <v>2568</v>
      </c>
      <c r="K352" t="s">
        <v>767</v>
      </c>
      <c r="L352">
        <v>9006</v>
      </c>
      <c r="M352" t="s">
        <v>2149</v>
      </c>
      <c r="O352">
        <v>0.6</v>
      </c>
      <c r="P352" s="80" t="s">
        <v>2570</v>
      </c>
      <c r="Q352" t="s">
        <v>769</v>
      </c>
      <c r="R352">
        <v>9003</v>
      </c>
      <c r="S352">
        <v>4</v>
      </c>
      <c r="U352">
        <v>0.4</v>
      </c>
      <c r="V352">
        <v>70001</v>
      </c>
      <c r="W352">
        <v>2</v>
      </c>
      <c r="X352">
        <v>1</v>
      </c>
      <c r="Y352">
        <v>70002</v>
      </c>
      <c r="Z352">
        <v>2</v>
      </c>
      <c r="AA352">
        <v>1</v>
      </c>
      <c r="AB352">
        <v>1001</v>
      </c>
      <c r="AC352">
        <v>100</v>
      </c>
      <c r="AD352">
        <v>1</v>
      </c>
      <c r="AE352">
        <v>8000</v>
      </c>
      <c r="AF352">
        <v>4200</v>
      </c>
      <c r="AG352">
        <v>1</v>
      </c>
    </row>
    <row r="353" spans="1:33" ht="38.25" customHeight="1">
      <c r="A353">
        <v>1247</v>
      </c>
      <c r="B353" t="s">
        <v>1959</v>
      </c>
      <c r="C353">
        <v>8</v>
      </c>
      <c r="D353" t="s">
        <v>2608</v>
      </c>
      <c r="E353">
        <v>124</v>
      </c>
      <c r="G353" s="90" t="s">
        <v>2609</v>
      </c>
      <c r="I353">
        <v>32095</v>
      </c>
      <c r="J353" s="80" t="s">
        <v>2568</v>
      </c>
      <c r="K353" t="s">
        <v>767</v>
      </c>
      <c r="L353">
        <v>9001</v>
      </c>
      <c r="M353">
        <v>5</v>
      </c>
      <c r="O353">
        <v>1</v>
      </c>
      <c r="P353" s="80" t="s">
        <v>2570</v>
      </c>
      <c r="Q353" t="s">
        <v>769</v>
      </c>
      <c r="R353">
        <v>9004</v>
      </c>
      <c r="S353">
        <v>5</v>
      </c>
      <c r="U353">
        <v>0.4</v>
      </c>
      <c r="V353">
        <v>70001</v>
      </c>
      <c r="W353">
        <v>2</v>
      </c>
      <c r="X353">
        <v>1</v>
      </c>
      <c r="Y353">
        <v>70002</v>
      </c>
      <c r="Z353">
        <v>2</v>
      </c>
      <c r="AA353">
        <v>1</v>
      </c>
      <c r="AB353">
        <v>1001</v>
      </c>
      <c r="AC353">
        <v>100</v>
      </c>
      <c r="AD353">
        <v>1</v>
      </c>
      <c r="AE353">
        <v>8000</v>
      </c>
      <c r="AF353">
        <v>4250</v>
      </c>
      <c r="AG353">
        <v>1</v>
      </c>
    </row>
    <row r="354" spans="1:33" ht="38.25" customHeight="1">
      <c r="A354">
        <v>1248</v>
      </c>
      <c r="B354" t="s">
        <v>1959</v>
      </c>
      <c r="C354">
        <v>8</v>
      </c>
      <c r="D354" t="s">
        <v>2610</v>
      </c>
      <c r="E354">
        <v>125</v>
      </c>
      <c r="G354" s="90" t="s">
        <v>2611</v>
      </c>
      <c r="I354">
        <v>32220</v>
      </c>
      <c r="J354" s="80" t="s">
        <v>2568</v>
      </c>
      <c r="K354" t="s">
        <v>767</v>
      </c>
      <c r="L354">
        <v>9006</v>
      </c>
      <c r="M354">
        <v>2</v>
      </c>
      <c r="O354">
        <v>0.5</v>
      </c>
      <c r="P354" s="80" t="s">
        <v>2570</v>
      </c>
      <c r="Q354" t="s">
        <v>769</v>
      </c>
      <c r="R354">
        <v>9010</v>
      </c>
      <c r="S354" t="s">
        <v>2612</v>
      </c>
      <c r="U354">
        <v>0.9</v>
      </c>
      <c r="V354">
        <v>70001</v>
      </c>
      <c r="W354">
        <v>2</v>
      </c>
      <c r="X354">
        <v>1</v>
      </c>
      <c r="Y354">
        <v>70002</v>
      </c>
      <c r="Z354">
        <v>2</v>
      </c>
      <c r="AA354">
        <v>1</v>
      </c>
      <c r="AB354">
        <v>1001</v>
      </c>
      <c r="AC354">
        <v>100</v>
      </c>
      <c r="AD354">
        <v>1</v>
      </c>
      <c r="AE354">
        <v>8000</v>
      </c>
      <c r="AF354">
        <v>4250</v>
      </c>
      <c r="AG354">
        <v>1</v>
      </c>
    </row>
    <row r="355" spans="1:33" ht="38.25" customHeight="1">
      <c r="A355">
        <v>1249</v>
      </c>
      <c r="B355" t="s">
        <v>1959</v>
      </c>
      <c r="C355">
        <v>8</v>
      </c>
      <c r="D355" t="s">
        <v>2613</v>
      </c>
      <c r="E355">
        <v>125</v>
      </c>
      <c r="G355" s="90" t="s">
        <v>2614</v>
      </c>
      <c r="I355">
        <v>32345</v>
      </c>
      <c r="J355" s="80" t="s">
        <v>2568</v>
      </c>
      <c r="K355" t="s">
        <v>767</v>
      </c>
      <c r="L355">
        <v>9001</v>
      </c>
      <c r="M355" t="s">
        <v>2285</v>
      </c>
      <c r="O355">
        <v>0.9</v>
      </c>
      <c r="P355" s="80" t="s">
        <v>2570</v>
      </c>
      <c r="Q355" t="s">
        <v>769</v>
      </c>
      <c r="R355">
        <v>9011</v>
      </c>
      <c r="S355" t="s">
        <v>2354</v>
      </c>
      <c r="U355">
        <v>0.7</v>
      </c>
      <c r="V355">
        <v>70001</v>
      </c>
      <c r="W355">
        <v>2</v>
      </c>
      <c r="X355">
        <v>1</v>
      </c>
      <c r="Y355">
        <v>70002</v>
      </c>
      <c r="Z355">
        <v>2</v>
      </c>
      <c r="AA355">
        <v>1</v>
      </c>
      <c r="AB355">
        <v>1001</v>
      </c>
      <c r="AC355">
        <v>100</v>
      </c>
      <c r="AD355">
        <v>1</v>
      </c>
      <c r="AE355">
        <v>8000</v>
      </c>
      <c r="AF355">
        <v>4300</v>
      </c>
      <c r="AG355">
        <v>1</v>
      </c>
    </row>
    <row r="356" spans="1:33" ht="38.25" customHeight="1">
      <c r="A356">
        <v>1250</v>
      </c>
      <c r="B356" t="s">
        <v>1959</v>
      </c>
      <c r="C356">
        <v>8</v>
      </c>
      <c r="D356" t="s">
        <v>2615</v>
      </c>
      <c r="E356">
        <v>126</v>
      </c>
      <c r="G356" s="90" t="s">
        <v>2616</v>
      </c>
      <c r="I356">
        <v>32470</v>
      </c>
      <c r="J356" s="80" t="s">
        <v>2568</v>
      </c>
      <c r="K356" t="s">
        <v>767</v>
      </c>
      <c r="L356">
        <v>9001</v>
      </c>
      <c r="M356" t="s">
        <v>1824</v>
      </c>
      <c r="O356">
        <v>0.5</v>
      </c>
      <c r="P356" s="80" t="s">
        <v>2570</v>
      </c>
      <c r="Q356" t="s">
        <v>769</v>
      </c>
      <c r="R356">
        <v>9011</v>
      </c>
      <c r="S356">
        <v>11</v>
      </c>
      <c r="U356">
        <v>0.2</v>
      </c>
      <c r="V356">
        <v>70001</v>
      </c>
      <c r="W356">
        <v>2</v>
      </c>
      <c r="X356">
        <v>1</v>
      </c>
      <c r="Y356">
        <v>70002</v>
      </c>
      <c r="Z356">
        <v>2</v>
      </c>
      <c r="AA356">
        <v>1</v>
      </c>
      <c r="AB356">
        <v>1001</v>
      </c>
      <c r="AC356">
        <v>100</v>
      </c>
      <c r="AD356">
        <v>1</v>
      </c>
      <c r="AE356">
        <v>8000</v>
      </c>
      <c r="AF356">
        <v>4300</v>
      </c>
      <c r="AG356">
        <v>1</v>
      </c>
    </row>
    <row r="357" spans="1:33" ht="38.25" customHeight="1">
      <c r="A357">
        <v>1251</v>
      </c>
      <c r="B357" t="s">
        <v>1959</v>
      </c>
      <c r="C357">
        <v>8</v>
      </c>
      <c r="D357" t="s">
        <v>2617</v>
      </c>
      <c r="E357">
        <v>126</v>
      </c>
      <c r="G357" s="90" t="s">
        <v>2618</v>
      </c>
      <c r="I357">
        <v>32595</v>
      </c>
      <c r="J357" s="80" t="s">
        <v>2568</v>
      </c>
      <c r="K357" t="s">
        <v>767</v>
      </c>
      <c r="L357">
        <v>9012</v>
      </c>
      <c r="M357" t="s">
        <v>2619</v>
      </c>
      <c r="O357">
        <v>0.7</v>
      </c>
      <c r="P357" s="80" t="s">
        <v>2570</v>
      </c>
      <c r="Q357" t="s">
        <v>769</v>
      </c>
      <c r="R357">
        <v>9011</v>
      </c>
      <c r="S357" t="s">
        <v>2620</v>
      </c>
      <c r="U357">
        <v>0.2</v>
      </c>
      <c r="V357">
        <v>70001</v>
      </c>
      <c r="W357">
        <v>2</v>
      </c>
      <c r="X357">
        <v>1</v>
      </c>
      <c r="Y357">
        <v>70002</v>
      </c>
      <c r="Z357">
        <v>2</v>
      </c>
      <c r="AA357">
        <v>1</v>
      </c>
      <c r="AB357">
        <v>1001</v>
      </c>
      <c r="AC357">
        <v>100</v>
      </c>
      <c r="AD357">
        <v>1</v>
      </c>
      <c r="AE357">
        <v>8000</v>
      </c>
      <c r="AF357">
        <v>4350</v>
      </c>
      <c r="AG357">
        <v>1</v>
      </c>
    </row>
    <row r="358" spans="1:33" ht="38.25" customHeight="1">
      <c r="A358">
        <v>1252</v>
      </c>
      <c r="B358" t="s">
        <v>1959</v>
      </c>
      <c r="C358">
        <v>8</v>
      </c>
      <c r="D358" t="s">
        <v>2621</v>
      </c>
      <c r="E358">
        <v>127</v>
      </c>
      <c r="G358" s="90" t="s">
        <v>2622</v>
      </c>
      <c r="I358">
        <v>32720</v>
      </c>
      <c r="J358" s="80" t="s">
        <v>2568</v>
      </c>
      <c r="K358" t="s">
        <v>767</v>
      </c>
      <c r="L358">
        <v>9005</v>
      </c>
      <c r="M358" t="s">
        <v>2354</v>
      </c>
      <c r="O358">
        <v>0.8</v>
      </c>
      <c r="P358" s="80" t="s">
        <v>2570</v>
      </c>
      <c r="Q358" t="s">
        <v>769</v>
      </c>
      <c r="R358">
        <v>9011</v>
      </c>
      <c r="S358" t="s">
        <v>2331</v>
      </c>
      <c r="U358">
        <v>0.7</v>
      </c>
      <c r="V358">
        <v>70001</v>
      </c>
      <c r="W358">
        <v>2</v>
      </c>
      <c r="X358">
        <v>1</v>
      </c>
      <c r="Y358">
        <v>70002</v>
      </c>
      <c r="Z358">
        <v>2</v>
      </c>
      <c r="AA358">
        <v>1</v>
      </c>
      <c r="AB358">
        <v>1001</v>
      </c>
      <c r="AC358">
        <v>100</v>
      </c>
      <c r="AD358">
        <v>1</v>
      </c>
      <c r="AE358">
        <v>8000</v>
      </c>
      <c r="AF358">
        <v>4350</v>
      </c>
      <c r="AG358">
        <v>1</v>
      </c>
    </row>
    <row r="359" spans="1:33" ht="38.25" customHeight="1">
      <c r="A359">
        <v>1253</v>
      </c>
      <c r="B359" t="s">
        <v>1959</v>
      </c>
      <c r="C359">
        <v>8</v>
      </c>
      <c r="D359" t="s">
        <v>2623</v>
      </c>
      <c r="E359">
        <v>127</v>
      </c>
      <c r="G359" s="90" t="s">
        <v>2624</v>
      </c>
      <c r="I359">
        <v>32845</v>
      </c>
      <c r="J359" s="80" t="s">
        <v>2568</v>
      </c>
      <c r="K359" t="s">
        <v>767</v>
      </c>
      <c r="L359">
        <v>9008</v>
      </c>
      <c r="M359" t="s">
        <v>2354</v>
      </c>
      <c r="O359">
        <v>0.5</v>
      </c>
      <c r="P359" s="80" t="s">
        <v>2570</v>
      </c>
      <c r="Q359" t="s">
        <v>769</v>
      </c>
      <c r="R359">
        <v>9008</v>
      </c>
      <c r="S359">
        <v>12</v>
      </c>
      <c r="U359">
        <v>0.8</v>
      </c>
      <c r="V359">
        <v>70001</v>
      </c>
      <c r="W359">
        <v>2</v>
      </c>
      <c r="X359">
        <v>1</v>
      </c>
      <c r="Y359">
        <v>70002</v>
      </c>
      <c r="Z359">
        <v>2</v>
      </c>
      <c r="AA359">
        <v>1</v>
      </c>
      <c r="AB359">
        <v>1001</v>
      </c>
      <c r="AC359">
        <v>100</v>
      </c>
      <c r="AD359">
        <v>1</v>
      </c>
      <c r="AE359">
        <v>8000</v>
      </c>
      <c r="AF359">
        <v>4350</v>
      </c>
      <c r="AG359">
        <v>1</v>
      </c>
    </row>
    <row r="360" spans="1:33" ht="38.25" customHeight="1">
      <c r="A360">
        <v>1254</v>
      </c>
      <c r="B360" t="s">
        <v>1959</v>
      </c>
      <c r="C360">
        <v>8</v>
      </c>
      <c r="D360" t="s">
        <v>2625</v>
      </c>
      <c r="E360">
        <v>128</v>
      </c>
      <c r="G360" s="90" t="s">
        <v>2626</v>
      </c>
      <c r="I360">
        <v>32970</v>
      </c>
      <c r="J360" s="80" t="s">
        <v>2568</v>
      </c>
      <c r="K360" t="s">
        <v>767</v>
      </c>
      <c r="L360">
        <v>9008</v>
      </c>
      <c r="M360" t="s">
        <v>2489</v>
      </c>
      <c r="O360">
        <v>0.4</v>
      </c>
      <c r="P360" s="80" t="s">
        <v>2570</v>
      </c>
      <c r="Q360" t="s">
        <v>769</v>
      </c>
      <c r="R360">
        <v>9011</v>
      </c>
      <c r="S360" t="s">
        <v>1696</v>
      </c>
      <c r="U360">
        <v>0.4</v>
      </c>
      <c r="V360">
        <v>70001</v>
      </c>
      <c r="W360">
        <v>2</v>
      </c>
      <c r="X360">
        <v>1</v>
      </c>
      <c r="Y360">
        <v>70002</v>
      </c>
      <c r="Z360">
        <v>2</v>
      </c>
      <c r="AA360">
        <v>1</v>
      </c>
      <c r="AB360">
        <v>1001</v>
      </c>
      <c r="AC360">
        <v>100</v>
      </c>
      <c r="AD360">
        <v>1</v>
      </c>
      <c r="AE360">
        <v>8000</v>
      </c>
      <c r="AF360">
        <v>4400</v>
      </c>
      <c r="AG360">
        <v>1</v>
      </c>
    </row>
    <row r="361" spans="1:33" ht="38.25" customHeight="1">
      <c r="A361">
        <v>1255</v>
      </c>
      <c r="B361" t="s">
        <v>1959</v>
      </c>
      <c r="C361">
        <v>8</v>
      </c>
      <c r="D361" t="s">
        <v>2627</v>
      </c>
      <c r="E361">
        <v>128</v>
      </c>
      <c r="G361" s="90" t="s">
        <v>2628</v>
      </c>
      <c r="I361">
        <v>33095</v>
      </c>
      <c r="J361" s="80" t="s">
        <v>2568</v>
      </c>
      <c r="K361" t="s">
        <v>767</v>
      </c>
      <c r="L361">
        <v>9006</v>
      </c>
      <c r="M361" t="s">
        <v>2629</v>
      </c>
      <c r="O361">
        <v>0.2</v>
      </c>
      <c r="P361" s="80" t="s">
        <v>2570</v>
      </c>
      <c r="Q361" t="s">
        <v>769</v>
      </c>
      <c r="R361">
        <v>9003</v>
      </c>
      <c r="S361" t="s">
        <v>2630</v>
      </c>
      <c r="U361">
        <v>0.1</v>
      </c>
      <c r="V361">
        <v>70001</v>
      </c>
      <c r="W361">
        <v>2</v>
      </c>
      <c r="X361">
        <v>1</v>
      </c>
      <c r="Y361">
        <v>70002</v>
      </c>
      <c r="Z361">
        <v>2</v>
      </c>
      <c r="AA361">
        <v>1</v>
      </c>
      <c r="AB361">
        <v>1001</v>
      </c>
      <c r="AC361">
        <v>100</v>
      </c>
      <c r="AD361">
        <v>1</v>
      </c>
      <c r="AE361">
        <v>8000</v>
      </c>
      <c r="AF361">
        <v>4400</v>
      </c>
      <c r="AG361">
        <v>1</v>
      </c>
    </row>
    <row r="362" spans="1:33" ht="38.25" customHeight="1">
      <c r="A362">
        <v>1256</v>
      </c>
      <c r="B362" t="s">
        <v>1959</v>
      </c>
      <c r="C362">
        <v>8</v>
      </c>
      <c r="D362" t="s">
        <v>2631</v>
      </c>
      <c r="E362">
        <v>129</v>
      </c>
      <c r="G362" s="90" t="s">
        <v>2632</v>
      </c>
      <c r="I362">
        <v>33220</v>
      </c>
      <c r="J362" s="80" t="s">
        <v>2568</v>
      </c>
      <c r="K362" t="s">
        <v>767</v>
      </c>
      <c r="L362">
        <v>9005</v>
      </c>
      <c r="M362" t="s">
        <v>1745</v>
      </c>
      <c r="O362">
        <v>0.6</v>
      </c>
      <c r="P362" s="80" t="s">
        <v>2570</v>
      </c>
      <c r="Q362" t="s">
        <v>769</v>
      </c>
      <c r="R362">
        <v>9012</v>
      </c>
      <c r="S362" t="s">
        <v>2350</v>
      </c>
      <c r="U362">
        <v>0.9</v>
      </c>
      <c r="V362">
        <v>70001</v>
      </c>
      <c r="W362">
        <v>2</v>
      </c>
      <c r="X362">
        <v>1</v>
      </c>
      <c r="Y362">
        <v>70002</v>
      </c>
      <c r="Z362">
        <v>2</v>
      </c>
      <c r="AA362">
        <v>1</v>
      </c>
      <c r="AB362">
        <v>1001</v>
      </c>
      <c r="AC362">
        <v>100</v>
      </c>
      <c r="AD362">
        <v>1</v>
      </c>
      <c r="AE362">
        <v>8000</v>
      </c>
      <c r="AF362">
        <v>4450</v>
      </c>
      <c r="AG362">
        <v>1</v>
      </c>
    </row>
    <row r="363" spans="1:33" ht="38.25" customHeight="1">
      <c r="A363">
        <v>1257</v>
      </c>
      <c r="B363" t="s">
        <v>1959</v>
      </c>
      <c r="C363">
        <v>8</v>
      </c>
      <c r="D363" t="s">
        <v>2633</v>
      </c>
      <c r="E363">
        <v>129</v>
      </c>
      <c r="G363" s="90" t="s">
        <v>2634</v>
      </c>
      <c r="I363">
        <v>33345</v>
      </c>
      <c r="J363" s="80" t="s">
        <v>2568</v>
      </c>
      <c r="K363" t="s">
        <v>767</v>
      </c>
      <c r="L363">
        <v>9011</v>
      </c>
      <c r="M363">
        <v>12</v>
      </c>
      <c r="O363">
        <v>0.9</v>
      </c>
      <c r="P363" s="80" t="s">
        <v>2570</v>
      </c>
      <c r="Q363" t="s">
        <v>769</v>
      </c>
      <c r="R363">
        <v>9011</v>
      </c>
      <c r="S363" t="s">
        <v>2350</v>
      </c>
      <c r="U363">
        <v>0.2</v>
      </c>
      <c r="V363">
        <v>70001</v>
      </c>
      <c r="W363">
        <v>2</v>
      </c>
      <c r="X363">
        <v>1</v>
      </c>
      <c r="Y363">
        <v>70002</v>
      </c>
      <c r="Z363">
        <v>2</v>
      </c>
      <c r="AA363">
        <v>1</v>
      </c>
      <c r="AB363">
        <v>1001</v>
      </c>
      <c r="AC363">
        <v>100</v>
      </c>
      <c r="AD363">
        <v>1</v>
      </c>
      <c r="AE363">
        <v>8000</v>
      </c>
      <c r="AF363">
        <v>4450</v>
      </c>
      <c r="AG363">
        <v>1</v>
      </c>
    </row>
    <row r="364" spans="1:33" ht="38.25" customHeight="1">
      <c r="A364">
        <v>1258</v>
      </c>
      <c r="B364" t="s">
        <v>1959</v>
      </c>
      <c r="C364">
        <v>8</v>
      </c>
      <c r="D364" t="s">
        <v>2635</v>
      </c>
      <c r="E364">
        <v>130</v>
      </c>
      <c r="G364" s="90" t="s">
        <v>2636</v>
      </c>
      <c r="I364">
        <v>33470</v>
      </c>
      <c r="J364" s="80" t="s">
        <v>2568</v>
      </c>
      <c r="K364" t="s">
        <v>767</v>
      </c>
      <c r="L364">
        <v>9005</v>
      </c>
      <c r="M364">
        <v>1</v>
      </c>
      <c r="O364">
        <v>0.8</v>
      </c>
      <c r="P364" s="80" t="s">
        <v>2570</v>
      </c>
      <c r="Q364" t="s">
        <v>769</v>
      </c>
      <c r="R364">
        <v>9007</v>
      </c>
      <c r="S364" t="s">
        <v>2002</v>
      </c>
      <c r="U364">
        <v>0.7</v>
      </c>
      <c r="V364">
        <v>70001</v>
      </c>
      <c r="W364">
        <v>2</v>
      </c>
      <c r="X364">
        <v>1</v>
      </c>
      <c r="Y364">
        <v>70002</v>
      </c>
      <c r="Z364">
        <v>2</v>
      </c>
      <c r="AA364">
        <v>1</v>
      </c>
      <c r="AB364">
        <v>1001</v>
      </c>
      <c r="AC364">
        <v>100</v>
      </c>
      <c r="AD364">
        <v>1</v>
      </c>
      <c r="AE364">
        <v>8000</v>
      </c>
      <c r="AF364">
        <v>4500</v>
      </c>
      <c r="AG364">
        <v>1</v>
      </c>
    </row>
    <row r="365" spans="1:33" ht="38.25" customHeight="1">
      <c r="A365">
        <v>1259</v>
      </c>
      <c r="B365" t="s">
        <v>1959</v>
      </c>
      <c r="C365">
        <v>8</v>
      </c>
      <c r="D365" t="s">
        <v>2637</v>
      </c>
      <c r="E365">
        <v>130</v>
      </c>
      <c r="G365" s="90" t="s">
        <v>2638</v>
      </c>
      <c r="I365">
        <v>33595</v>
      </c>
      <c r="J365" s="80" t="s">
        <v>2568</v>
      </c>
      <c r="K365" t="s">
        <v>767</v>
      </c>
      <c r="L365">
        <v>9002</v>
      </c>
      <c r="M365" t="s">
        <v>2134</v>
      </c>
      <c r="O365">
        <v>0.6</v>
      </c>
      <c r="P365" s="80" t="s">
        <v>2570</v>
      </c>
      <c r="Q365" t="s">
        <v>769</v>
      </c>
      <c r="R365">
        <v>9004</v>
      </c>
      <c r="S365">
        <v>5</v>
      </c>
      <c r="U365">
        <v>0.2</v>
      </c>
      <c r="V365">
        <v>70001</v>
      </c>
      <c r="W365">
        <v>2</v>
      </c>
      <c r="X365">
        <v>1</v>
      </c>
      <c r="Y365">
        <v>70002</v>
      </c>
      <c r="Z365">
        <v>2</v>
      </c>
      <c r="AA365">
        <v>1</v>
      </c>
      <c r="AB365">
        <v>1001</v>
      </c>
      <c r="AC365">
        <v>100</v>
      </c>
      <c r="AD365">
        <v>1</v>
      </c>
      <c r="AE365">
        <v>8000</v>
      </c>
      <c r="AF365">
        <v>4500</v>
      </c>
      <c r="AG365">
        <v>1</v>
      </c>
    </row>
    <row r="366" spans="1:33" ht="38.25" customHeight="1">
      <c r="A366">
        <v>1260</v>
      </c>
      <c r="B366" t="s">
        <v>1959</v>
      </c>
      <c r="C366">
        <v>8</v>
      </c>
      <c r="D366" t="s">
        <v>2639</v>
      </c>
      <c r="E366">
        <v>131</v>
      </c>
      <c r="G366" s="90" t="s">
        <v>2640</v>
      </c>
      <c r="I366">
        <v>33720</v>
      </c>
      <c r="J366" s="80" t="s">
        <v>2568</v>
      </c>
      <c r="K366" t="s">
        <v>767</v>
      </c>
      <c r="L366">
        <v>9007</v>
      </c>
      <c r="M366">
        <v>10</v>
      </c>
      <c r="O366">
        <v>0.2</v>
      </c>
      <c r="P366" s="80" t="s">
        <v>2570</v>
      </c>
      <c r="Q366" t="s">
        <v>769</v>
      </c>
      <c r="R366">
        <v>9012</v>
      </c>
      <c r="S366" t="s">
        <v>2641</v>
      </c>
      <c r="U366">
        <v>0.4</v>
      </c>
      <c r="V366">
        <v>70001</v>
      </c>
      <c r="W366">
        <v>2</v>
      </c>
      <c r="X366">
        <v>1</v>
      </c>
      <c r="Y366">
        <v>70002</v>
      </c>
      <c r="Z366">
        <v>2</v>
      </c>
      <c r="AA366">
        <v>1</v>
      </c>
      <c r="AB366">
        <v>1001</v>
      </c>
      <c r="AC366">
        <v>100</v>
      </c>
      <c r="AD366">
        <v>1</v>
      </c>
      <c r="AE366">
        <v>8000</v>
      </c>
      <c r="AF366">
        <v>4550</v>
      </c>
      <c r="AG366">
        <v>1</v>
      </c>
    </row>
    <row r="367" spans="1:33" ht="38.25" customHeight="1">
      <c r="A367">
        <v>1261</v>
      </c>
      <c r="B367" t="s">
        <v>1959</v>
      </c>
      <c r="C367">
        <v>8</v>
      </c>
      <c r="D367" t="s">
        <v>2642</v>
      </c>
      <c r="E367">
        <v>131</v>
      </c>
      <c r="G367" s="90" t="s">
        <v>2643</v>
      </c>
      <c r="I367">
        <v>33845</v>
      </c>
      <c r="J367" s="80" t="s">
        <v>2568</v>
      </c>
      <c r="K367" t="s">
        <v>767</v>
      </c>
      <c r="L367">
        <v>9006</v>
      </c>
      <c r="M367" t="s">
        <v>2644</v>
      </c>
      <c r="O367">
        <v>0.7</v>
      </c>
      <c r="P367" s="80" t="s">
        <v>2570</v>
      </c>
      <c r="Q367" t="s">
        <v>769</v>
      </c>
      <c r="R367">
        <v>9007</v>
      </c>
      <c r="S367" t="s">
        <v>1709</v>
      </c>
      <c r="U367">
        <v>0.7</v>
      </c>
      <c r="V367">
        <v>70001</v>
      </c>
      <c r="W367">
        <v>2</v>
      </c>
      <c r="X367">
        <v>1</v>
      </c>
      <c r="Y367">
        <v>70002</v>
      </c>
      <c r="Z367">
        <v>2</v>
      </c>
      <c r="AA367">
        <v>1</v>
      </c>
      <c r="AB367">
        <v>1001</v>
      </c>
      <c r="AC367">
        <v>100</v>
      </c>
      <c r="AD367">
        <v>1</v>
      </c>
      <c r="AE367">
        <v>8000</v>
      </c>
      <c r="AF367">
        <v>4550</v>
      </c>
      <c r="AG367">
        <v>1</v>
      </c>
    </row>
    <row r="368" spans="1:33" ht="38.25" customHeight="1">
      <c r="A368">
        <v>1262</v>
      </c>
      <c r="B368" t="s">
        <v>1959</v>
      </c>
      <c r="C368">
        <v>8</v>
      </c>
      <c r="D368" t="s">
        <v>2645</v>
      </c>
      <c r="E368">
        <v>132</v>
      </c>
      <c r="G368" s="90" t="s">
        <v>2646</v>
      </c>
      <c r="I368">
        <v>33970</v>
      </c>
      <c r="J368" s="80" t="s">
        <v>2568</v>
      </c>
      <c r="K368" t="s">
        <v>767</v>
      </c>
      <c r="L368">
        <v>9012</v>
      </c>
      <c r="M368" t="s">
        <v>2647</v>
      </c>
      <c r="O368">
        <v>0.2</v>
      </c>
      <c r="P368" s="80" t="s">
        <v>2570</v>
      </c>
      <c r="Q368" t="s">
        <v>769</v>
      </c>
      <c r="R368">
        <v>9012</v>
      </c>
      <c r="S368">
        <v>10</v>
      </c>
      <c r="U368">
        <v>0.3</v>
      </c>
      <c r="V368">
        <v>70001</v>
      </c>
      <c r="W368">
        <v>2</v>
      </c>
      <c r="X368">
        <v>1</v>
      </c>
      <c r="Y368">
        <v>70002</v>
      </c>
      <c r="Z368">
        <v>2</v>
      </c>
      <c r="AA368">
        <v>1</v>
      </c>
      <c r="AB368">
        <v>1001</v>
      </c>
      <c r="AC368">
        <v>100</v>
      </c>
      <c r="AD368">
        <v>1</v>
      </c>
      <c r="AE368">
        <v>8000</v>
      </c>
      <c r="AF368">
        <v>4600</v>
      </c>
      <c r="AG368">
        <v>1</v>
      </c>
    </row>
    <row r="369" spans="1:33" ht="38.25" customHeight="1">
      <c r="A369">
        <v>1263</v>
      </c>
      <c r="B369" t="s">
        <v>1959</v>
      </c>
      <c r="C369">
        <v>8</v>
      </c>
      <c r="D369" t="s">
        <v>2648</v>
      </c>
      <c r="E369">
        <v>132</v>
      </c>
      <c r="G369" s="90" t="s">
        <v>2649</v>
      </c>
      <c r="I369">
        <v>34095</v>
      </c>
      <c r="J369" s="80" t="s">
        <v>2568</v>
      </c>
      <c r="K369" t="s">
        <v>767</v>
      </c>
      <c r="L369">
        <v>9005</v>
      </c>
      <c r="M369">
        <v>11</v>
      </c>
      <c r="O369">
        <v>0.1</v>
      </c>
      <c r="P369" s="80" t="s">
        <v>2570</v>
      </c>
      <c r="Q369" t="s">
        <v>769</v>
      </c>
      <c r="R369">
        <v>9003</v>
      </c>
      <c r="S369" t="s">
        <v>2367</v>
      </c>
      <c r="U369">
        <v>0.4</v>
      </c>
      <c r="V369">
        <v>70001</v>
      </c>
      <c r="W369">
        <v>2</v>
      </c>
      <c r="X369">
        <v>1</v>
      </c>
      <c r="Y369">
        <v>70002</v>
      </c>
      <c r="Z369">
        <v>2</v>
      </c>
      <c r="AA369">
        <v>1</v>
      </c>
      <c r="AB369">
        <v>1001</v>
      </c>
      <c r="AC369">
        <v>100</v>
      </c>
      <c r="AD369">
        <v>1</v>
      </c>
      <c r="AE369">
        <v>8000</v>
      </c>
      <c r="AF369">
        <v>4600</v>
      </c>
      <c r="AG369">
        <v>1</v>
      </c>
    </row>
    <row r="370" spans="1:33" ht="38.25" customHeight="1">
      <c r="A370">
        <v>1264</v>
      </c>
      <c r="B370" t="s">
        <v>1959</v>
      </c>
      <c r="C370">
        <v>8</v>
      </c>
      <c r="D370" t="s">
        <v>2650</v>
      </c>
      <c r="E370">
        <v>133</v>
      </c>
      <c r="G370" s="90" t="s">
        <v>2651</v>
      </c>
      <c r="I370">
        <v>34220</v>
      </c>
      <c r="J370" s="80" t="s">
        <v>2568</v>
      </c>
      <c r="K370" t="s">
        <v>767</v>
      </c>
      <c r="L370">
        <v>9011</v>
      </c>
      <c r="M370" t="s">
        <v>2279</v>
      </c>
      <c r="O370">
        <v>0.1</v>
      </c>
      <c r="P370" s="80" t="s">
        <v>2570</v>
      </c>
      <c r="Q370" t="s">
        <v>769</v>
      </c>
      <c r="R370">
        <v>9008</v>
      </c>
      <c r="S370" t="s">
        <v>1659</v>
      </c>
      <c r="U370">
        <v>0.1</v>
      </c>
      <c r="V370">
        <v>70001</v>
      </c>
      <c r="W370">
        <v>2</v>
      </c>
      <c r="X370">
        <v>1</v>
      </c>
      <c r="Y370">
        <v>70002</v>
      </c>
      <c r="Z370">
        <v>2</v>
      </c>
      <c r="AA370">
        <v>1</v>
      </c>
      <c r="AB370">
        <v>1001</v>
      </c>
      <c r="AC370">
        <v>100</v>
      </c>
      <c r="AD370">
        <v>1</v>
      </c>
      <c r="AE370">
        <v>8000</v>
      </c>
      <c r="AF370">
        <v>4600</v>
      </c>
      <c r="AG370">
        <v>1</v>
      </c>
    </row>
    <row r="371" spans="1:33" ht="38.25" customHeight="1">
      <c r="A371">
        <v>1265</v>
      </c>
      <c r="B371" t="s">
        <v>1959</v>
      </c>
      <c r="C371">
        <v>8</v>
      </c>
      <c r="D371" t="s">
        <v>2652</v>
      </c>
      <c r="E371">
        <v>133</v>
      </c>
      <c r="G371" s="90" t="s">
        <v>2653</v>
      </c>
      <c r="I371">
        <v>34345</v>
      </c>
      <c r="J371" s="80" t="s">
        <v>2568</v>
      </c>
      <c r="K371" t="s">
        <v>767</v>
      </c>
      <c r="L371">
        <v>9001</v>
      </c>
      <c r="M371">
        <v>3</v>
      </c>
      <c r="O371">
        <v>0.9</v>
      </c>
      <c r="P371" s="80" t="s">
        <v>2570</v>
      </c>
      <c r="Q371" t="s">
        <v>769</v>
      </c>
      <c r="R371">
        <v>9004</v>
      </c>
      <c r="S371" t="s">
        <v>2083</v>
      </c>
      <c r="U371">
        <v>0.5</v>
      </c>
      <c r="V371">
        <v>70001</v>
      </c>
      <c r="W371">
        <v>2</v>
      </c>
      <c r="X371">
        <v>1</v>
      </c>
      <c r="Y371">
        <v>70002</v>
      </c>
      <c r="Z371">
        <v>2</v>
      </c>
      <c r="AA371">
        <v>1</v>
      </c>
      <c r="AB371">
        <v>1001</v>
      </c>
      <c r="AC371">
        <v>100</v>
      </c>
      <c r="AD371">
        <v>1</v>
      </c>
      <c r="AE371">
        <v>8000</v>
      </c>
      <c r="AF371">
        <v>4650</v>
      </c>
      <c r="AG371">
        <v>1</v>
      </c>
    </row>
    <row r="372" spans="1:33" ht="38.25" customHeight="1">
      <c r="A372">
        <v>1266</v>
      </c>
      <c r="B372" t="s">
        <v>1959</v>
      </c>
      <c r="C372">
        <v>8</v>
      </c>
      <c r="D372" t="s">
        <v>2654</v>
      </c>
      <c r="E372">
        <v>134</v>
      </c>
      <c r="G372" s="90" t="s">
        <v>2655</v>
      </c>
      <c r="I372">
        <v>34470</v>
      </c>
      <c r="J372" s="80" t="s">
        <v>2568</v>
      </c>
      <c r="K372" t="s">
        <v>767</v>
      </c>
      <c r="L372">
        <v>9011</v>
      </c>
      <c r="M372" t="s">
        <v>2656</v>
      </c>
      <c r="O372">
        <v>0.4</v>
      </c>
      <c r="P372" s="80" t="s">
        <v>2570</v>
      </c>
      <c r="Q372" t="s">
        <v>769</v>
      </c>
      <c r="R372">
        <v>9010</v>
      </c>
      <c r="S372" t="s">
        <v>1982</v>
      </c>
      <c r="U372">
        <v>0.9</v>
      </c>
      <c r="V372">
        <v>70001</v>
      </c>
      <c r="W372">
        <v>2</v>
      </c>
      <c r="X372">
        <v>1</v>
      </c>
      <c r="Y372">
        <v>70002</v>
      </c>
      <c r="Z372">
        <v>2</v>
      </c>
      <c r="AA372">
        <v>1</v>
      </c>
      <c r="AB372">
        <v>1001</v>
      </c>
      <c r="AC372">
        <v>100</v>
      </c>
      <c r="AD372">
        <v>1</v>
      </c>
      <c r="AE372">
        <v>8000</v>
      </c>
      <c r="AF372">
        <v>4650</v>
      </c>
      <c r="AG372">
        <v>1</v>
      </c>
    </row>
    <row r="373" spans="1:33" ht="38.25" customHeight="1">
      <c r="A373">
        <v>1267</v>
      </c>
      <c r="B373" t="s">
        <v>1959</v>
      </c>
      <c r="C373">
        <v>8</v>
      </c>
      <c r="D373" t="s">
        <v>2657</v>
      </c>
      <c r="E373">
        <v>134</v>
      </c>
      <c r="G373" s="90" t="s">
        <v>2658</v>
      </c>
      <c r="I373">
        <v>34595</v>
      </c>
      <c r="J373" s="80" t="s">
        <v>2568</v>
      </c>
      <c r="K373" t="s">
        <v>767</v>
      </c>
      <c r="L373">
        <v>9008</v>
      </c>
      <c r="M373">
        <v>1</v>
      </c>
      <c r="O373">
        <v>0.1</v>
      </c>
      <c r="P373" s="80" t="s">
        <v>2570</v>
      </c>
      <c r="Q373" t="s">
        <v>769</v>
      </c>
      <c r="R373">
        <v>9007</v>
      </c>
      <c r="S373">
        <v>4</v>
      </c>
      <c r="U373">
        <v>0.4</v>
      </c>
      <c r="V373">
        <v>70001</v>
      </c>
      <c r="W373">
        <v>2</v>
      </c>
      <c r="X373">
        <v>1</v>
      </c>
      <c r="Y373">
        <v>70002</v>
      </c>
      <c r="Z373">
        <v>2</v>
      </c>
      <c r="AA373">
        <v>1</v>
      </c>
      <c r="AB373">
        <v>1001</v>
      </c>
      <c r="AC373">
        <v>100</v>
      </c>
      <c r="AD373">
        <v>1</v>
      </c>
      <c r="AE373">
        <v>8000</v>
      </c>
      <c r="AF373">
        <v>4700</v>
      </c>
      <c r="AG373">
        <v>1</v>
      </c>
    </row>
    <row r="374" spans="1:33" ht="38.25" customHeight="1">
      <c r="A374">
        <v>1268</v>
      </c>
      <c r="B374" t="s">
        <v>1959</v>
      </c>
      <c r="C374">
        <v>8</v>
      </c>
      <c r="D374" t="s">
        <v>2659</v>
      </c>
      <c r="E374">
        <v>135</v>
      </c>
      <c r="G374" s="90" t="s">
        <v>2660</v>
      </c>
      <c r="I374">
        <v>34720</v>
      </c>
      <c r="J374" s="80" t="s">
        <v>2568</v>
      </c>
      <c r="K374" t="s">
        <v>767</v>
      </c>
      <c r="L374">
        <v>9007</v>
      </c>
      <c r="M374">
        <v>12</v>
      </c>
      <c r="O374">
        <v>0.9</v>
      </c>
      <c r="P374" s="80" t="s">
        <v>2570</v>
      </c>
      <c r="Q374" t="s">
        <v>769</v>
      </c>
      <c r="R374">
        <v>9008</v>
      </c>
      <c r="S374" t="s">
        <v>2587</v>
      </c>
      <c r="U374">
        <v>0.5</v>
      </c>
      <c r="V374">
        <v>70001</v>
      </c>
      <c r="W374">
        <v>2</v>
      </c>
      <c r="X374">
        <v>1</v>
      </c>
      <c r="Y374">
        <v>70002</v>
      </c>
      <c r="Z374">
        <v>2</v>
      </c>
      <c r="AA374">
        <v>1</v>
      </c>
      <c r="AB374">
        <v>1001</v>
      </c>
      <c r="AC374">
        <v>100</v>
      </c>
      <c r="AD374">
        <v>1</v>
      </c>
      <c r="AE374">
        <v>8000</v>
      </c>
      <c r="AF374">
        <v>4700</v>
      </c>
      <c r="AG374">
        <v>1</v>
      </c>
    </row>
    <row r="375" spans="1:33" ht="38.25" customHeight="1">
      <c r="A375">
        <v>1269</v>
      </c>
      <c r="B375" t="s">
        <v>1959</v>
      </c>
      <c r="C375">
        <v>8</v>
      </c>
      <c r="D375" t="s">
        <v>2661</v>
      </c>
      <c r="E375">
        <v>135</v>
      </c>
      <c r="G375" s="90" t="s">
        <v>2662</v>
      </c>
      <c r="I375">
        <v>34845</v>
      </c>
      <c r="J375" s="80" t="s">
        <v>2568</v>
      </c>
      <c r="K375" t="s">
        <v>767</v>
      </c>
      <c r="L375">
        <v>9007</v>
      </c>
      <c r="M375">
        <v>8</v>
      </c>
      <c r="O375">
        <v>0.5</v>
      </c>
      <c r="P375" s="80" t="s">
        <v>2570</v>
      </c>
      <c r="Q375" t="s">
        <v>769</v>
      </c>
      <c r="R375">
        <v>9003</v>
      </c>
      <c r="S375">
        <v>4</v>
      </c>
      <c r="U375">
        <v>0.8</v>
      </c>
      <c r="V375">
        <v>70001</v>
      </c>
      <c r="W375">
        <v>2</v>
      </c>
      <c r="X375">
        <v>1</v>
      </c>
      <c r="Y375">
        <v>70002</v>
      </c>
      <c r="Z375">
        <v>2</v>
      </c>
      <c r="AA375">
        <v>1</v>
      </c>
      <c r="AB375">
        <v>1001</v>
      </c>
      <c r="AC375">
        <v>500</v>
      </c>
      <c r="AD375">
        <v>1</v>
      </c>
      <c r="AE375">
        <v>8000</v>
      </c>
      <c r="AF375">
        <v>4750</v>
      </c>
      <c r="AG375">
        <v>1</v>
      </c>
    </row>
    <row r="376" spans="1:33" ht="38.25" customHeight="1">
      <c r="A376">
        <v>1270</v>
      </c>
      <c r="B376" t="s">
        <v>1959</v>
      </c>
      <c r="C376">
        <v>9</v>
      </c>
      <c r="D376" t="s">
        <v>2663</v>
      </c>
      <c r="E376">
        <v>136</v>
      </c>
      <c r="G376" s="90" t="s">
        <v>2664</v>
      </c>
      <c r="I376">
        <v>34970</v>
      </c>
      <c r="J376" s="80" t="s">
        <v>2665</v>
      </c>
      <c r="K376" t="s">
        <v>767</v>
      </c>
      <c r="L376">
        <v>9012</v>
      </c>
      <c r="M376" t="s">
        <v>2666</v>
      </c>
      <c r="O376">
        <v>0.3</v>
      </c>
      <c r="P376" s="80" t="s">
        <v>2667</v>
      </c>
      <c r="Q376" t="s">
        <v>769</v>
      </c>
      <c r="R376">
        <v>9003</v>
      </c>
      <c r="S376" t="s">
        <v>2668</v>
      </c>
      <c r="U376">
        <v>0.1</v>
      </c>
      <c r="V376">
        <v>70001</v>
      </c>
      <c r="W376">
        <v>2</v>
      </c>
      <c r="X376">
        <v>1</v>
      </c>
      <c r="Y376">
        <v>70002</v>
      </c>
      <c r="Z376">
        <v>2</v>
      </c>
      <c r="AA376">
        <v>1</v>
      </c>
      <c r="AB376">
        <v>1001</v>
      </c>
      <c r="AC376">
        <v>100</v>
      </c>
      <c r="AD376">
        <v>1</v>
      </c>
      <c r="AE376">
        <v>8000</v>
      </c>
      <c r="AF376">
        <v>4750</v>
      </c>
      <c r="AG376">
        <v>1</v>
      </c>
    </row>
    <row r="377" spans="1:33" ht="38.25" customHeight="1">
      <c r="A377">
        <v>1271</v>
      </c>
      <c r="B377" t="s">
        <v>1959</v>
      </c>
      <c r="C377">
        <v>9</v>
      </c>
      <c r="D377" t="s">
        <v>2669</v>
      </c>
      <c r="E377">
        <v>136</v>
      </c>
      <c r="G377" s="90" t="s">
        <v>2670</v>
      </c>
      <c r="I377">
        <v>35095</v>
      </c>
      <c r="J377" s="80" t="s">
        <v>2665</v>
      </c>
      <c r="K377" t="s">
        <v>767</v>
      </c>
      <c r="L377">
        <v>9002</v>
      </c>
      <c r="M377" t="s">
        <v>2002</v>
      </c>
      <c r="O377">
        <v>0.5</v>
      </c>
      <c r="P377" s="80" t="s">
        <v>2667</v>
      </c>
      <c r="Q377" t="s">
        <v>769</v>
      </c>
      <c r="R377">
        <v>9011</v>
      </c>
      <c r="S377" t="s">
        <v>2671</v>
      </c>
      <c r="U377">
        <v>0.6</v>
      </c>
      <c r="V377">
        <v>70001</v>
      </c>
      <c r="W377">
        <v>2</v>
      </c>
      <c r="X377">
        <v>1</v>
      </c>
      <c r="Y377">
        <v>70002</v>
      </c>
      <c r="Z377">
        <v>2</v>
      </c>
      <c r="AA377">
        <v>1</v>
      </c>
      <c r="AB377">
        <v>1001</v>
      </c>
      <c r="AC377">
        <v>100</v>
      </c>
      <c r="AD377">
        <v>1</v>
      </c>
      <c r="AE377">
        <v>8000</v>
      </c>
      <c r="AF377">
        <v>4800</v>
      </c>
      <c r="AG377">
        <v>1</v>
      </c>
    </row>
    <row r="378" spans="1:33" ht="38.25" customHeight="1">
      <c r="A378">
        <v>1272</v>
      </c>
      <c r="B378" t="s">
        <v>1959</v>
      </c>
      <c r="C378">
        <v>9</v>
      </c>
      <c r="D378" t="s">
        <v>2672</v>
      </c>
      <c r="E378">
        <v>137</v>
      </c>
      <c r="G378" s="90" t="s">
        <v>2670</v>
      </c>
      <c r="I378">
        <v>35220</v>
      </c>
      <c r="J378" s="80" t="s">
        <v>2665</v>
      </c>
      <c r="K378" t="s">
        <v>767</v>
      </c>
      <c r="L378">
        <v>9008</v>
      </c>
      <c r="M378">
        <v>3</v>
      </c>
      <c r="O378">
        <v>0.5</v>
      </c>
      <c r="P378" s="80" t="s">
        <v>2667</v>
      </c>
      <c r="Q378" t="s">
        <v>769</v>
      </c>
      <c r="R378">
        <v>9011</v>
      </c>
      <c r="S378" t="s">
        <v>2432</v>
      </c>
      <c r="U378">
        <v>0.8</v>
      </c>
      <c r="V378">
        <v>70001</v>
      </c>
      <c r="W378">
        <v>2</v>
      </c>
      <c r="X378">
        <v>1</v>
      </c>
      <c r="Y378">
        <v>70002</v>
      </c>
      <c r="Z378">
        <v>2</v>
      </c>
      <c r="AA378">
        <v>1</v>
      </c>
      <c r="AB378">
        <v>1001</v>
      </c>
      <c r="AC378">
        <v>100</v>
      </c>
      <c r="AD378">
        <v>1</v>
      </c>
      <c r="AE378">
        <v>8000</v>
      </c>
      <c r="AF378">
        <v>4800</v>
      </c>
      <c r="AG378">
        <v>1</v>
      </c>
    </row>
    <row r="379" spans="1:33" ht="38.25" customHeight="1">
      <c r="A379">
        <v>1273</v>
      </c>
      <c r="B379" t="s">
        <v>1959</v>
      </c>
      <c r="C379">
        <v>9</v>
      </c>
      <c r="D379" t="s">
        <v>2673</v>
      </c>
      <c r="E379">
        <v>137</v>
      </c>
      <c r="G379" s="90" t="s">
        <v>2674</v>
      </c>
      <c r="I379">
        <v>35345</v>
      </c>
      <c r="J379" s="80" t="s">
        <v>2665</v>
      </c>
      <c r="K379" t="s">
        <v>767</v>
      </c>
      <c r="L379">
        <v>9007</v>
      </c>
      <c r="M379" t="s">
        <v>1907</v>
      </c>
      <c r="O379">
        <v>0.1</v>
      </c>
      <c r="P379" s="80" t="s">
        <v>2667</v>
      </c>
      <c r="Q379" t="s">
        <v>769</v>
      </c>
      <c r="R379">
        <v>9007</v>
      </c>
      <c r="S379" t="s">
        <v>2187</v>
      </c>
      <c r="U379">
        <v>0.6</v>
      </c>
      <c r="V379">
        <v>70001</v>
      </c>
      <c r="W379">
        <v>2</v>
      </c>
      <c r="X379">
        <v>1</v>
      </c>
      <c r="Y379">
        <v>70002</v>
      </c>
      <c r="Z379">
        <v>2</v>
      </c>
      <c r="AA379">
        <v>1</v>
      </c>
      <c r="AB379">
        <v>1001</v>
      </c>
      <c r="AC379">
        <v>100</v>
      </c>
      <c r="AD379">
        <v>1</v>
      </c>
      <c r="AE379">
        <v>8000</v>
      </c>
      <c r="AF379">
        <v>4850</v>
      </c>
      <c r="AG379">
        <v>1</v>
      </c>
    </row>
    <row r="380" spans="1:33" ht="38.25" customHeight="1">
      <c r="A380">
        <v>1274</v>
      </c>
      <c r="B380" t="s">
        <v>1959</v>
      </c>
      <c r="C380">
        <v>9</v>
      </c>
      <c r="D380" t="s">
        <v>2675</v>
      </c>
      <c r="E380">
        <v>138</v>
      </c>
      <c r="G380" s="90" t="s">
        <v>2676</v>
      </c>
      <c r="I380">
        <v>35470</v>
      </c>
      <c r="J380" s="80" t="s">
        <v>2665</v>
      </c>
      <c r="K380" t="s">
        <v>767</v>
      </c>
      <c r="L380">
        <v>9005</v>
      </c>
      <c r="M380" t="s">
        <v>2425</v>
      </c>
      <c r="O380">
        <v>1</v>
      </c>
      <c r="P380" s="80" t="s">
        <v>2667</v>
      </c>
      <c r="Q380" t="s">
        <v>769</v>
      </c>
      <c r="R380">
        <v>9012</v>
      </c>
      <c r="S380" t="s">
        <v>2072</v>
      </c>
      <c r="U380">
        <v>0.9</v>
      </c>
      <c r="V380">
        <v>70001</v>
      </c>
      <c r="W380">
        <v>2</v>
      </c>
      <c r="X380">
        <v>1</v>
      </c>
      <c r="Y380">
        <v>70002</v>
      </c>
      <c r="Z380">
        <v>2</v>
      </c>
      <c r="AA380">
        <v>1</v>
      </c>
      <c r="AB380">
        <v>1001</v>
      </c>
      <c r="AC380">
        <v>100</v>
      </c>
      <c r="AD380">
        <v>1</v>
      </c>
      <c r="AE380">
        <v>8000</v>
      </c>
      <c r="AF380">
        <v>4850</v>
      </c>
      <c r="AG380">
        <v>1</v>
      </c>
    </row>
    <row r="381" spans="1:33" ht="38.25" customHeight="1">
      <c r="A381">
        <v>1275</v>
      </c>
      <c r="B381" t="s">
        <v>1959</v>
      </c>
      <c r="C381">
        <v>9</v>
      </c>
      <c r="D381" t="s">
        <v>2677</v>
      </c>
      <c r="E381">
        <v>138</v>
      </c>
      <c r="G381" s="90" t="s">
        <v>2678</v>
      </c>
      <c r="I381">
        <v>35595</v>
      </c>
      <c r="J381" s="80" t="s">
        <v>2665</v>
      </c>
      <c r="K381" t="s">
        <v>767</v>
      </c>
      <c r="L381">
        <v>9007</v>
      </c>
      <c r="M381">
        <v>9</v>
      </c>
      <c r="O381">
        <v>0.6</v>
      </c>
      <c r="P381" s="80" t="s">
        <v>2667</v>
      </c>
      <c r="Q381" t="s">
        <v>769</v>
      </c>
      <c r="R381">
        <v>9004</v>
      </c>
      <c r="S381" t="s">
        <v>1827</v>
      </c>
      <c r="U381">
        <v>0.4</v>
      </c>
      <c r="V381">
        <v>70001</v>
      </c>
      <c r="W381">
        <v>2</v>
      </c>
      <c r="X381">
        <v>1</v>
      </c>
      <c r="Y381">
        <v>70002</v>
      </c>
      <c r="Z381">
        <v>2</v>
      </c>
      <c r="AA381">
        <v>1</v>
      </c>
      <c r="AB381">
        <v>1001</v>
      </c>
      <c r="AC381">
        <v>100</v>
      </c>
      <c r="AD381">
        <v>1</v>
      </c>
      <c r="AE381">
        <v>8000</v>
      </c>
      <c r="AF381">
        <v>4900</v>
      </c>
      <c r="AG381">
        <v>1</v>
      </c>
    </row>
    <row r="382" spans="1:33" ht="38.25" customHeight="1">
      <c r="A382">
        <v>1276</v>
      </c>
      <c r="B382" t="s">
        <v>1959</v>
      </c>
      <c r="C382">
        <v>9</v>
      </c>
      <c r="D382" t="s">
        <v>2679</v>
      </c>
      <c r="E382">
        <v>139</v>
      </c>
      <c r="G382" s="90" t="s">
        <v>2680</v>
      </c>
      <c r="I382">
        <v>35720</v>
      </c>
      <c r="J382" s="80" t="s">
        <v>2665</v>
      </c>
      <c r="K382" t="s">
        <v>767</v>
      </c>
      <c r="L382">
        <v>9001</v>
      </c>
      <c r="M382" t="s">
        <v>2681</v>
      </c>
      <c r="O382">
        <v>0.7</v>
      </c>
      <c r="P382" s="80" t="s">
        <v>2667</v>
      </c>
      <c r="Q382" t="s">
        <v>769</v>
      </c>
      <c r="R382">
        <v>9008</v>
      </c>
      <c r="S382">
        <v>3</v>
      </c>
      <c r="U382">
        <v>0.5</v>
      </c>
      <c r="V382">
        <v>70001</v>
      </c>
      <c r="W382">
        <v>2</v>
      </c>
      <c r="X382">
        <v>1</v>
      </c>
      <c r="Y382">
        <v>70002</v>
      </c>
      <c r="Z382">
        <v>2</v>
      </c>
      <c r="AA382">
        <v>1</v>
      </c>
      <c r="AB382">
        <v>1001</v>
      </c>
      <c r="AC382">
        <v>100</v>
      </c>
      <c r="AD382">
        <v>1</v>
      </c>
      <c r="AE382">
        <v>8000</v>
      </c>
      <c r="AF382">
        <v>4900</v>
      </c>
      <c r="AG382">
        <v>1</v>
      </c>
    </row>
    <row r="383" spans="1:33" ht="38.25" customHeight="1">
      <c r="A383">
        <v>1277</v>
      </c>
      <c r="B383" t="s">
        <v>1959</v>
      </c>
      <c r="C383">
        <v>9</v>
      </c>
      <c r="D383" t="s">
        <v>2682</v>
      </c>
      <c r="E383">
        <v>139</v>
      </c>
      <c r="G383" s="90" t="s">
        <v>2683</v>
      </c>
      <c r="I383">
        <v>35845</v>
      </c>
      <c r="J383" s="80" t="s">
        <v>2665</v>
      </c>
      <c r="K383" t="s">
        <v>767</v>
      </c>
      <c r="L383">
        <v>9011</v>
      </c>
      <c r="M383">
        <v>5</v>
      </c>
      <c r="O383">
        <v>0.2</v>
      </c>
      <c r="P383" s="80" t="s">
        <v>2667</v>
      </c>
      <c r="Q383" t="s">
        <v>769</v>
      </c>
      <c r="R383">
        <v>9004</v>
      </c>
      <c r="S383" t="s">
        <v>2163</v>
      </c>
      <c r="U383">
        <v>0.9</v>
      </c>
      <c r="V383">
        <v>70001</v>
      </c>
      <c r="W383">
        <v>2</v>
      </c>
      <c r="X383">
        <v>1</v>
      </c>
      <c r="Y383">
        <v>70002</v>
      </c>
      <c r="Z383">
        <v>2</v>
      </c>
      <c r="AA383">
        <v>1</v>
      </c>
      <c r="AB383">
        <v>1001</v>
      </c>
      <c r="AC383">
        <v>100</v>
      </c>
      <c r="AD383">
        <v>1</v>
      </c>
      <c r="AE383">
        <v>8000</v>
      </c>
      <c r="AF383">
        <v>4900</v>
      </c>
      <c r="AG383">
        <v>1</v>
      </c>
    </row>
    <row r="384" spans="1:33" ht="38.25" customHeight="1">
      <c r="A384">
        <v>1278</v>
      </c>
      <c r="B384" t="s">
        <v>1959</v>
      </c>
      <c r="C384">
        <v>9</v>
      </c>
      <c r="D384" t="s">
        <v>2684</v>
      </c>
      <c r="E384">
        <v>140</v>
      </c>
      <c r="G384" s="90" t="s">
        <v>2685</v>
      </c>
      <c r="I384">
        <v>35970</v>
      </c>
      <c r="J384" s="80" t="s">
        <v>2665</v>
      </c>
      <c r="K384" t="s">
        <v>767</v>
      </c>
      <c r="L384">
        <v>9012</v>
      </c>
      <c r="M384" t="s">
        <v>1790</v>
      </c>
      <c r="O384">
        <v>0.5</v>
      </c>
      <c r="P384" s="80" t="s">
        <v>2667</v>
      </c>
      <c r="Q384" t="s">
        <v>769</v>
      </c>
      <c r="R384">
        <v>9003</v>
      </c>
      <c r="S384">
        <v>9</v>
      </c>
      <c r="U384">
        <v>0.5</v>
      </c>
      <c r="V384">
        <v>70001</v>
      </c>
      <c r="W384">
        <v>2</v>
      </c>
      <c r="X384">
        <v>1</v>
      </c>
      <c r="Y384">
        <v>70002</v>
      </c>
      <c r="Z384">
        <v>2</v>
      </c>
      <c r="AA384">
        <v>1</v>
      </c>
      <c r="AB384">
        <v>1001</v>
      </c>
      <c r="AC384">
        <v>100</v>
      </c>
      <c r="AD384">
        <v>1</v>
      </c>
      <c r="AE384">
        <v>8000</v>
      </c>
      <c r="AF384">
        <v>4950</v>
      </c>
      <c r="AG384">
        <v>1</v>
      </c>
    </row>
    <row r="385" spans="1:33" ht="38.25" customHeight="1">
      <c r="A385">
        <v>1279</v>
      </c>
      <c r="B385" t="s">
        <v>1959</v>
      </c>
      <c r="C385">
        <v>9</v>
      </c>
      <c r="D385" t="s">
        <v>2686</v>
      </c>
      <c r="E385">
        <v>140</v>
      </c>
      <c r="G385" s="90" t="s">
        <v>2687</v>
      </c>
      <c r="I385">
        <v>36095</v>
      </c>
      <c r="J385" s="80" t="s">
        <v>2665</v>
      </c>
      <c r="K385" t="s">
        <v>767</v>
      </c>
      <c r="L385">
        <v>9001</v>
      </c>
      <c r="M385" t="s">
        <v>2432</v>
      </c>
      <c r="O385">
        <v>0.9</v>
      </c>
      <c r="P385" s="80" t="s">
        <v>2667</v>
      </c>
      <c r="Q385" t="s">
        <v>769</v>
      </c>
      <c r="R385">
        <v>9010</v>
      </c>
      <c r="S385" t="s">
        <v>1749</v>
      </c>
      <c r="U385">
        <v>1</v>
      </c>
      <c r="V385">
        <v>70001</v>
      </c>
      <c r="W385">
        <v>2</v>
      </c>
      <c r="X385">
        <v>1</v>
      </c>
      <c r="Y385">
        <v>70002</v>
      </c>
      <c r="Z385">
        <v>2</v>
      </c>
      <c r="AA385">
        <v>1</v>
      </c>
      <c r="AB385">
        <v>1001</v>
      </c>
      <c r="AC385">
        <v>100</v>
      </c>
      <c r="AD385">
        <v>1</v>
      </c>
      <c r="AE385">
        <v>8000</v>
      </c>
      <c r="AF385">
        <v>4950</v>
      </c>
      <c r="AG385">
        <v>1</v>
      </c>
    </row>
    <row r="386" spans="1:33" ht="38.25" customHeight="1">
      <c r="A386">
        <v>1280</v>
      </c>
      <c r="B386" t="s">
        <v>1959</v>
      </c>
      <c r="C386">
        <v>9</v>
      </c>
      <c r="D386" t="s">
        <v>2688</v>
      </c>
      <c r="E386">
        <v>141</v>
      </c>
      <c r="G386" s="90" t="s">
        <v>2689</v>
      </c>
      <c r="I386">
        <v>36220</v>
      </c>
      <c r="J386" s="80" t="s">
        <v>2665</v>
      </c>
      <c r="K386" t="s">
        <v>767</v>
      </c>
      <c r="L386">
        <v>9001</v>
      </c>
      <c r="M386">
        <v>10</v>
      </c>
      <c r="O386">
        <v>0.6</v>
      </c>
      <c r="P386" s="80" t="s">
        <v>2667</v>
      </c>
      <c r="Q386" t="s">
        <v>769</v>
      </c>
      <c r="R386">
        <v>9004</v>
      </c>
      <c r="S386">
        <v>12</v>
      </c>
      <c r="U386">
        <v>0.2</v>
      </c>
      <c r="V386">
        <v>70001</v>
      </c>
      <c r="W386">
        <v>2</v>
      </c>
      <c r="X386">
        <v>1</v>
      </c>
      <c r="Y386">
        <v>70002</v>
      </c>
      <c r="Z386">
        <v>2</v>
      </c>
      <c r="AA386">
        <v>1</v>
      </c>
      <c r="AB386">
        <v>1001</v>
      </c>
      <c r="AC386">
        <v>100</v>
      </c>
      <c r="AD386">
        <v>1</v>
      </c>
      <c r="AE386">
        <v>8000</v>
      </c>
      <c r="AF386">
        <v>5000</v>
      </c>
      <c r="AG386">
        <v>1</v>
      </c>
    </row>
    <row r="387" spans="1:33" ht="38.25" customHeight="1">
      <c r="A387">
        <v>1281</v>
      </c>
      <c r="B387" t="s">
        <v>1959</v>
      </c>
      <c r="C387">
        <v>9</v>
      </c>
      <c r="D387" t="s">
        <v>2690</v>
      </c>
      <c r="E387">
        <v>141</v>
      </c>
      <c r="G387" s="90" t="s">
        <v>2691</v>
      </c>
      <c r="I387">
        <v>36345</v>
      </c>
      <c r="J387" s="80" t="s">
        <v>2665</v>
      </c>
      <c r="K387" t="s">
        <v>767</v>
      </c>
      <c r="L387">
        <v>9006</v>
      </c>
      <c r="M387" t="s">
        <v>1740</v>
      </c>
      <c r="O387">
        <v>0.8</v>
      </c>
      <c r="P387" s="80" t="s">
        <v>2667</v>
      </c>
      <c r="Q387" t="s">
        <v>769</v>
      </c>
      <c r="R387">
        <v>9011</v>
      </c>
      <c r="S387" t="s">
        <v>2353</v>
      </c>
      <c r="U387">
        <v>0.6</v>
      </c>
      <c r="V387">
        <v>70001</v>
      </c>
      <c r="W387">
        <v>2</v>
      </c>
      <c r="X387">
        <v>1</v>
      </c>
      <c r="Y387">
        <v>70002</v>
      </c>
      <c r="Z387">
        <v>2</v>
      </c>
      <c r="AA387">
        <v>1</v>
      </c>
      <c r="AB387">
        <v>1001</v>
      </c>
      <c r="AC387">
        <v>100</v>
      </c>
      <c r="AD387">
        <v>1</v>
      </c>
      <c r="AE387">
        <v>8000</v>
      </c>
      <c r="AF387">
        <v>5000</v>
      </c>
      <c r="AG387">
        <v>1</v>
      </c>
    </row>
    <row r="388" spans="1:33" ht="38.25" customHeight="1">
      <c r="A388">
        <v>1282</v>
      </c>
      <c r="B388" t="s">
        <v>1959</v>
      </c>
      <c r="C388">
        <v>9</v>
      </c>
      <c r="D388" t="s">
        <v>2692</v>
      </c>
      <c r="E388">
        <v>142</v>
      </c>
      <c r="G388" s="90" t="s">
        <v>2693</v>
      </c>
      <c r="I388">
        <v>36470</v>
      </c>
      <c r="J388" s="80" t="s">
        <v>2665</v>
      </c>
      <c r="K388" t="s">
        <v>767</v>
      </c>
      <c r="L388">
        <v>9001</v>
      </c>
      <c r="M388" t="s">
        <v>2083</v>
      </c>
      <c r="O388">
        <v>0.1</v>
      </c>
      <c r="P388" s="80" t="s">
        <v>2667</v>
      </c>
      <c r="Q388" t="s">
        <v>769</v>
      </c>
      <c r="R388">
        <v>9010</v>
      </c>
      <c r="S388" t="s">
        <v>2498</v>
      </c>
      <c r="U388">
        <v>0.3</v>
      </c>
      <c r="V388">
        <v>70001</v>
      </c>
      <c r="W388">
        <v>2</v>
      </c>
      <c r="X388">
        <v>1</v>
      </c>
      <c r="Y388">
        <v>70002</v>
      </c>
      <c r="Z388">
        <v>2</v>
      </c>
      <c r="AA388">
        <v>1</v>
      </c>
      <c r="AB388">
        <v>1001</v>
      </c>
      <c r="AC388">
        <v>100</v>
      </c>
      <c r="AD388">
        <v>1</v>
      </c>
      <c r="AE388">
        <v>8000</v>
      </c>
      <c r="AF388">
        <v>5050</v>
      </c>
      <c r="AG388">
        <v>1</v>
      </c>
    </row>
    <row r="389" spans="1:33" ht="38.25" customHeight="1">
      <c r="A389">
        <v>1283</v>
      </c>
      <c r="B389" t="s">
        <v>1959</v>
      </c>
      <c r="C389">
        <v>9</v>
      </c>
      <c r="D389" t="s">
        <v>2694</v>
      </c>
      <c r="E389">
        <v>142</v>
      </c>
      <c r="G389" s="90" t="s">
        <v>2695</v>
      </c>
      <c r="I389">
        <v>36595</v>
      </c>
      <c r="J389" s="80" t="s">
        <v>2665</v>
      </c>
      <c r="K389" t="s">
        <v>767</v>
      </c>
      <c r="L389">
        <v>9002</v>
      </c>
      <c r="M389" t="s">
        <v>2483</v>
      </c>
      <c r="O389">
        <v>0.3</v>
      </c>
      <c r="P389" s="80" t="s">
        <v>2667</v>
      </c>
      <c r="Q389" t="s">
        <v>769</v>
      </c>
      <c r="R389">
        <v>9004</v>
      </c>
      <c r="S389">
        <v>1</v>
      </c>
      <c r="U389">
        <v>0.5</v>
      </c>
      <c r="V389">
        <v>70001</v>
      </c>
      <c r="W389">
        <v>2</v>
      </c>
      <c r="X389">
        <v>1</v>
      </c>
      <c r="Y389">
        <v>70002</v>
      </c>
      <c r="Z389">
        <v>2</v>
      </c>
      <c r="AA389">
        <v>1</v>
      </c>
      <c r="AB389">
        <v>1001</v>
      </c>
      <c r="AC389">
        <v>100</v>
      </c>
      <c r="AD389">
        <v>1</v>
      </c>
      <c r="AE389">
        <v>8000</v>
      </c>
      <c r="AF389">
        <v>5050</v>
      </c>
      <c r="AG389">
        <v>1</v>
      </c>
    </row>
    <row r="390" spans="1:33" ht="38.25" customHeight="1">
      <c r="A390">
        <v>1284</v>
      </c>
      <c r="B390" t="s">
        <v>1959</v>
      </c>
      <c r="C390">
        <v>9</v>
      </c>
      <c r="D390" t="s">
        <v>2696</v>
      </c>
      <c r="E390">
        <v>143</v>
      </c>
      <c r="G390" s="90" t="s">
        <v>2697</v>
      </c>
      <c r="I390">
        <v>36720</v>
      </c>
      <c r="J390" s="80" t="s">
        <v>2665</v>
      </c>
      <c r="K390" t="s">
        <v>767</v>
      </c>
      <c r="L390">
        <v>9001</v>
      </c>
      <c r="M390" t="s">
        <v>2698</v>
      </c>
      <c r="O390">
        <v>0.3</v>
      </c>
      <c r="P390" s="80" t="s">
        <v>2667</v>
      </c>
      <c r="Q390" t="s">
        <v>769</v>
      </c>
      <c r="R390">
        <v>9011</v>
      </c>
      <c r="S390" t="s">
        <v>2418</v>
      </c>
      <c r="U390">
        <v>0.4</v>
      </c>
      <c r="V390">
        <v>70001</v>
      </c>
      <c r="W390">
        <v>2</v>
      </c>
      <c r="X390">
        <v>1</v>
      </c>
      <c r="Y390">
        <v>70002</v>
      </c>
      <c r="Z390">
        <v>2</v>
      </c>
      <c r="AA390">
        <v>1</v>
      </c>
      <c r="AB390">
        <v>1001</v>
      </c>
      <c r="AC390">
        <v>100</v>
      </c>
      <c r="AD390">
        <v>1</v>
      </c>
      <c r="AE390">
        <v>8000</v>
      </c>
      <c r="AF390">
        <v>5100</v>
      </c>
      <c r="AG390">
        <v>1</v>
      </c>
    </row>
    <row r="391" spans="1:33" ht="38.25" customHeight="1">
      <c r="A391">
        <v>1285</v>
      </c>
      <c r="B391" t="s">
        <v>1959</v>
      </c>
      <c r="C391">
        <v>9</v>
      </c>
      <c r="D391" t="s">
        <v>2699</v>
      </c>
      <c r="E391">
        <v>143</v>
      </c>
      <c r="G391" s="90" t="s">
        <v>2700</v>
      </c>
      <c r="I391">
        <v>36845</v>
      </c>
      <c r="J391" s="80" t="s">
        <v>2665</v>
      </c>
      <c r="K391" t="s">
        <v>767</v>
      </c>
      <c r="L391">
        <v>9002</v>
      </c>
      <c r="M391" t="s">
        <v>1823</v>
      </c>
      <c r="O391">
        <v>0.3</v>
      </c>
      <c r="P391" s="80" t="s">
        <v>2667</v>
      </c>
      <c r="Q391" t="s">
        <v>769</v>
      </c>
      <c r="R391">
        <v>9004</v>
      </c>
      <c r="S391" t="s">
        <v>2102</v>
      </c>
      <c r="U391">
        <v>0.8</v>
      </c>
      <c r="V391">
        <v>70001</v>
      </c>
      <c r="W391">
        <v>2</v>
      </c>
      <c r="X391">
        <v>1</v>
      </c>
      <c r="Y391">
        <v>70002</v>
      </c>
      <c r="Z391">
        <v>2</v>
      </c>
      <c r="AA391">
        <v>1</v>
      </c>
      <c r="AB391">
        <v>1001</v>
      </c>
      <c r="AC391">
        <v>100</v>
      </c>
      <c r="AD391">
        <v>1</v>
      </c>
      <c r="AE391">
        <v>8000</v>
      </c>
      <c r="AF391">
        <v>5100</v>
      </c>
      <c r="AG391">
        <v>1</v>
      </c>
    </row>
    <row r="392" spans="1:33" ht="38.25" customHeight="1">
      <c r="A392">
        <v>1286</v>
      </c>
      <c r="B392" t="s">
        <v>1959</v>
      </c>
      <c r="C392">
        <v>9</v>
      </c>
      <c r="D392" t="s">
        <v>2701</v>
      </c>
      <c r="E392">
        <v>144</v>
      </c>
      <c r="G392" s="90" t="s">
        <v>2702</v>
      </c>
      <c r="I392">
        <v>36970</v>
      </c>
      <c r="J392" s="80" t="s">
        <v>2665</v>
      </c>
      <c r="K392" t="s">
        <v>767</v>
      </c>
      <c r="L392">
        <v>9005</v>
      </c>
      <c r="M392">
        <v>5</v>
      </c>
      <c r="O392">
        <v>0.1</v>
      </c>
      <c r="P392" s="80" t="s">
        <v>2667</v>
      </c>
      <c r="Q392" t="s">
        <v>769</v>
      </c>
      <c r="R392">
        <v>9003</v>
      </c>
      <c r="S392" t="s">
        <v>1762</v>
      </c>
      <c r="U392">
        <v>0.7</v>
      </c>
      <c r="V392">
        <v>70001</v>
      </c>
      <c r="W392">
        <v>2</v>
      </c>
      <c r="X392">
        <v>1</v>
      </c>
      <c r="Y392">
        <v>70002</v>
      </c>
      <c r="Z392">
        <v>2</v>
      </c>
      <c r="AA392">
        <v>1</v>
      </c>
      <c r="AB392">
        <v>1001</v>
      </c>
      <c r="AC392">
        <v>100</v>
      </c>
      <c r="AD392">
        <v>1</v>
      </c>
      <c r="AE392">
        <v>8000</v>
      </c>
      <c r="AF392">
        <v>5150</v>
      </c>
      <c r="AG392">
        <v>1</v>
      </c>
    </row>
    <row r="393" spans="1:33" ht="38.25" customHeight="1">
      <c r="A393">
        <v>1287</v>
      </c>
      <c r="B393" t="s">
        <v>1959</v>
      </c>
      <c r="C393">
        <v>9</v>
      </c>
      <c r="D393" t="s">
        <v>2703</v>
      </c>
      <c r="E393">
        <v>144</v>
      </c>
      <c r="G393" s="90" t="s">
        <v>2704</v>
      </c>
      <c r="I393">
        <v>37095</v>
      </c>
      <c r="J393" s="80" t="s">
        <v>2665</v>
      </c>
      <c r="K393" t="s">
        <v>767</v>
      </c>
      <c r="L393">
        <v>9012</v>
      </c>
      <c r="M393">
        <v>7</v>
      </c>
      <c r="O393">
        <v>0.7</v>
      </c>
      <c r="P393" s="80" t="s">
        <v>2667</v>
      </c>
      <c r="Q393" t="s">
        <v>769</v>
      </c>
      <c r="R393">
        <v>9008</v>
      </c>
      <c r="S393" t="s">
        <v>2612</v>
      </c>
      <c r="U393">
        <v>0.4</v>
      </c>
      <c r="V393">
        <v>70001</v>
      </c>
      <c r="W393">
        <v>2</v>
      </c>
      <c r="X393">
        <v>1</v>
      </c>
      <c r="Y393">
        <v>70002</v>
      </c>
      <c r="Z393">
        <v>2</v>
      </c>
      <c r="AA393">
        <v>1</v>
      </c>
      <c r="AB393">
        <v>1001</v>
      </c>
      <c r="AC393">
        <v>100</v>
      </c>
      <c r="AD393">
        <v>1</v>
      </c>
      <c r="AE393">
        <v>8000</v>
      </c>
      <c r="AF393">
        <v>5150</v>
      </c>
      <c r="AG393">
        <v>1</v>
      </c>
    </row>
    <row r="394" spans="1:33" ht="38.25" customHeight="1">
      <c r="A394">
        <v>1288</v>
      </c>
      <c r="B394" t="s">
        <v>1959</v>
      </c>
      <c r="C394">
        <v>9</v>
      </c>
      <c r="D394" t="s">
        <v>2705</v>
      </c>
      <c r="E394">
        <v>145</v>
      </c>
      <c r="G394" s="90" t="s">
        <v>2706</v>
      </c>
      <c r="I394">
        <v>37220</v>
      </c>
      <c r="J394" s="80" t="s">
        <v>2665</v>
      </c>
      <c r="K394" t="s">
        <v>767</v>
      </c>
      <c r="L394">
        <v>9012</v>
      </c>
      <c r="M394">
        <v>10</v>
      </c>
      <c r="O394">
        <v>0.6</v>
      </c>
      <c r="P394" s="80" t="s">
        <v>2667</v>
      </c>
      <c r="Q394" t="s">
        <v>769</v>
      </c>
      <c r="R394">
        <v>9012</v>
      </c>
      <c r="S394" t="s">
        <v>2707</v>
      </c>
      <c r="U394">
        <v>0.8</v>
      </c>
      <c r="V394">
        <v>70001</v>
      </c>
      <c r="W394">
        <v>2</v>
      </c>
      <c r="X394">
        <v>1</v>
      </c>
      <c r="Y394">
        <v>70002</v>
      </c>
      <c r="Z394">
        <v>2</v>
      </c>
      <c r="AA394">
        <v>1</v>
      </c>
      <c r="AB394">
        <v>1001</v>
      </c>
      <c r="AC394">
        <v>100</v>
      </c>
      <c r="AD394">
        <v>1</v>
      </c>
      <c r="AE394">
        <v>8000</v>
      </c>
      <c r="AF394">
        <v>5200</v>
      </c>
      <c r="AG394">
        <v>1</v>
      </c>
    </row>
    <row r="395" spans="1:33" ht="38.25" customHeight="1">
      <c r="A395">
        <v>1289</v>
      </c>
      <c r="B395" t="s">
        <v>1959</v>
      </c>
      <c r="C395">
        <v>9</v>
      </c>
      <c r="D395" t="s">
        <v>2708</v>
      </c>
      <c r="E395">
        <v>145</v>
      </c>
      <c r="G395" s="90" t="s">
        <v>2709</v>
      </c>
      <c r="I395">
        <v>37345</v>
      </c>
      <c r="J395" s="80" t="s">
        <v>2665</v>
      </c>
      <c r="K395" t="s">
        <v>767</v>
      </c>
      <c r="L395">
        <v>9002</v>
      </c>
      <c r="M395" t="s">
        <v>1787</v>
      </c>
      <c r="O395">
        <v>0.3</v>
      </c>
      <c r="P395" s="80" t="s">
        <v>2667</v>
      </c>
      <c r="Q395" t="s">
        <v>769</v>
      </c>
      <c r="R395">
        <v>9011</v>
      </c>
      <c r="S395">
        <v>13</v>
      </c>
      <c r="U395">
        <v>0.6</v>
      </c>
      <c r="V395">
        <v>70001</v>
      </c>
      <c r="W395">
        <v>2</v>
      </c>
      <c r="X395">
        <v>1</v>
      </c>
      <c r="Y395">
        <v>70002</v>
      </c>
      <c r="Z395">
        <v>2</v>
      </c>
      <c r="AA395">
        <v>1</v>
      </c>
      <c r="AB395">
        <v>1001</v>
      </c>
      <c r="AC395">
        <v>100</v>
      </c>
      <c r="AD395">
        <v>1</v>
      </c>
      <c r="AE395">
        <v>8000</v>
      </c>
      <c r="AF395">
        <v>5200</v>
      </c>
      <c r="AG395">
        <v>1</v>
      </c>
    </row>
    <row r="396" spans="1:33" ht="38.25" customHeight="1">
      <c r="A396">
        <v>1290</v>
      </c>
      <c r="B396" t="s">
        <v>1959</v>
      </c>
      <c r="C396">
        <v>9</v>
      </c>
      <c r="D396" t="s">
        <v>2710</v>
      </c>
      <c r="E396">
        <v>146</v>
      </c>
      <c r="G396" s="90" t="s">
        <v>2711</v>
      </c>
      <c r="I396">
        <v>37470</v>
      </c>
      <c r="J396" s="80" t="s">
        <v>2665</v>
      </c>
      <c r="K396" t="s">
        <v>767</v>
      </c>
      <c r="L396">
        <v>9008</v>
      </c>
      <c r="M396" t="s">
        <v>1696</v>
      </c>
      <c r="O396">
        <v>1</v>
      </c>
      <c r="P396" s="80" t="s">
        <v>2667</v>
      </c>
      <c r="Q396" t="s">
        <v>769</v>
      </c>
      <c r="R396">
        <v>9012</v>
      </c>
      <c r="S396" t="s">
        <v>2080</v>
      </c>
      <c r="U396">
        <v>0.2</v>
      </c>
      <c r="V396">
        <v>70001</v>
      </c>
      <c r="W396">
        <v>2</v>
      </c>
      <c r="X396">
        <v>1</v>
      </c>
      <c r="Y396">
        <v>70002</v>
      </c>
      <c r="Z396">
        <v>2</v>
      </c>
      <c r="AA396">
        <v>1</v>
      </c>
      <c r="AB396">
        <v>1001</v>
      </c>
      <c r="AC396">
        <v>100</v>
      </c>
      <c r="AD396">
        <v>1</v>
      </c>
      <c r="AE396">
        <v>8000</v>
      </c>
      <c r="AF396">
        <v>5200</v>
      </c>
      <c r="AG396">
        <v>1</v>
      </c>
    </row>
    <row r="397" spans="1:33" ht="38.25" customHeight="1">
      <c r="A397">
        <v>1291</v>
      </c>
      <c r="B397" t="s">
        <v>1959</v>
      </c>
      <c r="C397">
        <v>9</v>
      </c>
      <c r="D397" t="s">
        <v>2712</v>
      </c>
      <c r="E397">
        <v>146</v>
      </c>
      <c r="G397" s="90" t="s">
        <v>2713</v>
      </c>
      <c r="I397">
        <v>37595</v>
      </c>
      <c r="J397" s="80" t="s">
        <v>2665</v>
      </c>
      <c r="K397" t="s">
        <v>767</v>
      </c>
      <c r="L397">
        <v>9002</v>
      </c>
      <c r="M397" t="s">
        <v>2182</v>
      </c>
      <c r="O397">
        <v>0.6</v>
      </c>
      <c r="P397" s="80" t="s">
        <v>2667</v>
      </c>
      <c r="Q397" t="s">
        <v>769</v>
      </c>
      <c r="R397">
        <v>9012</v>
      </c>
      <c r="S397">
        <v>5</v>
      </c>
      <c r="U397">
        <v>0.4</v>
      </c>
      <c r="V397">
        <v>70001</v>
      </c>
      <c r="W397">
        <v>2</v>
      </c>
      <c r="X397">
        <v>1</v>
      </c>
      <c r="Y397">
        <v>70002</v>
      </c>
      <c r="Z397">
        <v>2</v>
      </c>
      <c r="AA397">
        <v>1</v>
      </c>
      <c r="AB397">
        <v>1001</v>
      </c>
      <c r="AC397">
        <v>100</v>
      </c>
      <c r="AD397">
        <v>1</v>
      </c>
      <c r="AE397">
        <v>8000</v>
      </c>
      <c r="AF397">
        <v>5250</v>
      </c>
      <c r="AG397">
        <v>1</v>
      </c>
    </row>
    <row r="398" spans="1:33" ht="38.25" customHeight="1">
      <c r="A398">
        <v>1292</v>
      </c>
      <c r="B398" t="s">
        <v>1959</v>
      </c>
      <c r="C398">
        <v>9</v>
      </c>
      <c r="D398" t="s">
        <v>2714</v>
      </c>
      <c r="E398">
        <v>147</v>
      </c>
      <c r="G398" s="90" t="s">
        <v>2715</v>
      </c>
      <c r="I398">
        <v>37720</v>
      </c>
      <c r="J398" s="80" t="s">
        <v>2665</v>
      </c>
      <c r="K398" t="s">
        <v>767</v>
      </c>
      <c r="L398">
        <v>9007</v>
      </c>
      <c r="M398">
        <v>12</v>
      </c>
      <c r="O398">
        <v>0.4</v>
      </c>
      <c r="P398" s="80" t="s">
        <v>2667</v>
      </c>
      <c r="Q398" t="s">
        <v>769</v>
      </c>
      <c r="R398">
        <v>9008</v>
      </c>
      <c r="S398" t="s">
        <v>1734</v>
      </c>
      <c r="U398">
        <v>0.2</v>
      </c>
      <c r="V398">
        <v>70001</v>
      </c>
      <c r="W398">
        <v>2</v>
      </c>
      <c r="X398">
        <v>1</v>
      </c>
      <c r="Y398">
        <v>70002</v>
      </c>
      <c r="Z398">
        <v>2</v>
      </c>
      <c r="AA398">
        <v>1</v>
      </c>
      <c r="AB398">
        <v>1001</v>
      </c>
      <c r="AC398">
        <v>100</v>
      </c>
      <c r="AD398">
        <v>1</v>
      </c>
      <c r="AE398">
        <v>8000</v>
      </c>
      <c r="AF398">
        <v>5250</v>
      </c>
      <c r="AG398">
        <v>1</v>
      </c>
    </row>
    <row r="399" spans="1:33" ht="38.25" customHeight="1">
      <c r="A399">
        <v>1293</v>
      </c>
      <c r="B399" t="s">
        <v>1959</v>
      </c>
      <c r="C399">
        <v>9</v>
      </c>
      <c r="D399" t="s">
        <v>2716</v>
      </c>
      <c r="E399">
        <v>147</v>
      </c>
      <c r="G399" s="90" t="s">
        <v>2717</v>
      </c>
      <c r="I399">
        <v>37845</v>
      </c>
      <c r="J399" s="80" t="s">
        <v>2665</v>
      </c>
      <c r="K399" t="s">
        <v>767</v>
      </c>
      <c r="L399">
        <v>9005</v>
      </c>
      <c r="M399">
        <v>11</v>
      </c>
      <c r="O399">
        <v>0.9</v>
      </c>
      <c r="P399" s="80" t="s">
        <v>2667</v>
      </c>
      <c r="Q399" t="s">
        <v>769</v>
      </c>
      <c r="R399">
        <v>9012</v>
      </c>
      <c r="S399" t="s">
        <v>2629</v>
      </c>
      <c r="U399">
        <v>0.7</v>
      </c>
      <c r="V399">
        <v>70001</v>
      </c>
      <c r="W399">
        <v>2</v>
      </c>
      <c r="X399">
        <v>1</v>
      </c>
      <c r="Y399">
        <v>70002</v>
      </c>
      <c r="Z399">
        <v>2</v>
      </c>
      <c r="AA399">
        <v>1</v>
      </c>
      <c r="AB399">
        <v>1001</v>
      </c>
      <c r="AC399">
        <v>100</v>
      </c>
      <c r="AD399">
        <v>1</v>
      </c>
      <c r="AE399">
        <v>8000</v>
      </c>
      <c r="AF399">
        <v>5300</v>
      </c>
      <c r="AG399">
        <v>1</v>
      </c>
    </row>
    <row r="400" spans="1:33" ht="38.25" customHeight="1">
      <c r="A400">
        <v>1294</v>
      </c>
      <c r="B400" t="s">
        <v>1959</v>
      </c>
      <c r="C400">
        <v>9</v>
      </c>
      <c r="D400" t="s">
        <v>2718</v>
      </c>
      <c r="E400">
        <v>148</v>
      </c>
      <c r="G400" s="90" t="s">
        <v>2719</v>
      </c>
      <c r="I400">
        <v>37970</v>
      </c>
      <c r="J400" s="80" t="s">
        <v>2665</v>
      </c>
      <c r="K400" t="s">
        <v>767</v>
      </c>
      <c r="L400">
        <v>9001</v>
      </c>
      <c r="M400">
        <v>5</v>
      </c>
      <c r="O400">
        <v>0.6</v>
      </c>
      <c r="P400" s="80" t="s">
        <v>2667</v>
      </c>
      <c r="Q400" t="s">
        <v>769</v>
      </c>
      <c r="R400">
        <v>9008</v>
      </c>
      <c r="S400">
        <v>13</v>
      </c>
      <c r="U400">
        <v>1</v>
      </c>
      <c r="V400">
        <v>70001</v>
      </c>
      <c r="W400">
        <v>2</v>
      </c>
      <c r="X400">
        <v>1</v>
      </c>
      <c r="Y400">
        <v>70002</v>
      </c>
      <c r="Z400">
        <v>2</v>
      </c>
      <c r="AA400">
        <v>1</v>
      </c>
      <c r="AB400">
        <v>1001</v>
      </c>
      <c r="AC400">
        <v>100</v>
      </c>
      <c r="AD400">
        <v>1</v>
      </c>
      <c r="AE400">
        <v>8000</v>
      </c>
      <c r="AF400">
        <v>5300</v>
      </c>
      <c r="AG400">
        <v>1</v>
      </c>
    </row>
    <row r="401" spans="1:33" ht="38.25" customHeight="1">
      <c r="A401">
        <v>1295</v>
      </c>
      <c r="B401" t="s">
        <v>1959</v>
      </c>
      <c r="C401">
        <v>9</v>
      </c>
      <c r="D401" t="s">
        <v>2720</v>
      </c>
      <c r="E401">
        <v>148</v>
      </c>
      <c r="G401" s="90" t="s">
        <v>2721</v>
      </c>
      <c r="I401">
        <v>38095</v>
      </c>
      <c r="J401" s="80" t="s">
        <v>2665</v>
      </c>
      <c r="K401" t="s">
        <v>767</v>
      </c>
      <c r="L401">
        <v>9012</v>
      </c>
      <c r="M401" t="s">
        <v>1958</v>
      </c>
      <c r="O401">
        <v>0.2</v>
      </c>
      <c r="P401" s="80" t="s">
        <v>2667</v>
      </c>
      <c r="Q401" t="s">
        <v>769</v>
      </c>
      <c r="R401">
        <v>9008</v>
      </c>
      <c r="S401">
        <v>11</v>
      </c>
      <c r="U401">
        <v>0.9</v>
      </c>
      <c r="V401">
        <v>70001</v>
      </c>
      <c r="W401">
        <v>2</v>
      </c>
      <c r="X401">
        <v>1</v>
      </c>
      <c r="Y401">
        <v>70002</v>
      </c>
      <c r="Z401">
        <v>2</v>
      </c>
      <c r="AA401">
        <v>1</v>
      </c>
      <c r="AB401">
        <v>1001</v>
      </c>
      <c r="AC401">
        <v>100</v>
      </c>
      <c r="AD401">
        <v>1</v>
      </c>
      <c r="AE401">
        <v>8000</v>
      </c>
      <c r="AF401">
        <v>5350</v>
      </c>
      <c r="AG401">
        <v>1</v>
      </c>
    </row>
    <row r="402" spans="1:33" ht="38.25" customHeight="1">
      <c r="A402">
        <v>1296</v>
      </c>
      <c r="B402" t="s">
        <v>1959</v>
      </c>
      <c r="C402">
        <v>9</v>
      </c>
      <c r="D402" t="s">
        <v>2722</v>
      </c>
      <c r="E402">
        <v>149</v>
      </c>
      <c r="G402" s="90" t="s">
        <v>2723</v>
      </c>
      <c r="I402">
        <v>38220</v>
      </c>
      <c r="J402" s="80" t="s">
        <v>2665</v>
      </c>
      <c r="K402" t="s">
        <v>767</v>
      </c>
      <c r="L402">
        <v>9008</v>
      </c>
      <c r="M402" t="s">
        <v>2002</v>
      </c>
      <c r="O402">
        <v>0.4</v>
      </c>
      <c r="P402" s="80" t="s">
        <v>2667</v>
      </c>
      <c r="Q402" t="s">
        <v>769</v>
      </c>
      <c r="R402">
        <v>9010</v>
      </c>
      <c r="S402" t="s">
        <v>1928</v>
      </c>
      <c r="U402">
        <v>0.5</v>
      </c>
      <c r="V402">
        <v>70001</v>
      </c>
      <c r="W402">
        <v>2</v>
      </c>
      <c r="X402">
        <v>1</v>
      </c>
      <c r="Y402">
        <v>70002</v>
      </c>
      <c r="Z402">
        <v>2</v>
      </c>
      <c r="AA402">
        <v>1</v>
      </c>
      <c r="AB402">
        <v>1001</v>
      </c>
      <c r="AC402">
        <v>100</v>
      </c>
      <c r="AD402">
        <v>1</v>
      </c>
      <c r="AE402">
        <v>8000</v>
      </c>
      <c r="AF402">
        <v>5350</v>
      </c>
      <c r="AG402">
        <v>1</v>
      </c>
    </row>
    <row r="403" spans="1:33" ht="38.25" customHeight="1">
      <c r="A403">
        <v>1297</v>
      </c>
      <c r="B403" t="s">
        <v>1959</v>
      </c>
      <c r="C403">
        <v>9</v>
      </c>
      <c r="D403" t="s">
        <v>2724</v>
      </c>
      <c r="E403">
        <v>149</v>
      </c>
      <c r="G403" s="90" t="s">
        <v>2725</v>
      </c>
      <c r="I403">
        <v>38345</v>
      </c>
      <c r="J403" s="80" t="s">
        <v>2665</v>
      </c>
      <c r="K403" t="s">
        <v>767</v>
      </c>
      <c r="L403">
        <v>9001</v>
      </c>
      <c r="M403">
        <v>10</v>
      </c>
      <c r="O403">
        <v>0.7</v>
      </c>
      <c r="P403" s="80" t="s">
        <v>2667</v>
      </c>
      <c r="Q403" t="s">
        <v>769</v>
      </c>
      <c r="R403">
        <v>9007</v>
      </c>
      <c r="S403" t="s">
        <v>2656</v>
      </c>
      <c r="U403">
        <v>0.6</v>
      </c>
      <c r="V403">
        <v>70001</v>
      </c>
      <c r="W403">
        <v>2</v>
      </c>
      <c r="X403">
        <v>1</v>
      </c>
      <c r="Y403">
        <v>70002</v>
      </c>
      <c r="Z403">
        <v>2</v>
      </c>
      <c r="AA403">
        <v>1</v>
      </c>
      <c r="AB403">
        <v>1001</v>
      </c>
      <c r="AC403">
        <v>100</v>
      </c>
      <c r="AD403">
        <v>1</v>
      </c>
      <c r="AE403">
        <v>8000</v>
      </c>
      <c r="AF403">
        <v>5400</v>
      </c>
      <c r="AG403">
        <v>1</v>
      </c>
    </row>
    <row r="404" spans="1:33" ht="38.25" customHeight="1">
      <c r="A404">
        <v>1298</v>
      </c>
      <c r="B404" t="s">
        <v>1959</v>
      </c>
      <c r="C404">
        <v>9</v>
      </c>
      <c r="D404" t="s">
        <v>2726</v>
      </c>
      <c r="E404">
        <v>150</v>
      </c>
      <c r="G404" s="90" t="s">
        <v>2727</v>
      </c>
      <c r="I404">
        <v>38470</v>
      </c>
      <c r="J404" s="80" t="s">
        <v>2665</v>
      </c>
      <c r="K404" t="s">
        <v>767</v>
      </c>
      <c r="L404">
        <v>9011</v>
      </c>
      <c r="M404" t="s">
        <v>1730</v>
      </c>
      <c r="O404">
        <v>0.3</v>
      </c>
      <c r="P404" s="80" t="s">
        <v>2667</v>
      </c>
      <c r="Q404" t="s">
        <v>769</v>
      </c>
      <c r="R404">
        <v>9012</v>
      </c>
      <c r="S404" t="s">
        <v>1768</v>
      </c>
      <c r="U404">
        <v>0.5</v>
      </c>
      <c r="V404">
        <v>70001</v>
      </c>
      <c r="W404">
        <v>2</v>
      </c>
      <c r="X404">
        <v>1</v>
      </c>
      <c r="Y404">
        <v>70002</v>
      </c>
      <c r="Z404">
        <v>2</v>
      </c>
      <c r="AA404">
        <v>1</v>
      </c>
      <c r="AB404">
        <v>1001</v>
      </c>
      <c r="AC404">
        <v>100</v>
      </c>
      <c r="AD404">
        <v>1</v>
      </c>
      <c r="AE404">
        <v>8000</v>
      </c>
      <c r="AF404">
        <v>5400</v>
      </c>
      <c r="AG404">
        <v>1</v>
      </c>
    </row>
    <row r="405" spans="1:33" ht="38.25" customHeight="1">
      <c r="A405">
        <v>1299</v>
      </c>
      <c r="B405" t="s">
        <v>1959</v>
      </c>
      <c r="C405">
        <v>9</v>
      </c>
      <c r="D405" t="s">
        <v>2728</v>
      </c>
      <c r="E405">
        <v>150</v>
      </c>
      <c r="G405" s="90" t="s">
        <v>2729</v>
      </c>
      <c r="I405">
        <v>38595</v>
      </c>
      <c r="J405" s="80" t="s">
        <v>2665</v>
      </c>
      <c r="K405" t="s">
        <v>767</v>
      </c>
      <c r="L405">
        <v>9012</v>
      </c>
      <c r="M405">
        <v>3</v>
      </c>
      <c r="O405">
        <v>0.4</v>
      </c>
      <c r="P405" s="80" t="s">
        <v>2667</v>
      </c>
      <c r="Q405" t="s">
        <v>769</v>
      </c>
      <c r="R405">
        <v>9012</v>
      </c>
      <c r="S405">
        <v>4</v>
      </c>
      <c r="U405">
        <v>0.9</v>
      </c>
      <c r="V405">
        <v>70001</v>
      </c>
      <c r="W405">
        <v>2</v>
      </c>
      <c r="X405">
        <v>1</v>
      </c>
      <c r="Y405">
        <v>70002</v>
      </c>
      <c r="Z405">
        <v>2</v>
      </c>
      <c r="AA405">
        <v>1</v>
      </c>
      <c r="AB405">
        <v>1001</v>
      </c>
      <c r="AC405">
        <v>500</v>
      </c>
      <c r="AD405">
        <v>1</v>
      </c>
      <c r="AE405">
        <v>8000</v>
      </c>
      <c r="AF405">
        <v>5450</v>
      </c>
      <c r="AG405">
        <v>1</v>
      </c>
    </row>
    <row r="406" spans="1:33" ht="38.25" customHeight="1">
      <c r="A406">
        <v>1300</v>
      </c>
      <c r="B406" t="s">
        <v>1959</v>
      </c>
      <c r="C406">
        <v>9</v>
      </c>
      <c r="D406" t="s">
        <v>2730</v>
      </c>
      <c r="E406">
        <v>150</v>
      </c>
      <c r="G406" s="90" t="s">
        <v>2731</v>
      </c>
      <c r="I406">
        <v>38720</v>
      </c>
      <c r="J406" s="80" t="s">
        <v>2665</v>
      </c>
      <c r="K406" t="s">
        <v>767</v>
      </c>
      <c r="L406">
        <v>9001</v>
      </c>
      <c r="M406" t="s">
        <v>2542</v>
      </c>
      <c r="O406">
        <v>0.8</v>
      </c>
      <c r="P406" s="80" t="s">
        <v>2667</v>
      </c>
      <c r="Q406" t="s">
        <v>769</v>
      </c>
      <c r="R406">
        <v>9010</v>
      </c>
      <c r="S406" t="s">
        <v>1656</v>
      </c>
      <c r="U406">
        <v>0.9</v>
      </c>
      <c r="V406">
        <v>70001</v>
      </c>
      <c r="W406">
        <v>2</v>
      </c>
      <c r="X406">
        <v>1</v>
      </c>
      <c r="Y406">
        <v>70002</v>
      </c>
      <c r="Z406">
        <v>2</v>
      </c>
      <c r="AA406">
        <v>1</v>
      </c>
      <c r="AB406">
        <v>1001</v>
      </c>
      <c r="AC406">
        <v>100</v>
      </c>
      <c r="AD406">
        <v>1</v>
      </c>
      <c r="AE406">
        <v>8000</v>
      </c>
      <c r="AF406">
        <v>5450</v>
      </c>
      <c r="AG406">
        <v>1</v>
      </c>
    </row>
    <row r="407" spans="1:33" ht="38.25" customHeight="1">
      <c r="A407">
        <v>1301</v>
      </c>
      <c r="B407" t="s">
        <v>1959</v>
      </c>
      <c r="C407">
        <v>9</v>
      </c>
      <c r="D407" t="s">
        <v>2732</v>
      </c>
      <c r="E407">
        <v>150</v>
      </c>
      <c r="G407" s="90" t="s">
        <v>2733</v>
      </c>
      <c r="I407">
        <v>38845</v>
      </c>
      <c r="J407" s="80" t="s">
        <v>2665</v>
      </c>
      <c r="K407" t="s">
        <v>767</v>
      </c>
      <c r="L407">
        <v>9011</v>
      </c>
      <c r="M407">
        <v>6</v>
      </c>
      <c r="O407">
        <v>0.7</v>
      </c>
      <c r="P407" s="80" t="s">
        <v>2667</v>
      </c>
      <c r="Q407" t="s">
        <v>769</v>
      </c>
      <c r="R407">
        <v>9010</v>
      </c>
      <c r="S407">
        <v>8</v>
      </c>
      <c r="U407">
        <v>0.9</v>
      </c>
      <c r="V407">
        <v>70001</v>
      </c>
      <c r="W407">
        <v>2</v>
      </c>
      <c r="X407">
        <v>1</v>
      </c>
      <c r="Y407">
        <v>70002</v>
      </c>
      <c r="Z407">
        <v>2</v>
      </c>
      <c r="AA407">
        <v>1</v>
      </c>
      <c r="AB407">
        <v>1001</v>
      </c>
      <c r="AC407">
        <v>100</v>
      </c>
      <c r="AD407">
        <v>1</v>
      </c>
      <c r="AE407">
        <v>8000</v>
      </c>
      <c r="AF407">
        <v>5500</v>
      </c>
      <c r="AG407">
        <v>1</v>
      </c>
    </row>
    <row r="408" spans="1:33" ht="38.25" customHeight="1">
      <c r="A408">
        <v>1302</v>
      </c>
      <c r="B408" t="s">
        <v>1959</v>
      </c>
      <c r="C408">
        <v>9</v>
      </c>
      <c r="D408" t="s">
        <v>2734</v>
      </c>
      <c r="E408">
        <v>150</v>
      </c>
      <c r="G408" s="90" t="s">
        <v>2735</v>
      </c>
      <c r="I408">
        <v>38970</v>
      </c>
      <c r="J408" s="80" t="s">
        <v>2665</v>
      </c>
      <c r="K408" t="s">
        <v>767</v>
      </c>
      <c r="L408">
        <v>9008</v>
      </c>
      <c r="M408" t="s">
        <v>2620</v>
      </c>
      <c r="O408">
        <v>0.5</v>
      </c>
      <c r="P408" s="80" t="s">
        <v>2667</v>
      </c>
      <c r="Q408" t="s">
        <v>769</v>
      </c>
      <c r="R408">
        <v>9010</v>
      </c>
      <c r="S408" t="s">
        <v>2736</v>
      </c>
      <c r="U408">
        <v>0.4</v>
      </c>
      <c r="V408">
        <v>70001</v>
      </c>
      <c r="W408">
        <v>2</v>
      </c>
      <c r="X408">
        <v>1</v>
      </c>
      <c r="Y408">
        <v>70002</v>
      </c>
      <c r="Z408">
        <v>2</v>
      </c>
      <c r="AA408">
        <v>1</v>
      </c>
      <c r="AB408">
        <v>1001</v>
      </c>
      <c r="AC408">
        <v>100</v>
      </c>
      <c r="AD408">
        <v>1</v>
      </c>
      <c r="AE408">
        <v>8000</v>
      </c>
      <c r="AF408">
        <v>5500</v>
      </c>
      <c r="AG408">
        <v>1</v>
      </c>
    </row>
    <row r="409" spans="1:33" ht="38.25" customHeight="1">
      <c r="A409">
        <v>1303</v>
      </c>
      <c r="B409" t="s">
        <v>1959</v>
      </c>
      <c r="C409">
        <v>9</v>
      </c>
      <c r="D409" t="s">
        <v>2737</v>
      </c>
      <c r="E409">
        <v>150</v>
      </c>
      <c r="G409" s="90" t="s">
        <v>2738</v>
      </c>
      <c r="I409">
        <v>39095</v>
      </c>
      <c r="J409" s="80" t="s">
        <v>2665</v>
      </c>
      <c r="K409" t="s">
        <v>767</v>
      </c>
      <c r="L409">
        <v>9008</v>
      </c>
      <c r="M409" t="s">
        <v>1852</v>
      </c>
      <c r="O409">
        <v>0.5</v>
      </c>
      <c r="P409" s="80" t="s">
        <v>2667</v>
      </c>
      <c r="Q409" t="s">
        <v>769</v>
      </c>
      <c r="R409">
        <v>9008</v>
      </c>
      <c r="S409" t="s">
        <v>1833</v>
      </c>
      <c r="U409">
        <v>0.5</v>
      </c>
      <c r="V409">
        <v>70001</v>
      </c>
      <c r="W409">
        <v>2</v>
      </c>
      <c r="X409">
        <v>1</v>
      </c>
      <c r="Y409">
        <v>70002</v>
      </c>
      <c r="Z409">
        <v>2</v>
      </c>
      <c r="AA409">
        <v>1</v>
      </c>
      <c r="AB409">
        <v>1001</v>
      </c>
      <c r="AC409">
        <v>100</v>
      </c>
      <c r="AD409">
        <v>1</v>
      </c>
      <c r="AE409">
        <v>8000</v>
      </c>
      <c r="AF409">
        <v>5550</v>
      </c>
      <c r="AG409">
        <v>1</v>
      </c>
    </row>
    <row r="410" spans="1:33" ht="38.25" customHeight="1">
      <c r="A410">
        <v>1304</v>
      </c>
      <c r="B410" t="s">
        <v>1959</v>
      </c>
      <c r="C410">
        <v>9</v>
      </c>
      <c r="D410" t="s">
        <v>2739</v>
      </c>
      <c r="E410">
        <v>150</v>
      </c>
      <c r="G410" s="90" t="s">
        <v>2740</v>
      </c>
      <c r="I410">
        <v>39220</v>
      </c>
      <c r="J410" s="80" t="s">
        <v>2665</v>
      </c>
      <c r="K410" t="s">
        <v>767</v>
      </c>
      <c r="L410">
        <v>9012</v>
      </c>
      <c r="M410" t="s">
        <v>1680</v>
      </c>
      <c r="O410">
        <v>0.9</v>
      </c>
      <c r="P410" s="80" t="s">
        <v>2667</v>
      </c>
      <c r="Q410" t="s">
        <v>769</v>
      </c>
      <c r="R410">
        <v>9010</v>
      </c>
      <c r="S410" t="s">
        <v>2741</v>
      </c>
      <c r="U410">
        <v>0.8</v>
      </c>
      <c r="V410">
        <v>70001</v>
      </c>
      <c r="W410">
        <v>2</v>
      </c>
      <c r="X410">
        <v>1</v>
      </c>
      <c r="Y410">
        <v>70002</v>
      </c>
      <c r="Z410">
        <v>2</v>
      </c>
      <c r="AA410">
        <v>1</v>
      </c>
      <c r="AB410">
        <v>1001</v>
      </c>
      <c r="AC410">
        <v>100</v>
      </c>
      <c r="AD410">
        <v>1</v>
      </c>
      <c r="AE410">
        <v>8000</v>
      </c>
      <c r="AF410">
        <v>5550</v>
      </c>
      <c r="AG410">
        <v>1</v>
      </c>
    </row>
    <row r="411" spans="1:33" ht="38.25" customHeight="1">
      <c r="A411">
        <v>1305</v>
      </c>
      <c r="B411" t="s">
        <v>1959</v>
      </c>
      <c r="C411">
        <v>9</v>
      </c>
      <c r="D411" t="s">
        <v>2742</v>
      </c>
      <c r="E411">
        <v>150</v>
      </c>
      <c r="G411" s="90" t="s">
        <v>2743</v>
      </c>
      <c r="I411">
        <v>39345</v>
      </c>
      <c r="J411" s="80" t="s">
        <v>2665</v>
      </c>
      <c r="K411" t="s">
        <v>767</v>
      </c>
      <c r="L411">
        <v>9006</v>
      </c>
      <c r="M411">
        <v>9</v>
      </c>
      <c r="O411">
        <v>0.2</v>
      </c>
      <c r="P411" s="80" t="s">
        <v>2667</v>
      </c>
      <c r="Q411" t="s">
        <v>769</v>
      </c>
      <c r="R411">
        <v>9007</v>
      </c>
      <c r="S411" t="s">
        <v>1712</v>
      </c>
      <c r="U411">
        <v>0.1</v>
      </c>
      <c r="V411">
        <v>70001</v>
      </c>
      <c r="W411">
        <v>2</v>
      </c>
      <c r="X411">
        <v>1</v>
      </c>
      <c r="Y411">
        <v>70002</v>
      </c>
      <c r="Z411">
        <v>2</v>
      </c>
      <c r="AA411">
        <v>1</v>
      </c>
      <c r="AB411">
        <v>1001</v>
      </c>
      <c r="AC411">
        <v>100</v>
      </c>
      <c r="AD411">
        <v>1</v>
      </c>
      <c r="AE411">
        <v>8000</v>
      </c>
      <c r="AF411">
        <v>5600</v>
      </c>
      <c r="AG411">
        <v>1</v>
      </c>
    </row>
    <row r="412" spans="1:33" ht="38.25" customHeight="1">
      <c r="A412">
        <v>1306</v>
      </c>
      <c r="B412" t="s">
        <v>1959</v>
      </c>
      <c r="C412">
        <v>9</v>
      </c>
      <c r="D412" t="s">
        <v>2744</v>
      </c>
      <c r="E412">
        <v>150</v>
      </c>
      <c r="G412" s="90" t="s">
        <v>2745</v>
      </c>
      <c r="I412">
        <v>39470</v>
      </c>
      <c r="J412" s="80" t="s">
        <v>2665</v>
      </c>
      <c r="K412" t="s">
        <v>767</v>
      </c>
      <c r="L412">
        <v>9005</v>
      </c>
      <c r="M412" t="s">
        <v>2231</v>
      </c>
      <c r="O412">
        <v>0.8</v>
      </c>
      <c r="P412" s="80" t="s">
        <v>2667</v>
      </c>
      <c r="Q412" t="s">
        <v>769</v>
      </c>
      <c r="R412">
        <v>9012</v>
      </c>
      <c r="S412" t="s">
        <v>2102</v>
      </c>
      <c r="U412">
        <v>0.8</v>
      </c>
      <c r="V412">
        <v>70001</v>
      </c>
      <c r="W412">
        <v>2</v>
      </c>
      <c r="X412">
        <v>1</v>
      </c>
      <c r="Y412">
        <v>70002</v>
      </c>
      <c r="Z412">
        <v>2</v>
      </c>
      <c r="AA412">
        <v>1</v>
      </c>
      <c r="AB412">
        <v>1001</v>
      </c>
      <c r="AC412">
        <v>100</v>
      </c>
      <c r="AD412">
        <v>1</v>
      </c>
      <c r="AE412">
        <v>8000</v>
      </c>
      <c r="AF412">
        <v>5600</v>
      </c>
      <c r="AG412">
        <v>1</v>
      </c>
    </row>
    <row r="413" spans="1:33" ht="38.25" customHeight="1">
      <c r="A413">
        <v>1307</v>
      </c>
      <c r="B413" t="s">
        <v>1959</v>
      </c>
      <c r="C413">
        <v>9</v>
      </c>
      <c r="D413" t="s">
        <v>2746</v>
      </c>
      <c r="E413">
        <v>150</v>
      </c>
      <c r="G413" s="90" t="s">
        <v>2747</v>
      </c>
      <c r="I413">
        <v>39595</v>
      </c>
      <c r="J413" s="80" t="s">
        <v>2665</v>
      </c>
      <c r="K413" t="s">
        <v>767</v>
      </c>
      <c r="L413">
        <v>9012</v>
      </c>
      <c r="M413" t="s">
        <v>2055</v>
      </c>
      <c r="O413">
        <v>0.3</v>
      </c>
      <c r="P413" s="80" t="s">
        <v>2667</v>
      </c>
      <c r="Q413" t="s">
        <v>769</v>
      </c>
      <c r="R413">
        <v>9007</v>
      </c>
      <c r="S413" t="s">
        <v>2571</v>
      </c>
      <c r="U413">
        <v>0.6</v>
      </c>
      <c r="V413">
        <v>70001</v>
      </c>
      <c r="W413">
        <v>2</v>
      </c>
      <c r="X413">
        <v>1</v>
      </c>
      <c r="Y413">
        <v>70002</v>
      </c>
      <c r="Z413">
        <v>2</v>
      </c>
      <c r="AA413">
        <v>1</v>
      </c>
      <c r="AB413">
        <v>1001</v>
      </c>
      <c r="AC413">
        <v>100</v>
      </c>
      <c r="AD413">
        <v>1</v>
      </c>
      <c r="AE413">
        <v>8000</v>
      </c>
      <c r="AF413">
        <v>5650</v>
      </c>
      <c r="AG413">
        <v>1</v>
      </c>
    </row>
    <row r="414" spans="1:33" ht="38.25" customHeight="1">
      <c r="A414">
        <v>1308</v>
      </c>
      <c r="B414" t="s">
        <v>1959</v>
      </c>
      <c r="C414">
        <v>9</v>
      </c>
      <c r="D414" t="s">
        <v>2748</v>
      </c>
      <c r="E414">
        <v>150</v>
      </c>
      <c r="G414" s="90" t="s">
        <v>2749</v>
      </c>
      <c r="I414">
        <v>39720</v>
      </c>
      <c r="J414" s="80" t="s">
        <v>2665</v>
      </c>
      <c r="K414" t="s">
        <v>767</v>
      </c>
      <c r="L414">
        <v>9001</v>
      </c>
      <c r="M414">
        <v>7</v>
      </c>
      <c r="O414">
        <v>0.9</v>
      </c>
      <c r="P414" s="80" t="s">
        <v>2667</v>
      </c>
      <c r="Q414" t="s">
        <v>769</v>
      </c>
      <c r="R414">
        <v>9004</v>
      </c>
      <c r="S414" t="s">
        <v>2750</v>
      </c>
      <c r="U414">
        <v>0.7</v>
      </c>
      <c r="V414">
        <v>70001</v>
      </c>
      <c r="W414">
        <v>2</v>
      </c>
      <c r="X414">
        <v>1</v>
      </c>
      <c r="Y414">
        <v>70002</v>
      </c>
      <c r="Z414">
        <v>2</v>
      </c>
      <c r="AA414">
        <v>1</v>
      </c>
      <c r="AB414">
        <v>1001</v>
      </c>
      <c r="AC414">
        <v>100</v>
      </c>
      <c r="AD414">
        <v>1</v>
      </c>
      <c r="AE414">
        <v>8000</v>
      </c>
      <c r="AF414">
        <v>5650</v>
      </c>
      <c r="AG414">
        <v>1</v>
      </c>
    </row>
    <row r="415" spans="1:33" ht="38.25" customHeight="1">
      <c r="A415">
        <v>1309</v>
      </c>
      <c r="B415" t="s">
        <v>1959</v>
      </c>
      <c r="C415">
        <v>9</v>
      </c>
      <c r="D415" t="s">
        <v>2751</v>
      </c>
      <c r="E415">
        <v>150</v>
      </c>
      <c r="G415" s="90" t="s">
        <v>2752</v>
      </c>
      <c r="I415">
        <v>39845</v>
      </c>
      <c r="J415" s="80" t="s">
        <v>2665</v>
      </c>
      <c r="K415" t="s">
        <v>767</v>
      </c>
      <c r="L415">
        <v>9005</v>
      </c>
      <c r="M415" t="s">
        <v>1955</v>
      </c>
      <c r="O415">
        <v>0.3</v>
      </c>
      <c r="P415" s="80" t="s">
        <v>2667</v>
      </c>
      <c r="Q415" t="s">
        <v>769</v>
      </c>
      <c r="R415">
        <v>9007</v>
      </c>
      <c r="S415" t="s">
        <v>1849</v>
      </c>
      <c r="U415">
        <v>0.6</v>
      </c>
      <c r="V415">
        <v>70001</v>
      </c>
      <c r="W415">
        <v>2</v>
      </c>
      <c r="X415">
        <v>1</v>
      </c>
      <c r="Y415">
        <v>70002</v>
      </c>
      <c r="Z415">
        <v>2</v>
      </c>
      <c r="AA415">
        <v>1</v>
      </c>
      <c r="AB415">
        <v>1001</v>
      </c>
      <c r="AC415">
        <v>100</v>
      </c>
      <c r="AD415">
        <v>1</v>
      </c>
      <c r="AE415">
        <v>8000</v>
      </c>
      <c r="AF415">
        <v>5650</v>
      </c>
      <c r="AG415">
        <v>1</v>
      </c>
    </row>
    <row r="416" spans="1:33" ht="38.25" customHeight="1">
      <c r="A416">
        <v>1310</v>
      </c>
      <c r="B416" t="s">
        <v>1959</v>
      </c>
      <c r="C416">
        <v>10</v>
      </c>
      <c r="D416" t="s">
        <v>2753</v>
      </c>
      <c r="E416">
        <v>150</v>
      </c>
      <c r="G416" s="90" t="s">
        <v>2754</v>
      </c>
      <c r="I416">
        <v>39970</v>
      </c>
      <c r="J416" s="80" t="s">
        <v>2755</v>
      </c>
      <c r="K416" t="s">
        <v>767</v>
      </c>
      <c r="L416">
        <v>9002</v>
      </c>
      <c r="M416" t="s">
        <v>1696</v>
      </c>
      <c r="O416">
        <v>0.9</v>
      </c>
      <c r="P416" s="80" t="s">
        <v>2756</v>
      </c>
      <c r="Q416" t="s">
        <v>769</v>
      </c>
      <c r="R416">
        <v>9008</v>
      </c>
      <c r="S416">
        <v>7</v>
      </c>
      <c r="U416">
        <v>0.9</v>
      </c>
      <c r="V416">
        <v>70001</v>
      </c>
      <c r="W416">
        <v>2</v>
      </c>
      <c r="X416">
        <v>1</v>
      </c>
      <c r="Y416">
        <v>70002</v>
      </c>
      <c r="Z416">
        <v>2</v>
      </c>
      <c r="AA416">
        <v>1</v>
      </c>
      <c r="AB416">
        <v>1001</v>
      </c>
      <c r="AC416">
        <v>100</v>
      </c>
      <c r="AD416">
        <v>1</v>
      </c>
      <c r="AE416">
        <v>8000</v>
      </c>
      <c r="AF416">
        <v>5700</v>
      </c>
      <c r="AG416">
        <v>1</v>
      </c>
    </row>
    <row r="417" spans="1:33" ht="38.25" customHeight="1">
      <c r="A417">
        <v>1311</v>
      </c>
      <c r="B417" t="s">
        <v>1959</v>
      </c>
      <c r="C417">
        <v>10</v>
      </c>
      <c r="D417" t="s">
        <v>2757</v>
      </c>
      <c r="E417">
        <v>150</v>
      </c>
      <c r="G417" s="90" t="s">
        <v>2758</v>
      </c>
      <c r="I417">
        <v>40095</v>
      </c>
      <c r="J417" s="80" t="s">
        <v>2755</v>
      </c>
      <c r="K417" t="s">
        <v>767</v>
      </c>
      <c r="L417">
        <v>9008</v>
      </c>
      <c r="M417" t="s">
        <v>2593</v>
      </c>
      <c r="O417">
        <v>0.4</v>
      </c>
      <c r="P417" s="80" t="s">
        <v>2756</v>
      </c>
      <c r="Q417" t="s">
        <v>769</v>
      </c>
      <c r="R417">
        <v>9007</v>
      </c>
      <c r="S417" t="s">
        <v>1791</v>
      </c>
      <c r="U417">
        <v>0.2</v>
      </c>
      <c r="V417">
        <v>70001</v>
      </c>
      <c r="W417">
        <v>2</v>
      </c>
      <c r="X417">
        <v>1</v>
      </c>
      <c r="Y417">
        <v>70002</v>
      </c>
      <c r="Z417">
        <v>2</v>
      </c>
      <c r="AA417">
        <v>1</v>
      </c>
      <c r="AB417">
        <v>1001</v>
      </c>
      <c r="AC417">
        <v>100</v>
      </c>
      <c r="AD417">
        <v>1</v>
      </c>
      <c r="AE417">
        <v>8000</v>
      </c>
      <c r="AF417">
        <v>5700</v>
      </c>
      <c r="AG417">
        <v>1</v>
      </c>
    </row>
    <row r="418" spans="1:33" ht="38.25" customHeight="1">
      <c r="A418">
        <v>1312</v>
      </c>
      <c r="B418" t="s">
        <v>1959</v>
      </c>
      <c r="C418">
        <v>10</v>
      </c>
      <c r="D418" t="s">
        <v>2759</v>
      </c>
      <c r="E418">
        <v>150</v>
      </c>
      <c r="G418" s="90" t="s">
        <v>2760</v>
      </c>
      <c r="I418">
        <v>40220</v>
      </c>
      <c r="J418" s="80" t="s">
        <v>2755</v>
      </c>
      <c r="K418" t="s">
        <v>767</v>
      </c>
      <c r="L418">
        <v>9007</v>
      </c>
      <c r="M418" t="s">
        <v>2424</v>
      </c>
      <c r="O418">
        <v>0.9</v>
      </c>
      <c r="P418" s="80" t="s">
        <v>2756</v>
      </c>
      <c r="Q418" t="s">
        <v>769</v>
      </c>
      <c r="R418">
        <v>9011</v>
      </c>
      <c r="S418">
        <v>13</v>
      </c>
      <c r="U418">
        <v>0.9</v>
      </c>
      <c r="V418">
        <v>70001</v>
      </c>
      <c r="W418">
        <v>2</v>
      </c>
      <c r="X418">
        <v>1</v>
      </c>
      <c r="Y418">
        <v>70002</v>
      </c>
      <c r="Z418">
        <v>2</v>
      </c>
      <c r="AA418">
        <v>1</v>
      </c>
      <c r="AB418">
        <v>1001</v>
      </c>
      <c r="AC418">
        <v>100</v>
      </c>
      <c r="AD418">
        <v>1</v>
      </c>
      <c r="AE418">
        <v>8000</v>
      </c>
      <c r="AF418">
        <v>5750</v>
      </c>
      <c r="AG418">
        <v>1</v>
      </c>
    </row>
    <row r="419" spans="1:33" ht="38.25" customHeight="1">
      <c r="A419">
        <v>1313</v>
      </c>
      <c r="B419" t="s">
        <v>1959</v>
      </c>
      <c r="C419">
        <v>10</v>
      </c>
      <c r="D419" t="s">
        <v>2761</v>
      </c>
      <c r="E419">
        <v>150</v>
      </c>
      <c r="G419" s="90" t="s">
        <v>2762</v>
      </c>
      <c r="I419">
        <v>40345</v>
      </c>
      <c r="J419" s="80" t="s">
        <v>2755</v>
      </c>
      <c r="K419" t="s">
        <v>767</v>
      </c>
      <c r="L419">
        <v>9011</v>
      </c>
      <c r="M419" t="s">
        <v>1925</v>
      </c>
      <c r="O419">
        <v>0.1</v>
      </c>
      <c r="P419" s="80" t="s">
        <v>2756</v>
      </c>
      <c r="Q419" t="s">
        <v>769</v>
      </c>
      <c r="R419">
        <v>9003</v>
      </c>
      <c r="S419" t="s">
        <v>1740</v>
      </c>
      <c r="U419">
        <v>0.8</v>
      </c>
      <c r="V419">
        <v>70001</v>
      </c>
      <c r="W419">
        <v>2</v>
      </c>
      <c r="X419">
        <v>1</v>
      </c>
      <c r="Y419">
        <v>70002</v>
      </c>
      <c r="Z419">
        <v>2</v>
      </c>
      <c r="AA419">
        <v>1</v>
      </c>
      <c r="AB419">
        <v>1001</v>
      </c>
      <c r="AC419">
        <v>100</v>
      </c>
      <c r="AD419">
        <v>1</v>
      </c>
      <c r="AE419">
        <v>8000</v>
      </c>
      <c r="AF419">
        <v>5750</v>
      </c>
      <c r="AG419">
        <v>1</v>
      </c>
    </row>
    <row r="420" spans="1:33" ht="38.25" customHeight="1">
      <c r="A420">
        <v>1314</v>
      </c>
      <c r="B420" t="s">
        <v>1959</v>
      </c>
      <c r="C420">
        <v>10</v>
      </c>
      <c r="D420" t="s">
        <v>2763</v>
      </c>
      <c r="E420">
        <v>150</v>
      </c>
      <c r="G420" s="90" t="s">
        <v>2764</v>
      </c>
      <c r="I420">
        <v>40470</v>
      </c>
      <c r="J420" s="80" t="s">
        <v>2755</v>
      </c>
      <c r="K420" t="s">
        <v>767</v>
      </c>
      <c r="L420">
        <v>9006</v>
      </c>
      <c r="M420">
        <v>4</v>
      </c>
      <c r="O420">
        <v>0.3</v>
      </c>
      <c r="P420" s="80" t="s">
        <v>2756</v>
      </c>
      <c r="Q420" t="s">
        <v>769</v>
      </c>
      <c r="R420">
        <v>9004</v>
      </c>
      <c r="S420" t="s">
        <v>2765</v>
      </c>
      <c r="U420">
        <v>0.6</v>
      </c>
      <c r="V420">
        <v>70001</v>
      </c>
      <c r="W420">
        <v>2</v>
      </c>
      <c r="X420">
        <v>1</v>
      </c>
      <c r="Y420">
        <v>70002</v>
      </c>
      <c r="Z420">
        <v>2</v>
      </c>
      <c r="AA420">
        <v>1</v>
      </c>
      <c r="AB420">
        <v>1001</v>
      </c>
      <c r="AC420">
        <v>100</v>
      </c>
      <c r="AD420">
        <v>1</v>
      </c>
      <c r="AE420">
        <v>8000</v>
      </c>
      <c r="AF420">
        <v>5800</v>
      </c>
      <c r="AG420">
        <v>1</v>
      </c>
    </row>
    <row r="421" spans="1:33" ht="38.25" customHeight="1">
      <c r="A421">
        <v>1315</v>
      </c>
      <c r="B421" t="s">
        <v>1959</v>
      </c>
      <c r="C421">
        <v>10</v>
      </c>
      <c r="D421" t="s">
        <v>2766</v>
      </c>
      <c r="E421">
        <v>150</v>
      </c>
      <c r="G421" s="90" t="s">
        <v>2767</v>
      </c>
      <c r="I421">
        <v>40595</v>
      </c>
      <c r="J421" s="80" t="s">
        <v>2755</v>
      </c>
      <c r="K421" t="s">
        <v>767</v>
      </c>
      <c r="L421">
        <v>9008</v>
      </c>
      <c r="M421">
        <v>11</v>
      </c>
      <c r="O421">
        <v>0.1</v>
      </c>
      <c r="P421" s="80" t="s">
        <v>2756</v>
      </c>
      <c r="Q421" t="s">
        <v>769</v>
      </c>
      <c r="R421">
        <v>9011</v>
      </c>
      <c r="S421" t="s">
        <v>1893</v>
      </c>
      <c r="U421">
        <v>0.3</v>
      </c>
      <c r="V421">
        <v>70001</v>
      </c>
      <c r="W421">
        <v>2</v>
      </c>
      <c r="X421">
        <v>1</v>
      </c>
      <c r="Y421">
        <v>70002</v>
      </c>
      <c r="Z421">
        <v>2</v>
      </c>
      <c r="AA421">
        <v>1</v>
      </c>
      <c r="AB421">
        <v>1001</v>
      </c>
      <c r="AC421">
        <v>100</v>
      </c>
      <c r="AD421">
        <v>1</v>
      </c>
      <c r="AE421">
        <v>8000</v>
      </c>
      <c r="AF421">
        <v>5800</v>
      </c>
      <c r="AG421">
        <v>1</v>
      </c>
    </row>
    <row r="422" spans="1:33" ht="38.25" customHeight="1">
      <c r="A422">
        <v>1316</v>
      </c>
      <c r="B422" t="s">
        <v>1959</v>
      </c>
      <c r="C422">
        <v>10</v>
      </c>
      <c r="D422" t="s">
        <v>2768</v>
      </c>
      <c r="E422">
        <v>150</v>
      </c>
      <c r="G422" s="90" t="s">
        <v>2769</v>
      </c>
      <c r="I422">
        <v>40720</v>
      </c>
      <c r="J422" s="80" t="s">
        <v>2755</v>
      </c>
      <c r="K422" t="s">
        <v>767</v>
      </c>
      <c r="L422">
        <v>9007</v>
      </c>
      <c r="M422">
        <v>1</v>
      </c>
      <c r="O422">
        <v>0.2</v>
      </c>
      <c r="P422" s="80" t="s">
        <v>2756</v>
      </c>
      <c r="Q422" t="s">
        <v>769</v>
      </c>
      <c r="R422">
        <v>9003</v>
      </c>
      <c r="S422" t="s">
        <v>1712</v>
      </c>
      <c r="U422">
        <v>0.9</v>
      </c>
      <c r="V422">
        <v>70001</v>
      </c>
      <c r="W422">
        <v>2</v>
      </c>
      <c r="X422">
        <v>1</v>
      </c>
      <c r="Y422">
        <v>70002</v>
      </c>
      <c r="Z422">
        <v>2</v>
      </c>
      <c r="AA422">
        <v>1</v>
      </c>
      <c r="AB422">
        <v>1001</v>
      </c>
      <c r="AC422">
        <v>100</v>
      </c>
      <c r="AD422">
        <v>1</v>
      </c>
      <c r="AE422">
        <v>8000</v>
      </c>
      <c r="AF422">
        <v>5850</v>
      </c>
      <c r="AG422">
        <v>1</v>
      </c>
    </row>
    <row r="423" spans="1:33" ht="38.25" customHeight="1">
      <c r="A423">
        <v>1317</v>
      </c>
      <c r="B423" t="s">
        <v>1959</v>
      </c>
      <c r="C423">
        <v>10</v>
      </c>
      <c r="D423" t="s">
        <v>2770</v>
      </c>
      <c r="E423">
        <v>150</v>
      </c>
      <c r="G423" s="90" t="s">
        <v>2771</v>
      </c>
      <c r="I423">
        <v>40845</v>
      </c>
      <c r="J423" s="80" t="s">
        <v>2755</v>
      </c>
      <c r="K423" t="s">
        <v>767</v>
      </c>
      <c r="L423">
        <v>9002</v>
      </c>
      <c r="M423" t="s">
        <v>1787</v>
      </c>
      <c r="O423">
        <v>0.6</v>
      </c>
      <c r="P423" s="80" t="s">
        <v>2756</v>
      </c>
      <c r="Q423" t="s">
        <v>769</v>
      </c>
      <c r="R423">
        <v>9008</v>
      </c>
      <c r="S423" t="s">
        <v>2058</v>
      </c>
      <c r="U423">
        <v>0.3</v>
      </c>
      <c r="V423">
        <v>70001</v>
      </c>
      <c r="W423">
        <v>2</v>
      </c>
      <c r="X423">
        <v>1</v>
      </c>
      <c r="Y423">
        <v>70002</v>
      </c>
      <c r="Z423">
        <v>2</v>
      </c>
      <c r="AA423">
        <v>1</v>
      </c>
      <c r="AB423">
        <v>1001</v>
      </c>
      <c r="AC423">
        <v>100</v>
      </c>
      <c r="AD423">
        <v>1</v>
      </c>
      <c r="AE423">
        <v>8000</v>
      </c>
      <c r="AF423">
        <v>5850</v>
      </c>
      <c r="AG423">
        <v>1</v>
      </c>
    </row>
    <row r="424" spans="1:33" ht="38.25" customHeight="1">
      <c r="A424">
        <v>1318</v>
      </c>
      <c r="B424" t="s">
        <v>1959</v>
      </c>
      <c r="C424">
        <v>10</v>
      </c>
      <c r="D424" t="s">
        <v>2772</v>
      </c>
      <c r="E424">
        <v>150</v>
      </c>
      <c r="G424" s="90" t="s">
        <v>2773</v>
      </c>
      <c r="I424">
        <v>40970</v>
      </c>
      <c r="J424" s="80" t="s">
        <v>2755</v>
      </c>
      <c r="K424" t="s">
        <v>767</v>
      </c>
      <c r="L424">
        <v>9001</v>
      </c>
      <c r="M424" t="s">
        <v>2285</v>
      </c>
      <c r="O424">
        <v>0.8</v>
      </c>
      <c r="P424" s="80" t="s">
        <v>2756</v>
      </c>
      <c r="Q424" t="s">
        <v>769</v>
      </c>
      <c r="R424">
        <v>9011</v>
      </c>
      <c r="S424">
        <v>4</v>
      </c>
      <c r="U424">
        <v>0.3</v>
      </c>
      <c r="V424">
        <v>70001</v>
      </c>
      <c r="W424">
        <v>2</v>
      </c>
      <c r="X424">
        <v>1</v>
      </c>
      <c r="Y424">
        <v>70002</v>
      </c>
      <c r="Z424">
        <v>2</v>
      </c>
      <c r="AA424">
        <v>1</v>
      </c>
      <c r="AB424">
        <v>1001</v>
      </c>
      <c r="AC424">
        <v>100</v>
      </c>
      <c r="AD424">
        <v>1</v>
      </c>
      <c r="AE424">
        <v>8000</v>
      </c>
      <c r="AF424">
        <v>5900</v>
      </c>
      <c r="AG424">
        <v>1</v>
      </c>
    </row>
    <row r="425" spans="1:33" ht="38.25" customHeight="1">
      <c r="A425">
        <v>1319</v>
      </c>
      <c r="B425" t="s">
        <v>1959</v>
      </c>
      <c r="C425">
        <v>10</v>
      </c>
      <c r="D425" t="s">
        <v>2774</v>
      </c>
      <c r="E425">
        <v>150</v>
      </c>
      <c r="G425" s="90" t="s">
        <v>2775</v>
      </c>
      <c r="I425">
        <v>41095</v>
      </c>
      <c r="J425" s="80" t="s">
        <v>2755</v>
      </c>
      <c r="K425" t="s">
        <v>767</v>
      </c>
      <c r="L425">
        <v>9006</v>
      </c>
      <c r="M425" t="s">
        <v>2279</v>
      </c>
      <c r="O425">
        <v>0.5</v>
      </c>
      <c r="P425" s="80" t="s">
        <v>2756</v>
      </c>
      <c r="Q425" t="s">
        <v>769</v>
      </c>
      <c r="R425">
        <v>9007</v>
      </c>
      <c r="S425">
        <v>3</v>
      </c>
      <c r="U425">
        <v>0.7</v>
      </c>
      <c r="V425">
        <v>70001</v>
      </c>
      <c r="W425">
        <v>2</v>
      </c>
      <c r="X425">
        <v>1</v>
      </c>
      <c r="Y425">
        <v>70002</v>
      </c>
      <c r="Z425">
        <v>2</v>
      </c>
      <c r="AA425">
        <v>1</v>
      </c>
      <c r="AB425">
        <v>1001</v>
      </c>
      <c r="AC425">
        <v>100</v>
      </c>
      <c r="AD425">
        <v>1</v>
      </c>
      <c r="AE425">
        <v>8000</v>
      </c>
      <c r="AF425">
        <v>5900</v>
      </c>
      <c r="AG425">
        <v>1</v>
      </c>
    </row>
    <row r="426" spans="1:33" ht="38.25" customHeight="1">
      <c r="A426">
        <v>1320</v>
      </c>
      <c r="B426" t="s">
        <v>1959</v>
      </c>
      <c r="C426">
        <v>10</v>
      </c>
      <c r="D426" t="s">
        <v>2776</v>
      </c>
      <c r="E426">
        <v>150</v>
      </c>
      <c r="G426" s="90" t="s">
        <v>2777</v>
      </c>
      <c r="I426">
        <v>41220</v>
      </c>
      <c r="J426" s="80" t="s">
        <v>2755</v>
      </c>
      <c r="K426" t="s">
        <v>767</v>
      </c>
      <c r="L426">
        <v>9001</v>
      </c>
      <c r="M426" t="s">
        <v>2778</v>
      </c>
      <c r="O426">
        <v>0.8</v>
      </c>
      <c r="P426" s="80" t="s">
        <v>2756</v>
      </c>
      <c r="Q426" t="s">
        <v>769</v>
      </c>
      <c r="R426">
        <v>9004</v>
      </c>
      <c r="S426" t="s">
        <v>2750</v>
      </c>
      <c r="U426">
        <v>0.3</v>
      </c>
      <c r="V426">
        <v>70001</v>
      </c>
      <c r="W426">
        <v>2</v>
      </c>
      <c r="X426">
        <v>1</v>
      </c>
      <c r="Y426">
        <v>70002</v>
      </c>
      <c r="Z426">
        <v>2</v>
      </c>
      <c r="AA426">
        <v>1</v>
      </c>
      <c r="AB426">
        <v>1001</v>
      </c>
      <c r="AC426">
        <v>100</v>
      </c>
      <c r="AD426">
        <v>1</v>
      </c>
      <c r="AE426">
        <v>8000</v>
      </c>
      <c r="AF426">
        <v>5950</v>
      </c>
      <c r="AG426">
        <v>1</v>
      </c>
    </row>
    <row r="427" spans="1:33" ht="38.25" customHeight="1">
      <c r="A427">
        <v>1321</v>
      </c>
      <c r="B427" t="s">
        <v>1959</v>
      </c>
      <c r="C427">
        <v>10</v>
      </c>
      <c r="D427" t="s">
        <v>2779</v>
      </c>
      <c r="E427">
        <v>150</v>
      </c>
      <c r="G427" s="90" t="s">
        <v>2780</v>
      </c>
      <c r="I427">
        <v>41345</v>
      </c>
      <c r="J427" s="80" t="s">
        <v>2755</v>
      </c>
      <c r="K427" t="s">
        <v>767</v>
      </c>
      <c r="L427">
        <v>9008</v>
      </c>
      <c r="M427" t="s">
        <v>1700</v>
      </c>
      <c r="O427">
        <v>0.6</v>
      </c>
      <c r="P427" s="80" t="s">
        <v>2756</v>
      </c>
      <c r="Q427" t="s">
        <v>769</v>
      </c>
      <c r="R427">
        <v>9010</v>
      </c>
      <c r="S427" t="s">
        <v>1867</v>
      </c>
      <c r="U427">
        <v>0.5</v>
      </c>
      <c r="V427">
        <v>70001</v>
      </c>
      <c r="W427">
        <v>2</v>
      </c>
      <c r="X427">
        <v>1</v>
      </c>
      <c r="Y427">
        <v>70002</v>
      </c>
      <c r="Z427">
        <v>2</v>
      </c>
      <c r="AA427">
        <v>1</v>
      </c>
      <c r="AB427">
        <v>1001</v>
      </c>
      <c r="AC427">
        <v>100</v>
      </c>
      <c r="AD427">
        <v>1</v>
      </c>
      <c r="AE427">
        <v>8000</v>
      </c>
      <c r="AF427">
        <v>5950</v>
      </c>
      <c r="AG427">
        <v>1</v>
      </c>
    </row>
    <row r="428" spans="1:33" ht="38.25" customHeight="1">
      <c r="A428">
        <v>1322</v>
      </c>
      <c r="B428" t="s">
        <v>1959</v>
      </c>
      <c r="C428">
        <v>10</v>
      </c>
      <c r="D428" t="s">
        <v>2781</v>
      </c>
      <c r="E428">
        <v>150</v>
      </c>
      <c r="G428" s="90" t="s">
        <v>2782</v>
      </c>
      <c r="I428">
        <v>41470</v>
      </c>
      <c r="J428" s="80" t="s">
        <v>2755</v>
      </c>
      <c r="K428" t="s">
        <v>767</v>
      </c>
      <c r="L428">
        <v>9011</v>
      </c>
      <c r="M428" t="s">
        <v>2783</v>
      </c>
      <c r="O428">
        <v>0.1</v>
      </c>
      <c r="P428" s="80" t="s">
        <v>2756</v>
      </c>
      <c r="Q428" t="s">
        <v>769</v>
      </c>
      <c r="R428">
        <v>9010</v>
      </c>
      <c r="S428" t="s">
        <v>2005</v>
      </c>
      <c r="U428">
        <v>0.9</v>
      </c>
      <c r="V428">
        <v>70001</v>
      </c>
      <c r="W428">
        <v>2</v>
      </c>
      <c r="X428">
        <v>1</v>
      </c>
      <c r="Y428">
        <v>70002</v>
      </c>
      <c r="Z428">
        <v>2</v>
      </c>
      <c r="AA428">
        <v>1</v>
      </c>
      <c r="AB428">
        <v>1001</v>
      </c>
      <c r="AC428">
        <v>100</v>
      </c>
      <c r="AD428">
        <v>1</v>
      </c>
      <c r="AE428">
        <v>8000</v>
      </c>
      <c r="AF428">
        <v>6000</v>
      </c>
      <c r="AG428">
        <v>1</v>
      </c>
    </row>
    <row r="429" spans="1:33" ht="38.25" customHeight="1">
      <c r="A429">
        <v>1323</v>
      </c>
      <c r="B429" t="s">
        <v>1959</v>
      </c>
      <c r="C429">
        <v>10</v>
      </c>
      <c r="D429" t="s">
        <v>2784</v>
      </c>
      <c r="E429">
        <v>150</v>
      </c>
      <c r="G429" s="90" t="s">
        <v>2785</v>
      </c>
      <c r="I429">
        <v>41595</v>
      </c>
      <c r="J429" s="80" t="s">
        <v>2755</v>
      </c>
      <c r="K429" t="s">
        <v>767</v>
      </c>
      <c r="L429">
        <v>9011</v>
      </c>
      <c r="M429">
        <v>3</v>
      </c>
      <c r="O429">
        <v>0.7</v>
      </c>
      <c r="P429" s="80" t="s">
        <v>2756</v>
      </c>
      <c r="Q429" t="s">
        <v>769</v>
      </c>
      <c r="R429">
        <v>9007</v>
      </c>
      <c r="S429" t="s">
        <v>1904</v>
      </c>
      <c r="U429">
        <v>0.5</v>
      </c>
      <c r="V429">
        <v>70001</v>
      </c>
      <c r="W429">
        <v>2</v>
      </c>
      <c r="X429">
        <v>1</v>
      </c>
      <c r="Y429">
        <v>70002</v>
      </c>
      <c r="Z429">
        <v>2</v>
      </c>
      <c r="AA429">
        <v>1</v>
      </c>
      <c r="AB429">
        <v>1001</v>
      </c>
      <c r="AC429">
        <v>100</v>
      </c>
      <c r="AD429">
        <v>1</v>
      </c>
      <c r="AE429">
        <v>8000</v>
      </c>
      <c r="AF429">
        <v>6000</v>
      </c>
      <c r="AG429">
        <v>1</v>
      </c>
    </row>
    <row r="430" spans="1:33" ht="38.25" customHeight="1">
      <c r="A430">
        <v>1324</v>
      </c>
      <c r="B430" t="s">
        <v>1959</v>
      </c>
      <c r="C430">
        <v>10</v>
      </c>
      <c r="D430" t="s">
        <v>2786</v>
      </c>
      <c r="E430">
        <v>150</v>
      </c>
      <c r="G430" s="90" t="s">
        <v>2787</v>
      </c>
      <c r="I430">
        <v>41720</v>
      </c>
      <c r="J430" s="80" t="s">
        <v>2755</v>
      </c>
      <c r="K430" t="s">
        <v>767</v>
      </c>
      <c r="L430">
        <v>9007</v>
      </c>
      <c r="M430" t="s">
        <v>2612</v>
      </c>
      <c r="O430">
        <v>0.8</v>
      </c>
      <c r="P430" s="80" t="s">
        <v>2756</v>
      </c>
      <c r="Q430" t="s">
        <v>769</v>
      </c>
      <c r="R430">
        <v>9003</v>
      </c>
      <c r="S430">
        <v>8</v>
      </c>
      <c r="U430">
        <v>0.2</v>
      </c>
      <c r="V430">
        <v>70001</v>
      </c>
      <c r="W430">
        <v>2</v>
      </c>
      <c r="X430">
        <v>1</v>
      </c>
      <c r="Y430">
        <v>70002</v>
      </c>
      <c r="Z430">
        <v>2</v>
      </c>
      <c r="AA430">
        <v>1</v>
      </c>
      <c r="AB430">
        <v>1001</v>
      </c>
      <c r="AC430">
        <v>100</v>
      </c>
      <c r="AD430">
        <v>1</v>
      </c>
      <c r="AE430">
        <v>8000</v>
      </c>
      <c r="AF430">
        <v>6050</v>
      </c>
      <c r="AG430">
        <v>1</v>
      </c>
    </row>
    <row r="431" spans="1:33" ht="38.25" customHeight="1">
      <c r="A431">
        <v>1325</v>
      </c>
      <c r="B431" t="s">
        <v>1959</v>
      </c>
      <c r="C431">
        <v>10</v>
      </c>
      <c r="D431" t="s">
        <v>2788</v>
      </c>
      <c r="E431">
        <v>150</v>
      </c>
      <c r="G431" s="90" t="s">
        <v>2789</v>
      </c>
      <c r="I431">
        <v>41845</v>
      </c>
      <c r="J431" s="80" t="s">
        <v>2755</v>
      </c>
      <c r="K431" t="s">
        <v>767</v>
      </c>
      <c r="L431">
        <v>9011</v>
      </c>
      <c r="M431" t="s">
        <v>2360</v>
      </c>
      <c r="O431">
        <v>0.7</v>
      </c>
      <c r="P431" s="80" t="s">
        <v>2756</v>
      </c>
      <c r="Q431" t="s">
        <v>769</v>
      </c>
      <c r="R431">
        <v>9008</v>
      </c>
      <c r="S431" t="s">
        <v>2647</v>
      </c>
      <c r="U431">
        <v>0.2</v>
      </c>
      <c r="V431">
        <v>70001</v>
      </c>
      <c r="W431">
        <v>2</v>
      </c>
      <c r="X431">
        <v>1</v>
      </c>
      <c r="Y431">
        <v>70002</v>
      </c>
      <c r="Z431">
        <v>2</v>
      </c>
      <c r="AA431">
        <v>1</v>
      </c>
      <c r="AB431">
        <v>1001</v>
      </c>
      <c r="AC431">
        <v>100</v>
      </c>
      <c r="AD431">
        <v>1</v>
      </c>
      <c r="AE431">
        <v>8000</v>
      </c>
      <c r="AF431">
        <v>6050</v>
      </c>
      <c r="AG431">
        <v>1</v>
      </c>
    </row>
    <row r="432" spans="1:33" ht="38.25" customHeight="1">
      <c r="A432">
        <v>1326</v>
      </c>
      <c r="B432" t="s">
        <v>1959</v>
      </c>
      <c r="C432">
        <v>10</v>
      </c>
      <c r="D432" t="s">
        <v>2790</v>
      </c>
      <c r="E432">
        <v>150</v>
      </c>
      <c r="G432" s="90" t="s">
        <v>2791</v>
      </c>
      <c r="I432">
        <v>41970</v>
      </c>
      <c r="J432" s="80" t="s">
        <v>2755</v>
      </c>
      <c r="K432" t="s">
        <v>767</v>
      </c>
      <c r="L432">
        <v>9007</v>
      </c>
      <c r="M432" t="s">
        <v>2128</v>
      </c>
      <c r="O432">
        <v>0.1</v>
      </c>
      <c r="P432" s="80" t="s">
        <v>2756</v>
      </c>
      <c r="Q432" t="s">
        <v>769</v>
      </c>
      <c r="R432">
        <v>9012</v>
      </c>
      <c r="S432" t="s">
        <v>1863</v>
      </c>
      <c r="U432">
        <v>0.3</v>
      </c>
      <c r="V432">
        <v>70001</v>
      </c>
      <c r="W432">
        <v>2</v>
      </c>
      <c r="X432">
        <v>1</v>
      </c>
      <c r="Y432">
        <v>70002</v>
      </c>
      <c r="Z432">
        <v>2</v>
      </c>
      <c r="AA432">
        <v>1</v>
      </c>
      <c r="AB432">
        <v>1001</v>
      </c>
      <c r="AC432">
        <v>100</v>
      </c>
      <c r="AD432">
        <v>1</v>
      </c>
      <c r="AE432">
        <v>8000</v>
      </c>
      <c r="AF432">
        <v>6100</v>
      </c>
      <c r="AG432">
        <v>1</v>
      </c>
    </row>
    <row r="433" spans="1:33" ht="38.25" customHeight="1">
      <c r="A433">
        <v>1327</v>
      </c>
      <c r="B433" t="s">
        <v>1959</v>
      </c>
      <c r="C433">
        <v>10</v>
      </c>
      <c r="D433" t="s">
        <v>2792</v>
      </c>
      <c r="E433">
        <v>150</v>
      </c>
      <c r="G433" s="90" t="s">
        <v>2793</v>
      </c>
      <c r="I433">
        <v>42095</v>
      </c>
      <c r="J433" s="80" t="s">
        <v>2755</v>
      </c>
      <c r="K433" t="s">
        <v>767</v>
      </c>
      <c r="L433">
        <v>9011</v>
      </c>
      <c r="M433" t="s">
        <v>2111</v>
      </c>
      <c r="O433">
        <v>0.3</v>
      </c>
      <c r="P433" s="80" t="s">
        <v>2756</v>
      </c>
      <c r="Q433" t="s">
        <v>769</v>
      </c>
      <c r="R433">
        <v>9011</v>
      </c>
      <c r="S433">
        <v>10</v>
      </c>
      <c r="U433">
        <v>0.3</v>
      </c>
      <c r="V433">
        <v>70001</v>
      </c>
      <c r="W433">
        <v>2</v>
      </c>
      <c r="X433">
        <v>1</v>
      </c>
      <c r="Y433">
        <v>70002</v>
      </c>
      <c r="Z433">
        <v>2</v>
      </c>
      <c r="AA433">
        <v>1</v>
      </c>
      <c r="AB433">
        <v>1001</v>
      </c>
      <c r="AC433">
        <v>100</v>
      </c>
      <c r="AD433">
        <v>1</v>
      </c>
      <c r="AE433">
        <v>8000</v>
      </c>
      <c r="AF433">
        <v>6100</v>
      </c>
      <c r="AG433">
        <v>1</v>
      </c>
    </row>
    <row r="434" spans="1:33" ht="38.25" customHeight="1">
      <c r="A434">
        <v>1328</v>
      </c>
      <c r="B434" t="s">
        <v>1959</v>
      </c>
      <c r="C434">
        <v>10</v>
      </c>
      <c r="D434" t="s">
        <v>2794</v>
      </c>
      <c r="E434">
        <v>150</v>
      </c>
      <c r="G434" s="90" t="s">
        <v>2795</v>
      </c>
      <c r="I434">
        <v>42220</v>
      </c>
      <c r="J434" s="80" t="s">
        <v>2755</v>
      </c>
      <c r="K434" t="s">
        <v>767</v>
      </c>
      <c r="L434">
        <v>9005</v>
      </c>
      <c r="M434" t="s">
        <v>2736</v>
      </c>
      <c r="O434">
        <v>0.6</v>
      </c>
      <c r="P434" s="80" t="s">
        <v>2756</v>
      </c>
      <c r="Q434" t="s">
        <v>769</v>
      </c>
      <c r="R434">
        <v>9011</v>
      </c>
      <c r="S434" t="s">
        <v>2387</v>
      </c>
      <c r="U434">
        <v>0.3</v>
      </c>
      <c r="V434">
        <v>70001</v>
      </c>
      <c r="W434">
        <v>2</v>
      </c>
      <c r="X434">
        <v>1</v>
      </c>
      <c r="Y434">
        <v>70002</v>
      </c>
      <c r="Z434">
        <v>2</v>
      </c>
      <c r="AA434">
        <v>1</v>
      </c>
      <c r="AB434">
        <v>1001</v>
      </c>
      <c r="AC434">
        <v>100</v>
      </c>
      <c r="AD434">
        <v>1</v>
      </c>
      <c r="AE434">
        <v>8000</v>
      </c>
      <c r="AF434">
        <v>6150</v>
      </c>
      <c r="AG434">
        <v>1</v>
      </c>
    </row>
    <row r="435" spans="1:33" ht="38.25" customHeight="1">
      <c r="A435">
        <v>1329</v>
      </c>
      <c r="B435" t="s">
        <v>1959</v>
      </c>
      <c r="C435">
        <v>10</v>
      </c>
      <c r="D435" t="s">
        <v>2796</v>
      </c>
      <c r="E435">
        <v>150</v>
      </c>
      <c r="G435" s="90" t="s">
        <v>2797</v>
      </c>
      <c r="I435">
        <v>42345</v>
      </c>
      <c r="J435" s="80" t="s">
        <v>2755</v>
      </c>
      <c r="K435" t="s">
        <v>767</v>
      </c>
      <c r="L435">
        <v>9002</v>
      </c>
      <c r="M435">
        <v>5</v>
      </c>
      <c r="O435">
        <v>1</v>
      </c>
      <c r="P435" s="80" t="s">
        <v>2756</v>
      </c>
      <c r="Q435" t="s">
        <v>769</v>
      </c>
      <c r="R435">
        <v>9012</v>
      </c>
      <c r="S435">
        <v>11</v>
      </c>
      <c r="U435">
        <v>0.1</v>
      </c>
      <c r="V435">
        <v>70001</v>
      </c>
      <c r="W435">
        <v>2</v>
      </c>
      <c r="X435">
        <v>1</v>
      </c>
      <c r="Y435">
        <v>70002</v>
      </c>
      <c r="Z435">
        <v>2</v>
      </c>
      <c r="AA435">
        <v>1</v>
      </c>
      <c r="AB435">
        <v>1001</v>
      </c>
      <c r="AC435">
        <v>500</v>
      </c>
      <c r="AD435">
        <v>1</v>
      </c>
      <c r="AE435">
        <v>8000</v>
      </c>
      <c r="AF435">
        <v>6150</v>
      </c>
      <c r="AG435">
        <v>1</v>
      </c>
    </row>
    <row r="436" spans="1:33" ht="38.25" customHeight="1">
      <c r="A436">
        <v>1330</v>
      </c>
      <c r="B436" t="s">
        <v>1959</v>
      </c>
      <c r="C436">
        <v>10</v>
      </c>
      <c r="D436" t="s">
        <v>2798</v>
      </c>
      <c r="E436">
        <v>150</v>
      </c>
      <c r="G436" s="90" t="s">
        <v>2799</v>
      </c>
      <c r="I436">
        <v>42470</v>
      </c>
      <c r="J436" s="80" t="s">
        <v>2755</v>
      </c>
      <c r="K436" t="s">
        <v>767</v>
      </c>
      <c r="L436">
        <v>9005</v>
      </c>
      <c r="M436" t="s">
        <v>1855</v>
      </c>
      <c r="O436">
        <v>0.9</v>
      </c>
      <c r="P436" s="80" t="s">
        <v>2756</v>
      </c>
      <c r="Q436" t="s">
        <v>769</v>
      </c>
      <c r="R436">
        <v>9007</v>
      </c>
      <c r="S436" t="s">
        <v>1935</v>
      </c>
      <c r="U436">
        <v>0.6</v>
      </c>
      <c r="V436">
        <v>70001</v>
      </c>
      <c r="W436">
        <v>2</v>
      </c>
      <c r="X436">
        <v>1</v>
      </c>
      <c r="Y436">
        <v>70002</v>
      </c>
      <c r="Z436">
        <v>2</v>
      </c>
      <c r="AA436">
        <v>1</v>
      </c>
      <c r="AB436">
        <v>1001</v>
      </c>
      <c r="AC436">
        <v>100</v>
      </c>
      <c r="AD436">
        <v>1</v>
      </c>
      <c r="AE436">
        <v>8000</v>
      </c>
      <c r="AF436">
        <v>6200</v>
      </c>
      <c r="AG436">
        <v>1</v>
      </c>
    </row>
    <row r="437" spans="1:33" ht="38.25" customHeight="1">
      <c r="A437">
        <v>1331</v>
      </c>
      <c r="B437" t="s">
        <v>1959</v>
      </c>
      <c r="C437">
        <v>10</v>
      </c>
      <c r="D437" t="s">
        <v>2800</v>
      </c>
      <c r="E437">
        <v>150</v>
      </c>
      <c r="G437" s="90" t="s">
        <v>2801</v>
      </c>
      <c r="I437">
        <v>42595</v>
      </c>
      <c r="J437" s="80" t="s">
        <v>2755</v>
      </c>
      <c r="K437" t="s">
        <v>767</v>
      </c>
      <c r="L437">
        <v>9006</v>
      </c>
      <c r="M437" t="s">
        <v>2802</v>
      </c>
      <c r="O437">
        <v>0.4</v>
      </c>
      <c r="P437" s="80" t="s">
        <v>2756</v>
      </c>
      <c r="Q437" t="s">
        <v>769</v>
      </c>
      <c r="R437">
        <v>9008</v>
      </c>
      <c r="S437" t="s">
        <v>1881</v>
      </c>
      <c r="U437">
        <v>0.1</v>
      </c>
      <c r="V437">
        <v>70001</v>
      </c>
      <c r="W437">
        <v>2</v>
      </c>
      <c r="X437">
        <v>1</v>
      </c>
      <c r="Y437">
        <v>70002</v>
      </c>
      <c r="Z437">
        <v>2</v>
      </c>
      <c r="AA437">
        <v>1</v>
      </c>
      <c r="AB437">
        <v>1001</v>
      </c>
      <c r="AC437">
        <v>100</v>
      </c>
      <c r="AD437">
        <v>1</v>
      </c>
      <c r="AE437">
        <v>8000</v>
      </c>
      <c r="AF437">
        <v>6200</v>
      </c>
      <c r="AG437">
        <v>1</v>
      </c>
    </row>
    <row r="438" spans="1:33" ht="38.25" customHeight="1">
      <c r="A438">
        <v>1332</v>
      </c>
      <c r="B438" t="s">
        <v>1959</v>
      </c>
      <c r="C438">
        <v>10</v>
      </c>
      <c r="D438" t="s">
        <v>2803</v>
      </c>
      <c r="E438">
        <v>150</v>
      </c>
      <c r="G438" s="90" t="s">
        <v>2804</v>
      </c>
      <c r="I438">
        <v>42720</v>
      </c>
      <c r="J438" s="80" t="s">
        <v>2755</v>
      </c>
      <c r="K438" t="s">
        <v>767</v>
      </c>
      <c r="L438">
        <v>9001</v>
      </c>
      <c r="M438" t="s">
        <v>1759</v>
      </c>
      <c r="O438">
        <v>0.1</v>
      </c>
      <c r="P438" s="80" t="s">
        <v>2756</v>
      </c>
      <c r="Q438" t="s">
        <v>769</v>
      </c>
      <c r="R438">
        <v>9007</v>
      </c>
      <c r="S438">
        <v>13</v>
      </c>
      <c r="U438">
        <v>0.9</v>
      </c>
      <c r="V438">
        <v>70001</v>
      </c>
      <c r="W438">
        <v>2</v>
      </c>
      <c r="X438">
        <v>1</v>
      </c>
      <c r="Y438">
        <v>70002</v>
      </c>
      <c r="Z438">
        <v>2</v>
      </c>
      <c r="AA438">
        <v>1</v>
      </c>
      <c r="AB438">
        <v>1001</v>
      </c>
      <c r="AC438">
        <v>100</v>
      </c>
      <c r="AD438">
        <v>1</v>
      </c>
      <c r="AE438">
        <v>8000</v>
      </c>
      <c r="AF438">
        <v>6250</v>
      </c>
      <c r="AG438">
        <v>1</v>
      </c>
    </row>
    <row r="439" spans="1:33" ht="38.25" customHeight="1">
      <c r="A439">
        <v>1333</v>
      </c>
      <c r="B439" t="s">
        <v>1959</v>
      </c>
      <c r="C439">
        <v>10</v>
      </c>
      <c r="D439" t="s">
        <v>2805</v>
      </c>
      <c r="E439">
        <v>150</v>
      </c>
      <c r="G439" s="90" t="s">
        <v>2806</v>
      </c>
      <c r="I439">
        <v>42845</v>
      </c>
      <c r="J439" s="80" t="s">
        <v>2755</v>
      </c>
      <c r="K439" t="s">
        <v>767</v>
      </c>
      <c r="L439">
        <v>9007</v>
      </c>
      <c r="M439" t="s">
        <v>2438</v>
      </c>
      <c r="O439">
        <v>0.6</v>
      </c>
      <c r="P439" s="80" t="s">
        <v>2756</v>
      </c>
      <c r="Q439" t="s">
        <v>769</v>
      </c>
      <c r="R439">
        <v>9003</v>
      </c>
      <c r="S439">
        <v>4</v>
      </c>
      <c r="U439">
        <v>0.7</v>
      </c>
      <c r="V439">
        <v>70001</v>
      </c>
      <c r="W439">
        <v>2</v>
      </c>
      <c r="X439">
        <v>1</v>
      </c>
      <c r="Y439">
        <v>70002</v>
      </c>
      <c r="Z439">
        <v>2</v>
      </c>
      <c r="AA439">
        <v>1</v>
      </c>
      <c r="AB439">
        <v>1001</v>
      </c>
      <c r="AC439">
        <v>100</v>
      </c>
      <c r="AD439">
        <v>1</v>
      </c>
      <c r="AE439">
        <v>8000</v>
      </c>
      <c r="AF439">
        <v>6250</v>
      </c>
      <c r="AG439">
        <v>1</v>
      </c>
    </row>
    <row r="440" spans="1:33" ht="38.25" customHeight="1">
      <c r="A440">
        <v>1334</v>
      </c>
      <c r="B440" t="s">
        <v>1959</v>
      </c>
      <c r="C440">
        <v>10</v>
      </c>
      <c r="D440" t="s">
        <v>2807</v>
      </c>
      <c r="E440">
        <v>150</v>
      </c>
      <c r="G440" s="90" t="s">
        <v>2808</v>
      </c>
      <c r="I440">
        <v>42970</v>
      </c>
      <c r="J440" s="80" t="s">
        <v>2755</v>
      </c>
      <c r="K440" t="s">
        <v>767</v>
      </c>
      <c r="L440">
        <v>9001</v>
      </c>
      <c r="M440" t="s">
        <v>2809</v>
      </c>
      <c r="O440">
        <v>0.9</v>
      </c>
      <c r="P440" s="80" t="s">
        <v>2756</v>
      </c>
      <c r="Q440" t="s">
        <v>769</v>
      </c>
      <c r="R440">
        <v>9008</v>
      </c>
      <c r="S440">
        <v>2</v>
      </c>
      <c r="U440">
        <v>1</v>
      </c>
      <c r="V440">
        <v>70001</v>
      </c>
      <c r="W440">
        <v>2</v>
      </c>
      <c r="X440">
        <v>1</v>
      </c>
      <c r="Y440">
        <v>70002</v>
      </c>
      <c r="Z440">
        <v>2</v>
      </c>
      <c r="AA440">
        <v>1</v>
      </c>
      <c r="AB440">
        <v>1001</v>
      </c>
      <c r="AC440">
        <v>100</v>
      </c>
      <c r="AD440">
        <v>1</v>
      </c>
      <c r="AE440">
        <v>8000</v>
      </c>
      <c r="AF440">
        <v>6300</v>
      </c>
      <c r="AG440">
        <v>1</v>
      </c>
    </row>
    <row r="441" spans="1:33" ht="38.25" customHeight="1">
      <c r="A441">
        <v>1335</v>
      </c>
      <c r="B441" t="s">
        <v>1959</v>
      </c>
      <c r="C441">
        <v>10</v>
      </c>
      <c r="D441" t="s">
        <v>2810</v>
      </c>
      <c r="E441">
        <v>150</v>
      </c>
      <c r="G441" s="90" t="s">
        <v>2811</v>
      </c>
      <c r="I441">
        <v>43095</v>
      </c>
      <c r="J441" s="80" t="s">
        <v>2755</v>
      </c>
      <c r="K441" t="s">
        <v>767</v>
      </c>
      <c r="L441">
        <v>9002</v>
      </c>
      <c r="M441" t="s">
        <v>1677</v>
      </c>
      <c r="O441">
        <v>0.9</v>
      </c>
      <c r="P441" s="80" t="s">
        <v>2756</v>
      </c>
      <c r="Q441" t="s">
        <v>769</v>
      </c>
      <c r="R441">
        <v>9007</v>
      </c>
      <c r="S441" t="s">
        <v>1777</v>
      </c>
      <c r="U441">
        <v>0.6</v>
      </c>
      <c r="V441">
        <v>70001</v>
      </c>
      <c r="W441">
        <v>2</v>
      </c>
      <c r="X441">
        <v>1</v>
      </c>
      <c r="Y441">
        <v>70002</v>
      </c>
      <c r="Z441">
        <v>2</v>
      </c>
      <c r="AA441">
        <v>1</v>
      </c>
      <c r="AB441">
        <v>1001</v>
      </c>
      <c r="AC441">
        <v>100</v>
      </c>
      <c r="AD441">
        <v>1</v>
      </c>
      <c r="AE441">
        <v>8000</v>
      </c>
      <c r="AF441">
        <v>6300</v>
      </c>
      <c r="AG441">
        <v>1</v>
      </c>
    </row>
    <row r="442" spans="1:33" ht="38.25" customHeight="1">
      <c r="A442">
        <v>1336</v>
      </c>
      <c r="B442" t="s">
        <v>1959</v>
      </c>
      <c r="C442">
        <v>10</v>
      </c>
      <c r="D442" t="s">
        <v>2812</v>
      </c>
      <c r="E442">
        <v>150</v>
      </c>
      <c r="G442" s="90" t="s">
        <v>2813</v>
      </c>
      <c r="I442">
        <v>43220</v>
      </c>
      <c r="J442" s="80" t="s">
        <v>2755</v>
      </c>
      <c r="K442" t="s">
        <v>767</v>
      </c>
      <c r="L442">
        <v>9006</v>
      </c>
      <c r="M442" t="s">
        <v>1833</v>
      </c>
      <c r="O442">
        <v>0.5</v>
      </c>
      <c r="P442" s="80" t="s">
        <v>2756</v>
      </c>
      <c r="Q442" t="s">
        <v>769</v>
      </c>
      <c r="R442">
        <v>9010</v>
      </c>
      <c r="S442" t="s">
        <v>2814</v>
      </c>
      <c r="U442">
        <v>0.4</v>
      </c>
      <c r="V442">
        <v>70001</v>
      </c>
      <c r="W442">
        <v>2</v>
      </c>
      <c r="X442">
        <v>1</v>
      </c>
      <c r="Y442">
        <v>70002</v>
      </c>
      <c r="Z442">
        <v>2</v>
      </c>
      <c r="AA442">
        <v>1</v>
      </c>
      <c r="AB442">
        <v>1001</v>
      </c>
      <c r="AC442">
        <v>100</v>
      </c>
      <c r="AD442">
        <v>1</v>
      </c>
      <c r="AE442">
        <v>8000</v>
      </c>
      <c r="AF442">
        <v>6350</v>
      </c>
      <c r="AG442">
        <v>1</v>
      </c>
    </row>
    <row r="443" spans="1:33" ht="38.25" customHeight="1">
      <c r="A443">
        <v>1337</v>
      </c>
      <c r="B443" t="s">
        <v>1959</v>
      </c>
      <c r="C443">
        <v>10</v>
      </c>
      <c r="D443" t="s">
        <v>2815</v>
      </c>
      <c r="E443">
        <v>150</v>
      </c>
      <c r="G443" s="90" t="s">
        <v>2816</v>
      </c>
      <c r="I443">
        <v>43345</v>
      </c>
      <c r="J443" s="80" t="s">
        <v>2755</v>
      </c>
      <c r="K443" t="s">
        <v>767</v>
      </c>
      <c r="L443">
        <v>9012</v>
      </c>
      <c r="M443" t="s">
        <v>2354</v>
      </c>
      <c r="O443">
        <v>0.4</v>
      </c>
      <c r="P443" s="80" t="s">
        <v>2756</v>
      </c>
      <c r="Q443" t="s">
        <v>769</v>
      </c>
      <c r="R443">
        <v>9003</v>
      </c>
      <c r="S443" t="s">
        <v>1790</v>
      </c>
      <c r="U443">
        <v>0.2</v>
      </c>
      <c r="V443">
        <v>70001</v>
      </c>
      <c r="W443">
        <v>2</v>
      </c>
      <c r="X443">
        <v>1</v>
      </c>
      <c r="Y443">
        <v>70002</v>
      </c>
      <c r="Z443">
        <v>2</v>
      </c>
      <c r="AA443">
        <v>1</v>
      </c>
      <c r="AB443">
        <v>1001</v>
      </c>
      <c r="AC443">
        <v>100</v>
      </c>
      <c r="AD443">
        <v>1</v>
      </c>
      <c r="AE443">
        <v>8000</v>
      </c>
      <c r="AF443">
        <v>6350</v>
      </c>
      <c r="AG443">
        <v>1</v>
      </c>
    </row>
    <row r="444" spans="1:33" ht="38.25" customHeight="1">
      <c r="A444">
        <v>1338</v>
      </c>
      <c r="B444" t="s">
        <v>1959</v>
      </c>
      <c r="C444">
        <v>10</v>
      </c>
      <c r="D444" t="s">
        <v>2817</v>
      </c>
      <c r="E444">
        <v>150</v>
      </c>
      <c r="G444" s="90" t="s">
        <v>2818</v>
      </c>
      <c r="I444">
        <v>43470</v>
      </c>
      <c r="J444" s="80" t="s">
        <v>2755</v>
      </c>
      <c r="K444" t="s">
        <v>767</v>
      </c>
      <c r="L444">
        <v>9008</v>
      </c>
      <c r="M444">
        <v>4</v>
      </c>
      <c r="O444">
        <v>0.4</v>
      </c>
      <c r="P444" s="80" t="s">
        <v>2756</v>
      </c>
      <c r="Q444" t="s">
        <v>769</v>
      </c>
      <c r="R444">
        <v>9007</v>
      </c>
      <c r="S444" t="s">
        <v>2819</v>
      </c>
      <c r="U444">
        <v>0.3</v>
      </c>
      <c r="V444">
        <v>70001</v>
      </c>
      <c r="W444">
        <v>2</v>
      </c>
      <c r="X444">
        <v>1</v>
      </c>
      <c r="Y444">
        <v>70002</v>
      </c>
      <c r="Z444">
        <v>2</v>
      </c>
      <c r="AA444">
        <v>1</v>
      </c>
      <c r="AB444">
        <v>1001</v>
      </c>
      <c r="AC444">
        <v>100</v>
      </c>
      <c r="AD444">
        <v>1</v>
      </c>
      <c r="AE444">
        <v>8000</v>
      </c>
      <c r="AF444">
        <v>6350</v>
      </c>
      <c r="AG444">
        <v>1</v>
      </c>
    </row>
    <row r="445" spans="1:33" ht="38.25" customHeight="1">
      <c r="A445">
        <v>1339</v>
      </c>
      <c r="B445" t="s">
        <v>1959</v>
      </c>
      <c r="C445">
        <v>10</v>
      </c>
      <c r="D445" t="s">
        <v>2820</v>
      </c>
      <c r="E445">
        <v>150</v>
      </c>
      <c r="G445" s="90" t="s">
        <v>2821</v>
      </c>
      <c r="I445">
        <v>43595</v>
      </c>
      <c r="J445" s="80" t="s">
        <v>2755</v>
      </c>
      <c r="K445" t="s">
        <v>767</v>
      </c>
      <c r="L445">
        <v>9007</v>
      </c>
      <c r="M445" t="s">
        <v>1897</v>
      </c>
      <c r="O445">
        <v>0.9</v>
      </c>
      <c r="P445" s="80" t="s">
        <v>2756</v>
      </c>
      <c r="Q445" t="s">
        <v>769</v>
      </c>
      <c r="R445">
        <v>9003</v>
      </c>
      <c r="S445">
        <v>11</v>
      </c>
      <c r="U445">
        <v>0.5</v>
      </c>
      <c r="V445">
        <v>70001</v>
      </c>
      <c r="W445">
        <v>2</v>
      </c>
      <c r="X445">
        <v>1</v>
      </c>
      <c r="Y445">
        <v>70002</v>
      </c>
      <c r="Z445">
        <v>2</v>
      </c>
      <c r="AA445">
        <v>1</v>
      </c>
      <c r="AB445">
        <v>1001</v>
      </c>
      <c r="AC445">
        <v>100</v>
      </c>
      <c r="AD445">
        <v>1</v>
      </c>
      <c r="AE445">
        <v>8000</v>
      </c>
      <c r="AF445">
        <v>6400</v>
      </c>
      <c r="AG445">
        <v>1</v>
      </c>
    </row>
    <row r="446" spans="1:33" ht="38.25" customHeight="1">
      <c r="A446">
        <v>1340</v>
      </c>
      <c r="B446" t="s">
        <v>1959</v>
      </c>
      <c r="C446">
        <v>10</v>
      </c>
      <c r="D446" t="s">
        <v>2822</v>
      </c>
      <c r="E446">
        <v>150</v>
      </c>
      <c r="G446" s="90" t="s">
        <v>2823</v>
      </c>
      <c r="I446">
        <v>43720</v>
      </c>
      <c r="J446" s="80" t="s">
        <v>2755</v>
      </c>
      <c r="K446" t="s">
        <v>767</v>
      </c>
      <c r="L446">
        <v>9005</v>
      </c>
      <c r="M446" t="s">
        <v>2824</v>
      </c>
      <c r="O446">
        <v>0.5</v>
      </c>
      <c r="P446" s="80" t="s">
        <v>2756</v>
      </c>
      <c r="Q446" t="s">
        <v>769</v>
      </c>
      <c r="R446">
        <v>9012</v>
      </c>
      <c r="S446" t="s">
        <v>2825</v>
      </c>
      <c r="U446">
        <v>0.7</v>
      </c>
      <c r="V446">
        <v>70001</v>
      </c>
      <c r="W446">
        <v>2</v>
      </c>
      <c r="X446">
        <v>1</v>
      </c>
      <c r="Y446">
        <v>70002</v>
      </c>
      <c r="Z446">
        <v>2</v>
      </c>
      <c r="AA446">
        <v>1</v>
      </c>
      <c r="AB446">
        <v>1001</v>
      </c>
      <c r="AC446">
        <v>100</v>
      </c>
      <c r="AD446">
        <v>1</v>
      </c>
      <c r="AE446">
        <v>8000</v>
      </c>
      <c r="AF446">
        <v>6400</v>
      </c>
      <c r="AG446">
        <v>1</v>
      </c>
    </row>
    <row r="447" spans="1:33" ht="38.25" customHeight="1">
      <c r="A447">
        <v>1341</v>
      </c>
      <c r="B447" t="s">
        <v>1959</v>
      </c>
      <c r="C447">
        <v>10</v>
      </c>
      <c r="D447" t="s">
        <v>2826</v>
      </c>
      <c r="E447">
        <v>150</v>
      </c>
      <c r="G447" s="90" t="s">
        <v>2827</v>
      </c>
      <c r="I447">
        <v>43845</v>
      </c>
      <c r="J447" s="80" t="s">
        <v>2755</v>
      </c>
      <c r="K447" t="s">
        <v>767</v>
      </c>
      <c r="L447">
        <v>9006</v>
      </c>
      <c r="M447" t="s">
        <v>2231</v>
      </c>
      <c r="O447">
        <v>0.4</v>
      </c>
      <c r="P447" s="80" t="s">
        <v>2756</v>
      </c>
      <c r="Q447" t="s">
        <v>769</v>
      </c>
      <c r="R447">
        <v>9010</v>
      </c>
      <c r="S447" t="s">
        <v>2359</v>
      </c>
      <c r="U447">
        <v>0.2</v>
      </c>
      <c r="V447">
        <v>70001</v>
      </c>
      <c r="W447">
        <v>2</v>
      </c>
      <c r="X447">
        <v>1</v>
      </c>
      <c r="Y447">
        <v>70002</v>
      </c>
      <c r="Z447">
        <v>2</v>
      </c>
      <c r="AA447">
        <v>1</v>
      </c>
      <c r="AB447">
        <v>1001</v>
      </c>
      <c r="AC447">
        <v>100</v>
      </c>
      <c r="AD447">
        <v>1</v>
      </c>
      <c r="AE447">
        <v>8000</v>
      </c>
      <c r="AF447">
        <v>6450</v>
      </c>
      <c r="AG447">
        <v>1</v>
      </c>
    </row>
    <row r="448" spans="1:33" ht="38.25" customHeight="1">
      <c r="A448">
        <v>1342</v>
      </c>
      <c r="B448" t="s">
        <v>1959</v>
      </c>
      <c r="C448">
        <v>10</v>
      </c>
      <c r="D448" t="s">
        <v>2828</v>
      </c>
      <c r="E448">
        <v>150</v>
      </c>
      <c r="G448" s="90" t="s">
        <v>2829</v>
      </c>
      <c r="I448">
        <v>43970</v>
      </c>
      <c r="J448" s="80" t="s">
        <v>2755</v>
      </c>
      <c r="K448" t="s">
        <v>767</v>
      </c>
      <c r="L448">
        <v>9008</v>
      </c>
      <c r="M448" t="s">
        <v>1931</v>
      </c>
      <c r="O448">
        <v>0.9</v>
      </c>
      <c r="P448" s="80" t="s">
        <v>2756</v>
      </c>
      <c r="Q448" t="s">
        <v>769</v>
      </c>
      <c r="R448">
        <v>9003</v>
      </c>
      <c r="S448" t="s">
        <v>1897</v>
      </c>
      <c r="U448">
        <v>0.9</v>
      </c>
      <c r="V448">
        <v>70001</v>
      </c>
      <c r="W448">
        <v>2</v>
      </c>
      <c r="X448">
        <v>1</v>
      </c>
      <c r="Y448">
        <v>70002</v>
      </c>
      <c r="Z448">
        <v>2</v>
      </c>
      <c r="AA448">
        <v>1</v>
      </c>
      <c r="AB448">
        <v>1001</v>
      </c>
      <c r="AC448">
        <v>100</v>
      </c>
      <c r="AD448">
        <v>1</v>
      </c>
      <c r="AE448">
        <v>8000</v>
      </c>
      <c r="AF448">
        <v>6450</v>
      </c>
      <c r="AG448">
        <v>1</v>
      </c>
    </row>
    <row r="449" spans="1:33" ht="38.25" customHeight="1">
      <c r="A449">
        <v>1343</v>
      </c>
      <c r="B449" t="s">
        <v>1959</v>
      </c>
      <c r="C449">
        <v>10</v>
      </c>
      <c r="D449" t="s">
        <v>2830</v>
      </c>
      <c r="E449">
        <v>150</v>
      </c>
      <c r="G449" s="90" t="s">
        <v>2831</v>
      </c>
      <c r="I449">
        <v>44095</v>
      </c>
      <c r="J449" s="80" t="s">
        <v>2755</v>
      </c>
      <c r="K449" t="s">
        <v>767</v>
      </c>
      <c r="L449">
        <v>9002</v>
      </c>
      <c r="M449" t="s">
        <v>1713</v>
      </c>
      <c r="O449">
        <v>0.3</v>
      </c>
      <c r="P449" s="80" t="s">
        <v>2756</v>
      </c>
      <c r="Q449" t="s">
        <v>769</v>
      </c>
      <c r="R449">
        <v>9012</v>
      </c>
      <c r="S449">
        <v>6</v>
      </c>
      <c r="U449">
        <v>0.9</v>
      </c>
      <c r="V449">
        <v>70001</v>
      </c>
      <c r="W449">
        <v>2</v>
      </c>
      <c r="X449">
        <v>1</v>
      </c>
      <c r="Y449">
        <v>70002</v>
      </c>
      <c r="Z449">
        <v>2</v>
      </c>
      <c r="AA449">
        <v>1</v>
      </c>
      <c r="AB449">
        <v>1001</v>
      </c>
      <c r="AC449">
        <v>100</v>
      </c>
      <c r="AD449">
        <v>1</v>
      </c>
      <c r="AE449">
        <v>8000</v>
      </c>
      <c r="AF449">
        <v>6500</v>
      </c>
      <c r="AG449">
        <v>1</v>
      </c>
    </row>
    <row r="450" spans="1:33" ht="38.25" customHeight="1">
      <c r="A450">
        <v>1344</v>
      </c>
      <c r="B450" t="s">
        <v>1959</v>
      </c>
      <c r="C450">
        <v>10</v>
      </c>
      <c r="D450" t="s">
        <v>2832</v>
      </c>
      <c r="E450">
        <v>150</v>
      </c>
      <c r="G450" s="90" t="s">
        <v>2833</v>
      </c>
      <c r="I450">
        <v>44220</v>
      </c>
      <c r="J450" s="80" t="s">
        <v>2755</v>
      </c>
      <c r="K450" t="s">
        <v>767</v>
      </c>
      <c r="L450">
        <v>9011</v>
      </c>
      <c r="M450">
        <v>13</v>
      </c>
      <c r="O450">
        <v>0.5</v>
      </c>
      <c r="P450" s="80" t="s">
        <v>2756</v>
      </c>
      <c r="Q450" t="s">
        <v>769</v>
      </c>
      <c r="R450">
        <v>9008</v>
      </c>
      <c r="S450" t="s">
        <v>1769</v>
      </c>
      <c r="U450">
        <v>0.7</v>
      </c>
      <c r="V450">
        <v>70001</v>
      </c>
      <c r="W450">
        <v>2</v>
      </c>
      <c r="X450">
        <v>1</v>
      </c>
      <c r="Y450">
        <v>70002</v>
      </c>
      <c r="Z450">
        <v>2</v>
      </c>
      <c r="AA450">
        <v>1</v>
      </c>
      <c r="AB450">
        <v>1001</v>
      </c>
      <c r="AC450">
        <v>100</v>
      </c>
      <c r="AD450">
        <v>1</v>
      </c>
      <c r="AE450">
        <v>8000</v>
      </c>
      <c r="AF450">
        <v>6500</v>
      </c>
      <c r="AG450">
        <v>1</v>
      </c>
    </row>
    <row r="451" spans="1:33" ht="38.25" customHeight="1">
      <c r="A451">
        <v>1345</v>
      </c>
      <c r="B451" t="s">
        <v>1959</v>
      </c>
      <c r="C451">
        <v>10</v>
      </c>
      <c r="D451" t="s">
        <v>2834</v>
      </c>
      <c r="E451">
        <v>150</v>
      </c>
      <c r="G451" s="90" t="s">
        <v>2835</v>
      </c>
      <c r="I451">
        <v>44345</v>
      </c>
      <c r="J451" s="80" t="s">
        <v>2755</v>
      </c>
      <c r="K451" t="s">
        <v>767</v>
      </c>
      <c r="L451">
        <v>9007</v>
      </c>
      <c r="M451">
        <v>13</v>
      </c>
      <c r="O451">
        <v>0.5</v>
      </c>
      <c r="P451" s="80" t="s">
        <v>2756</v>
      </c>
      <c r="Q451" t="s">
        <v>769</v>
      </c>
      <c r="R451">
        <v>9010</v>
      </c>
      <c r="S451" t="s">
        <v>1787</v>
      </c>
      <c r="U451">
        <v>0.6</v>
      </c>
      <c r="V451">
        <v>70001</v>
      </c>
      <c r="W451">
        <v>2</v>
      </c>
      <c r="X451">
        <v>1</v>
      </c>
      <c r="Y451">
        <v>70002</v>
      </c>
      <c r="Z451">
        <v>2</v>
      </c>
      <c r="AA451">
        <v>1</v>
      </c>
      <c r="AB451">
        <v>1001</v>
      </c>
      <c r="AC451">
        <v>100</v>
      </c>
      <c r="AD451">
        <v>1</v>
      </c>
      <c r="AE451">
        <v>8000</v>
      </c>
      <c r="AF451">
        <v>6550</v>
      </c>
      <c r="AG451">
        <v>1</v>
      </c>
    </row>
    <row r="452" spans="1:33" ht="38.25" customHeight="1">
      <c r="A452">
        <v>1346</v>
      </c>
      <c r="B452" t="s">
        <v>1959</v>
      </c>
      <c r="C452">
        <v>10</v>
      </c>
      <c r="D452" t="s">
        <v>2836</v>
      </c>
      <c r="E452">
        <v>150</v>
      </c>
      <c r="G452" s="90" t="s">
        <v>2837</v>
      </c>
      <c r="I452">
        <v>44470</v>
      </c>
      <c r="J452" s="80" t="s">
        <v>2755</v>
      </c>
      <c r="K452" t="s">
        <v>767</v>
      </c>
      <c r="L452">
        <v>9005</v>
      </c>
      <c r="M452" t="s">
        <v>1887</v>
      </c>
      <c r="O452">
        <v>0.7</v>
      </c>
      <c r="P452" s="80" t="s">
        <v>2756</v>
      </c>
      <c r="Q452" t="s">
        <v>769</v>
      </c>
      <c r="R452">
        <v>9004</v>
      </c>
      <c r="S452">
        <v>12</v>
      </c>
      <c r="U452">
        <v>0.5</v>
      </c>
      <c r="V452">
        <v>70001</v>
      </c>
      <c r="W452">
        <v>2</v>
      </c>
      <c r="X452">
        <v>1</v>
      </c>
      <c r="Y452">
        <v>70002</v>
      </c>
      <c r="Z452">
        <v>2</v>
      </c>
      <c r="AA452">
        <v>1</v>
      </c>
      <c r="AB452">
        <v>1001</v>
      </c>
      <c r="AC452">
        <v>100</v>
      </c>
      <c r="AD452">
        <v>1</v>
      </c>
      <c r="AE452">
        <v>8000</v>
      </c>
      <c r="AF452">
        <v>6550</v>
      </c>
      <c r="AG452">
        <v>1</v>
      </c>
    </row>
    <row r="453" spans="1:33" ht="38.25" customHeight="1">
      <c r="A453">
        <v>1347</v>
      </c>
      <c r="B453" t="s">
        <v>1959</v>
      </c>
      <c r="C453">
        <v>10</v>
      </c>
      <c r="D453" t="s">
        <v>2838</v>
      </c>
      <c r="E453">
        <v>150</v>
      </c>
      <c r="G453" s="90" t="s">
        <v>2839</v>
      </c>
      <c r="I453">
        <v>44595</v>
      </c>
      <c r="J453" s="80" t="s">
        <v>2755</v>
      </c>
      <c r="K453" t="s">
        <v>767</v>
      </c>
      <c r="L453">
        <v>9005</v>
      </c>
      <c r="M453" t="s">
        <v>2002</v>
      </c>
      <c r="O453">
        <v>0.3</v>
      </c>
      <c r="P453" s="80" t="s">
        <v>2756</v>
      </c>
      <c r="Q453" t="s">
        <v>769</v>
      </c>
      <c r="R453">
        <v>9008</v>
      </c>
      <c r="S453" t="s">
        <v>1900</v>
      </c>
      <c r="U453">
        <v>0.7</v>
      </c>
      <c r="V453">
        <v>70001</v>
      </c>
      <c r="W453">
        <v>2</v>
      </c>
      <c r="X453">
        <v>1</v>
      </c>
      <c r="Y453">
        <v>70002</v>
      </c>
      <c r="Z453">
        <v>2</v>
      </c>
      <c r="AA453">
        <v>1</v>
      </c>
      <c r="AB453">
        <v>1001</v>
      </c>
      <c r="AC453">
        <v>100</v>
      </c>
      <c r="AD453">
        <v>1</v>
      </c>
      <c r="AE453">
        <v>8000</v>
      </c>
      <c r="AF453">
        <v>6600</v>
      </c>
      <c r="AG453">
        <v>1</v>
      </c>
    </row>
    <row r="454" spans="1:33" ht="38.25" customHeight="1">
      <c r="A454">
        <v>1348</v>
      </c>
      <c r="B454" t="s">
        <v>1959</v>
      </c>
      <c r="C454">
        <v>10</v>
      </c>
      <c r="D454" t="s">
        <v>2840</v>
      </c>
      <c r="E454">
        <v>150</v>
      </c>
      <c r="G454" s="90" t="s">
        <v>2841</v>
      </c>
      <c r="I454">
        <v>44720</v>
      </c>
      <c r="J454" s="80" t="s">
        <v>2755</v>
      </c>
      <c r="K454" t="s">
        <v>767</v>
      </c>
      <c r="L454">
        <v>9007</v>
      </c>
      <c r="M454" t="s">
        <v>2160</v>
      </c>
      <c r="O454">
        <v>0.5</v>
      </c>
      <c r="P454" s="80" t="s">
        <v>2756</v>
      </c>
      <c r="Q454" t="s">
        <v>769</v>
      </c>
      <c r="R454">
        <v>9008</v>
      </c>
      <c r="S454" t="s">
        <v>2465</v>
      </c>
      <c r="U454">
        <v>0.4</v>
      </c>
      <c r="V454">
        <v>70001</v>
      </c>
      <c r="W454">
        <v>2</v>
      </c>
      <c r="X454">
        <v>1</v>
      </c>
      <c r="Y454">
        <v>70002</v>
      </c>
      <c r="Z454">
        <v>2</v>
      </c>
      <c r="AA454">
        <v>1</v>
      </c>
      <c r="AB454">
        <v>1001</v>
      </c>
      <c r="AC454">
        <v>100</v>
      </c>
      <c r="AD454">
        <v>1</v>
      </c>
      <c r="AE454">
        <v>8000</v>
      </c>
      <c r="AF454">
        <v>6600</v>
      </c>
      <c r="AG454">
        <v>1</v>
      </c>
    </row>
    <row r="455" spans="1:33" ht="38.25" customHeight="1">
      <c r="A455">
        <v>1349</v>
      </c>
      <c r="B455" t="s">
        <v>1959</v>
      </c>
      <c r="C455">
        <v>10</v>
      </c>
      <c r="D455" t="s">
        <v>2842</v>
      </c>
      <c r="E455">
        <v>150</v>
      </c>
      <c r="G455" s="90" t="s">
        <v>2843</v>
      </c>
      <c r="I455">
        <v>44845</v>
      </c>
      <c r="J455" s="80" t="s">
        <v>2755</v>
      </c>
      <c r="K455" t="s">
        <v>767</v>
      </c>
      <c r="L455">
        <v>9012</v>
      </c>
      <c r="M455" t="s">
        <v>1730</v>
      </c>
      <c r="O455">
        <v>0.4</v>
      </c>
      <c r="P455" s="80" t="s">
        <v>2756</v>
      </c>
      <c r="Q455" t="s">
        <v>769</v>
      </c>
      <c r="R455">
        <v>9003</v>
      </c>
      <c r="S455" t="s">
        <v>1802</v>
      </c>
      <c r="U455">
        <v>0.9</v>
      </c>
      <c r="V455">
        <v>70001</v>
      </c>
      <c r="W455">
        <v>2</v>
      </c>
      <c r="X455">
        <v>1</v>
      </c>
      <c r="Y455">
        <v>70002</v>
      </c>
      <c r="Z455">
        <v>2</v>
      </c>
      <c r="AA455">
        <v>1</v>
      </c>
      <c r="AB455">
        <v>1001</v>
      </c>
      <c r="AC455">
        <v>100</v>
      </c>
      <c r="AD455">
        <v>1</v>
      </c>
      <c r="AE455">
        <v>8000</v>
      </c>
      <c r="AF455">
        <v>6650</v>
      </c>
      <c r="AG455">
        <v>1</v>
      </c>
    </row>
    <row r="456" spans="1:33" ht="38.25" customHeight="1">
      <c r="A456">
        <v>1350</v>
      </c>
      <c r="B456" t="s">
        <v>1959</v>
      </c>
      <c r="C456">
        <v>11</v>
      </c>
      <c r="D456" t="s">
        <v>2844</v>
      </c>
      <c r="E456">
        <v>150</v>
      </c>
      <c r="G456" s="90" t="s">
        <v>2845</v>
      </c>
      <c r="I456">
        <v>44970</v>
      </c>
      <c r="J456" s="80" t="s">
        <v>2846</v>
      </c>
      <c r="K456" t="s">
        <v>767</v>
      </c>
      <c r="L456">
        <v>9001</v>
      </c>
      <c r="M456">
        <v>11</v>
      </c>
      <c r="O456">
        <v>0.5</v>
      </c>
      <c r="P456" s="80" t="s">
        <v>2847</v>
      </c>
      <c r="Q456" t="s">
        <v>769</v>
      </c>
      <c r="R456">
        <v>9008</v>
      </c>
      <c r="S456" t="s">
        <v>2155</v>
      </c>
      <c r="U456">
        <v>0.6</v>
      </c>
      <c r="V456">
        <v>70001</v>
      </c>
      <c r="W456">
        <v>3</v>
      </c>
      <c r="X456">
        <v>1</v>
      </c>
      <c r="Y456">
        <v>70002</v>
      </c>
      <c r="Z456">
        <v>3</v>
      </c>
      <c r="AA456">
        <v>1</v>
      </c>
      <c r="AB456">
        <v>1001</v>
      </c>
      <c r="AC456">
        <v>100</v>
      </c>
      <c r="AD456">
        <v>1</v>
      </c>
      <c r="AE456">
        <v>8000</v>
      </c>
      <c r="AF456">
        <v>6650</v>
      </c>
      <c r="AG456">
        <v>1</v>
      </c>
    </row>
    <row r="457" spans="1:33" ht="38.25" customHeight="1">
      <c r="A457">
        <v>1351</v>
      </c>
      <c r="B457" t="s">
        <v>1959</v>
      </c>
      <c r="C457">
        <v>11</v>
      </c>
      <c r="D457" t="s">
        <v>2848</v>
      </c>
      <c r="E457">
        <v>150</v>
      </c>
      <c r="G457" s="90" t="s">
        <v>2849</v>
      </c>
      <c r="I457">
        <v>45095</v>
      </c>
      <c r="J457" s="80" t="s">
        <v>2846</v>
      </c>
      <c r="K457" t="s">
        <v>767</v>
      </c>
      <c r="L457">
        <v>9012</v>
      </c>
      <c r="M457" t="s">
        <v>2008</v>
      </c>
      <c r="O457">
        <v>0.4</v>
      </c>
      <c r="P457" s="80" t="s">
        <v>2847</v>
      </c>
      <c r="Q457" t="s">
        <v>769</v>
      </c>
      <c r="R457">
        <v>9011</v>
      </c>
      <c r="S457" t="s">
        <v>2016</v>
      </c>
      <c r="U457">
        <v>0.2</v>
      </c>
      <c r="V457">
        <v>70001</v>
      </c>
      <c r="W457">
        <v>3</v>
      </c>
      <c r="X457">
        <v>1</v>
      </c>
      <c r="Y457">
        <v>70002</v>
      </c>
      <c r="Z457">
        <v>3</v>
      </c>
      <c r="AA457">
        <v>1</v>
      </c>
      <c r="AB457">
        <v>1001</v>
      </c>
      <c r="AC457">
        <v>100</v>
      </c>
      <c r="AD457">
        <v>1</v>
      </c>
      <c r="AE457">
        <v>8000</v>
      </c>
      <c r="AF457">
        <v>6700</v>
      </c>
      <c r="AG457">
        <v>1</v>
      </c>
    </row>
    <row r="458" spans="1:33" ht="38.25" customHeight="1">
      <c r="A458">
        <v>1352</v>
      </c>
      <c r="B458" t="s">
        <v>1959</v>
      </c>
      <c r="C458">
        <v>11</v>
      </c>
      <c r="D458" t="s">
        <v>2850</v>
      </c>
      <c r="E458">
        <v>150</v>
      </c>
      <c r="G458" s="90" t="s">
        <v>2851</v>
      </c>
      <c r="I458">
        <v>45220</v>
      </c>
      <c r="J458" s="80" t="s">
        <v>2846</v>
      </c>
      <c r="K458" t="s">
        <v>767</v>
      </c>
      <c r="L458">
        <v>9012</v>
      </c>
      <c r="M458" t="s">
        <v>2002</v>
      </c>
      <c r="O458">
        <v>0.3</v>
      </c>
      <c r="P458" s="80" t="s">
        <v>2847</v>
      </c>
      <c r="Q458" t="s">
        <v>769</v>
      </c>
      <c r="R458">
        <v>9003</v>
      </c>
      <c r="S458">
        <v>11</v>
      </c>
      <c r="U458">
        <v>0.6</v>
      </c>
      <c r="V458">
        <v>70001</v>
      </c>
      <c r="W458">
        <v>3</v>
      </c>
      <c r="X458">
        <v>1</v>
      </c>
      <c r="Y458">
        <v>70002</v>
      </c>
      <c r="Z458">
        <v>3</v>
      </c>
      <c r="AA458">
        <v>1</v>
      </c>
      <c r="AB458">
        <v>1001</v>
      </c>
      <c r="AC458">
        <v>100</v>
      </c>
      <c r="AD458">
        <v>1</v>
      </c>
      <c r="AE458">
        <v>8000</v>
      </c>
      <c r="AF458">
        <v>6700</v>
      </c>
      <c r="AG458">
        <v>1</v>
      </c>
    </row>
    <row r="459" spans="1:33" ht="38.25" customHeight="1">
      <c r="A459">
        <v>1353</v>
      </c>
      <c r="B459" t="s">
        <v>1959</v>
      </c>
      <c r="C459">
        <v>11</v>
      </c>
      <c r="D459" t="s">
        <v>2852</v>
      </c>
      <c r="E459">
        <v>150</v>
      </c>
      <c r="G459" s="90" t="s">
        <v>2853</v>
      </c>
      <c r="I459">
        <v>45345</v>
      </c>
      <c r="J459" s="80" t="s">
        <v>2846</v>
      </c>
      <c r="K459" t="s">
        <v>767</v>
      </c>
      <c r="L459">
        <v>9012</v>
      </c>
      <c r="M459" t="s">
        <v>2050</v>
      </c>
      <c r="O459">
        <v>0.2</v>
      </c>
      <c r="P459" s="80" t="s">
        <v>2847</v>
      </c>
      <c r="Q459" t="s">
        <v>769</v>
      </c>
      <c r="R459">
        <v>9004</v>
      </c>
      <c r="S459" t="s">
        <v>2008</v>
      </c>
      <c r="U459">
        <v>0.5</v>
      </c>
      <c r="V459">
        <v>70001</v>
      </c>
      <c r="W459">
        <v>3</v>
      </c>
      <c r="X459">
        <v>1</v>
      </c>
      <c r="Y459">
        <v>70002</v>
      </c>
      <c r="Z459">
        <v>3</v>
      </c>
      <c r="AA459">
        <v>1</v>
      </c>
      <c r="AB459">
        <v>1001</v>
      </c>
      <c r="AC459">
        <v>100</v>
      </c>
      <c r="AD459">
        <v>1</v>
      </c>
      <c r="AE459">
        <v>8000</v>
      </c>
      <c r="AF459">
        <v>6750</v>
      </c>
      <c r="AG459">
        <v>1</v>
      </c>
    </row>
    <row r="460" spans="1:33" ht="38.25" customHeight="1">
      <c r="A460">
        <v>1354</v>
      </c>
      <c r="B460" t="s">
        <v>1959</v>
      </c>
      <c r="C460">
        <v>11</v>
      </c>
      <c r="D460" t="s">
        <v>2854</v>
      </c>
      <c r="E460">
        <v>150</v>
      </c>
      <c r="G460" s="90" t="s">
        <v>2845</v>
      </c>
      <c r="I460">
        <v>45470</v>
      </c>
      <c r="J460" s="80" t="s">
        <v>2846</v>
      </c>
      <c r="K460" t="s">
        <v>767</v>
      </c>
      <c r="L460">
        <v>9005</v>
      </c>
      <c r="M460" t="s">
        <v>1996</v>
      </c>
      <c r="O460">
        <v>0.2</v>
      </c>
      <c r="P460" s="80" t="s">
        <v>2847</v>
      </c>
      <c r="Q460" t="s">
        <v>769</v>
      </c>
      <c r="R460">
        <v>9003</v>
      </c>
      <c r="S460" t="s">
        <v>1786</v>
      </c>
      <c r="U460">
        <v>0.2</v>
      </c>
      <c r="V460">
        <v>70001</v>
      </c>
      <c r="W460">
        <v>3</v>
      </c>
      <c r="X460">
        <v>1</v>
      </c>
      <c r="Y460">
        <v>70002</v>
      </c>
      <c r="Z460">
        <v>3</v>
      </c>
      <c r="AA460">
        <v>1</v>
      </c>
      <c r="AB460">
        <v>1001</v>
      </c>
      <c r="AC460">
        <v>100</v>
      </c>
      <c r="AD460">
        <v>1</v>
      </c>
      <c r="AE460">
        <v>8000</v>
      </c>
      <c r="AF460">
        <v>6750</v>
      </c>
      <c r="AG460">
        <v>1</v>
      </c>
    </row>
    <row r="461" spans="1:33" ht="38.25" customHeight="1">
      <c r="A461">
        <v>1355</v>
      </c>
      <c r="B461" t="s">
        <v>1959</v>
      </c>
      <c r="C461">
        <v>11</v>
      </c>
      <c r="D461" t="s">
        <v>2855</v>
      </c>
      <c r="E461">
        <v>150</v>
      </c>
      <c r="G461" s="90" t="s">
        <v>2856</v>
      </c>
      <c r="I461">
        <v>45595</v>
      </c>
      <c r="J461" s="80" t="s">
        <v>2846</v>
      </c>
      <c r="K461" t="s">
        <v>767</v>
      </c>
      <c r="L461">
        <v>9001</v>
      </c>
      <c r="M461" t="s">
        <v>2418</v>
      </c>
      <c r="O461">
        <v>0.3</v>
      </c>
      <c r="P461" s="80" t="s">
        <v>2847</v>
      </c>
      <c r="Q461" t="s">
        <v>769</v>
      </c>
      <c r="R461">
        <v>9004</v>
      </c>
      <c r="S461" t="s">
        <v>2489</v>
      </c>
      <c r="U461">
        <v>0.9</v>
      </c>
      <c r="V461">
        <v>70001</v>
      </c>
      <c r="W461">
        <v>3</v>
      </c>
      <c r="X461">
        <v>1</v>
      </c>
      <c r="Y461">
        <v>70002</v>
      </c>
      <c r="Z461">
        <v>3</v>
      </c>
      <c r="AA461">
        <v>1</v>
      </c>
      <c r="AB461">
        <v>1001</v>
      </c>
      <c r="AC461">
        <v>100</v>
      </c>
      <c r="AD461">
        <v>1</v>
      </c>
      <c r="AE461">
        <v>8000</v>
      </c>
      <c r="AF461">
        <v>6800</v>
      </c>
      <c r="AG461">
        <v>1</v>
      </c>
    </row>
    <row r="462" spans="1:33" ht="38.25" customHeight="1">
      <c r="A462">
        <v>1356</v>
      </c>
      <c r="B462" t="s">
        <v>1959</v>
      </c>
      <c r="C462">
        <v>11</v>
      </c>
      <c r="D462" t="s">
        <v>2857</v>
      </c>
      <c r="E462">
        <v>150</v>
      </c>
      <c r="G462" s="90" t="s">
        <v>2858</v>
      </c>
      <c r="I462">
        <v>45720</v>
      </c>
      <c r="J462" s="80" t="s">
        <v>2846</v>
      </c>
      <c r="K462" t="s">
        <v>767</v>
      </c>
      <c r="L462">
        <v>9005</v>
      </c>
      <c r="M462">
        <v>8</v>
      </c>
      <c r="O462">
        <v>0.5</v>
      </c>
      <c r="P462" s="80" t="s">
        <v>2847</v>
      </c>
      <c r="Q462" t="s">
        <v>769</v>
      </c>
      <c r="R462">
        <v>9004</v>
      </c>
      <c r="S462" t="s">
        <v>2359</v>
      </c>
      <c r="U462">
        <v>0.2</v>
      </c>
      <c r="V462">
        <v>70001</v>
      </c>
      <c r="W462">
        <v>3</v>
      </c>
      <c r="X462">
        <v>1</v>
      </c>
      <c r="Y462">
        <v>70002</v>
      </c>
      <c r="Z462">
        <v>3</v>
      </c>
      <c r="AA462">
        <v>1</v>
      </c>
      <c r="AB462">
        <v>1001</v>
      </c>
      <c r="AC462">
        <v>100</v>
      </c>
      <c r="AD462">
        <v>1</v>
      </c>
      <c r="AE462">
        <v>8000</v>
      </c>
      <c r="AF462">
        <v>6800</v>
      </c>
      <c r="AG462">
        <v>1</v>
      </c>
    </row>
    <row r="463" spans="1:33" ht="38.25" customHeight="1">
      <c r="A463">
        <v>1357</v>
      </c>
      <c r="B463" t="s">
        <v>1959</v>
      </c>
      <c r="C463">
        <v>11</v>
      </c>
      <c r="D463" t="s">
        <v>2859</v>
      </c>
      <c r="E463">
        <v>150</v>
      </c>
      <c r="G463" s="90" t="s">
        <v>2860</v>
      </c>
      <c r="I463">
        <v>45845</v>
      </c>
      <c r="J463" s="80" t="s">
        <v>2846</v>
      </c>
      <c r="K463" t="s">
        <v>767</v>
      </c>
      <c r="L463">
        <v>9002</v>
      </c>
      <c r="M463">
        <v>13</v>
      </c>
      <c r="O463">
        <v>0.2</v>
      </c>
      <c r="P463" s="80" t="s">
        <v>2847</v>
      </c>
      <c r="Q463" t="s">
        <v>769</v>
      </c>
      <c r="R463">
        <v>9011</v>
      </c>
      <c r="S463" t="s">
        <v>2824</v>
      </c>
      <c r="U463">
        <v>0.3</v>
      </c>
      <c r="V463">
        <v>70001</v>
      </c>
      <c r="W463">
        <v>3</v>
      </c>
      <c r="X463">
        <v>1</v>
      </c>
      <c r="Y463">
        <v>70002</v>
      </c>
      <c r="Z463">
        <v>3</v>
      </c>
      <c r="AA463">
        <v>1</v>
      </c>
      <c r="AB463">
        <v>1001</v>
      </c>
      <c r="AC463">
        <v>100</v>
      </c>
      <c r="AD463">
        <v>1</v>
      </c>
      <c r="AE463">
        <v>8000</v>
      </c>
      <c r="AF463">
        <v>6850</v>
      </c>
      <c r="AG463">
        <v>1</v>
      </c>
    </row>
    <row r="464" spans="1:33" ht="38.25" customHeight="1">
      <c r="A464">
        <v>1358</v>
      </c>
      <c r="B464" t="s">
        <v>1959</v>
      </c>
      <c r="C464">
        <v>11</v>
      </c>
      <c r="D464" t="s">
        <v>2861</v>
      </c>
      <c r="E464">
        <v>150</v>
      </c>
      <c r="G464" s="90" t="s">
        <v>2862</v>
      </c>
      <c r="I464">
        <v>45970</v>
      </c>
      <c r="J464" s="80" t="s">
        <v>2846</v>
      </c>
      <c r="K464" t="s">
        <v>767</v>
      </c>
      <c r="L464">
        <v>9011</v>
      </c>
      <c r="M464" t="s">
        <v>2863</v>
      </c>
      <c r="O464">
        <v>0.8</v>
      </c>
      <c r="P464" s="80" t="s">
        <v>2847</v>
      </c>
      <c r="Q464" t="s">
        <v>769</v>
      </c>
      <c r="R464">
        <v>9007</v>
      </c>
      <c r="S464">
        <v>6</v>
      </c>
      <c r="U464">
        <v>0.9</v>
      </c>
      <c r="V464">
        <v>70001</v>
      </c>
      <c r="W464">
        <v>3</v>
      </c>
      <c r="X464">
        <v>1</v>
      </c>
      <c r="Y464">
        <v>70002</v>
      </c>
      <c r="Z464">
        <v>3</v>
      </c>
      <c r="AA464">
        <v>1</v>
      </c>
      <c r="AB464">
        <v>1001</v>
      </c>
      <c r="AC464">
        <v>100</v>
      </c>
      <c r="AD464">
        <v>1</v>
      </c>
      <c r="AE464">
        <v>8000</v>
      </c>
      <c r="AF464">
        <v>6850</v>
      </c>
      <c r="AG464">
        <v>1</v>
      </c>
    </row>
    <row r="465" spans="1:33" ht="38.25" customHeight="1">
      <c r="A465">
        <v>1359</v>
      </c>
      <c r="B465" t="s">
        <v>1959</v>
      </c>
      <c r="C465">
        <v>11</v>
      </c>
      <c r="D465" t="s">
        <v>2864</v>
      </c>
      <c r="E465">
        <v>150</v>
      </c>
      <c r="G465" s="90" t="s">
        <v>2865</v>
      </c>
      <c r="I465">
        <v>46095</v>
      </c>
      <c r="J465" s="80" t="s">
        <v>2846</v>
      </c>
      <c r="K465" t="s">
        <v>767</v>
      </c>
      <c r="L465">
        <v>9005</v>
      </c>
      <c r="M465" t="s">
        <v>2050</v>
      </c>
      <c r="O465">
        <v>0.7</v>
      </c>
      <c r="P465" s="80" t="s">
        <v>2847</v>
      </c>
      <c r="Q465" t="s">
        <v>769</v>
      </c>
      <c r="R465">
        <v>9012</v>
      </c>
      <c r="S465">
        <v>3</v>
      </c>
      <c r="U465">
        <v>0.9</v>
      </c>
      <c r="V465">
        <v>70001</v>
      </c>
      <c r="W465">
        <v>3</v>
      </c>
      <c r="X465">
        <v>1</v>
      </c>
      <c r="Y465">
        <v>70002</v>
      </c>
      <c r="Z465">
        <v>3</v>
      </c>
      <c r="AA465">
        <v>1</v>
      </c>
      <c r="AB465">
        <v>1001</v>
      </c>
      <c r="AC465">
        <v>500</v>
      </c>
      <c r="AD465">
        <v>1</v>
      </c>
      <c r="AE465">
        <v>8000</v>
      </c>
      <c r="AF465">
        <v>6900</v>
      </c>
      <c r="AG465">
        <v>1</v>
      </c>
    </row>
    <row r="466" spans="1:33" ht="38.25" customHeight="1">
      <c r="A466">
        <v>1360</v>
      </c>
      <c r="B466" t="s">
        <v>1959</v>
      </c>
      <c r="C466">
        <v>11</v>
      </c>
      <c r="D466" t="s">
        <v>2866</v>
      </c>
      <c r="E466">
        <v>150</v>
      </c>
      <c r="G466" s="90" t="s">
        <v>2867</v>
      </c>
      <c r="I466">
        <v>46220</v>
      </c>
      <c r="J466" s="80" t="s">
        <v>2846</v>
      </c>
      <c r="K466" t="s">
        <v>767</v>
      </c>
      <c r="L466">
        <v>9002</v>
      </c>
      <c r="M466" t="s">
        <v>2005</v>
      </c>
      <c r="O466">
        <v>0.6</v>
      </c>
      <c r="P466" s="80" t="s">
        <v>2847</v>
      </c>
      <c r="Q466" t="s">
        <v>769</v>
      </c>
      <c r="R466">
        <v>9007</v>
      </c>
      <c r="S466">
        <v>10</v>
      </c>
      <c r="U466">
        <v>0.6</v>
      </c>
      <c r="V466">
        <v>70001</v>
      </c>
      <c r="W466">
        <v>3</v>
      </c>
      <c r="X466">
        <v>1</v>
      </c>
      <c r="Y466">
        <v>70002</v>
      </c>
      <c r="Z466">
        <v>3</v>
      </c>
      <c r="AA466">
        <v>1</v>
      </c>
      <c r="AB466">
        <v>1001</v>
      </c>
      <c r="AC466">
        <v>100</v>
      </c>
      <c r="AD466">
        <v>1</v>
      </c>
      <c r="AE466">
        <v>8000</v>
      </c>
      <c r="AF466">
        <v>6900</v>
      </c>
      <c r="AG466">
        <v>1</v>
      </c>
    </row>
    <row r="467" spans="1:33" ht="38.25" customHeight="1">
      <c r="A467">
        <v>1361</v>
      </c>
      <c r="B467" t="s">
        <v>1959</v>
      </c>
      <c r="C467">
        <v>11</v>
      </c>
      <c r="D467" t="s">
        <v>2868</v>
      </c>
      <c r="E467">
        <v>150</v>
      </c>
      <c r="G467" s="90" t="s">
        <v>2869</v>
      </c>
      <c r="I467">
        <v>46345</v>
      </c>
      <c r="J467" s="80" t="s">
        <v>2846</v>
      </c>
      <c r="K467" t="s">
        <v>767</v>
      </c>
      <c r="L467">
        <v>9002</v>
      </c>
      <c r="M467">
        <v>12</v>
      </c>
      <c r="O467">
        <v>0.7</v>
      </c>
      <c r="P467" s="80" t="s">
        <v>2847</v>
      </c>
      <c r="Q467" t="s">
        <v>769</v>
      </c>
      <c r="R467">
        <v>9012</v>
      </c>
      <c r="S467" t="s">
        <v>1768</v>
      </c>
      <c r="U467">
        <v>0.1</v>
      </c>
      <c r="V467">
        <v>70001</v>
      </c>
      <c r="W467">
        <v>3</v>
      </c>
      <c r="X467">
        <v>1</v>
      </c>
      <c r="Y467">
        <v>70002</v>
      </c>
      <c r="Z467">
        <v>3</v>
      </c>
      <c r="AA467">
        <v>1</v>
      </c>
      <c r="AB467">
        <v>1001</v>
      </c>
      <c r="AC467">
        <v>100</v>
      </c>
      <c r="AD467">
        <v>1</v>
      </c>
      <c r="AE467">
        <v>8000</v>
      </c>
      <c r="AF467">
        <v>6950</v>
      </c>
      <c r="AG467">
        <v>1</v>
      </c>
    </row>
    <row r="468" spans="1:33" ht="38.25" customHeight="1">
      <c r="A468">
        <v>1362</v>
      </c>
      <c r="B468" t="s">
        <v>1959</v>
      </c>
      <c r="C468">
        <v>11</v>
      </c>
      <c r="D468" t="s">
        <v>2870</v>
      </c>
      <c r="E468">
        <v>150</v>
      </c>
      <c r="G468" s="90" t="s">
        <v>2871</v>
      </c>
      <c r="I468">
        <v>46470</v>
      </c>
      <c r="J468" s="80" t="s">
        <v>2846</v>
      </c>
      <c r="K468" t="s">
        <v>767</v>
      </c>
      <c r="L468">
        <v>9011</v>
      </c>
      <c r="M468">
        <v>12</v>
      </c>
      <c r="O468">
        <v>0.4</v>
      </c>
      <c r="P468" s="80" t="s">
        <v>2847</v>
      </c>
      <c r="Q468" t="s">
        <v>769</v>
      </c>
      <c r="R468">
        <v>9011</v>
      </c>
      <c r="S468" t="s">
        <v>1919</v>
      </c>
      <c r="U468">
        <v>0.6</v>
      </c>
      <c r="V468">
        <v>70001</v>
      </c>
      <c r="W468">
        <v>3</v>
      </c>
      <c r="X468">
        <v>1</v>
      </c>
      <c r="Y468">
        <v>70002</v>
      </c>
      <c r="Z468">
        <v>3</v>
      </c>
      <c r="AA468">
        <v>1</v>
      </c>
      <c r="AB468">
        <v>1001</v>
      </c>
      <c r="AC468">
        <v>100</v>
      </c>
      <c r="AD468">
        <v>1</v>
      </c>
      <c r="AE468">
        <v>8000</v>
      </c>
      <c r="AF468">
        <v>6950</v>
      </c>
      <c r="AG468">
        <v>1</v>
      </c>
    </row>
    <row r="469" spans="1:33" ht="38.25" customHeight="1">
      <c r="A469">
        <v>1363</v>
      </c>
      <c r="B469" t="s">
        <v>1959</v>
      </c>
      <c r="C469">
        <v>11</v>
      </c>
      <c r="D469" t="s">
        <v>2872</v>
      </c>
      <c r="E469">
        <v>150</v>
      </c>
      <c r="G469" s="90" t="s">
        <v>2873</v>
      </c>
      <c r="I469">
        <v>46595</v>
      </c>
      <c r="J469" s="80" t="s">
        <v>2846</v>
      </c>
      <c r="K469" t="s">
        <v>767</v>
      </c>
      <c r="L469">
        <v>9008</v>
      </c>
      <c r="M469" t="s">
        <v>2874</v>
      </c>
      <c r="O469">
        <v>0.2</v>
      </c>
      <c r="P469" s="80" t="s">
        <v>2847</v>
      </c>
      <c r="Q469" t="s">
        <v>769</v>
      </c>
      <c r="R469">
        <v>9007</v>
      </c>
      <c r="S469" t="s">
        <v>2521</v>
      </c>
      <c r="U469">
        <v>0.8</v>
      </c>
      <c r="V469">
        <v>70001</v>
      </c>
      <c r="W469">
        <v>3</v>
      </c>
      <c r="X469">
        <v>1</v>
      </c>
      <c r="Y469">
        <v>70002</v>
      </c>
      <c r="Z469">
        <v>3</v>
      </c>
      <c r="AA469">
        <v>1</v>
      </c>
      <c r="AB469">
        <v>1001</v>
      </c>
      <c r="AC469">
        <v>100</v>
      </c>
      <c r="AD469">
        <v>1</v>
      </c>
      <c r="AE469">
        <v>8000</v>
      </c>
      <c r="AF469">
        <v>7000</v>
      </c>
      <c r="AG469">
        <v>1</v>
      </c>
    </row>
    <row r="470" spans="1:33" ht="38.25" customHeight="1">
      <c r="A470">
        <v>1364</v>
      </c>
      <c r="B470" t="s">
        <v>1959</v>
      </c>
      <c r="C470">
        <v>11</v>
      </c>
      <c r="D470" t="s">
        <v>2875</v>
      </c>
      <c r="E470">
        <v>150</v>
      </c>
      <c r="G470" s="90" t="s">
        <v>2876</v>
      </c>
      <c r="I470">
        <v>46720</v>
      </c>
      <c r="J470" s="80" t="s">
        <v>2846</v>
      </c>
      <c r="K470" t="s">
        <v>767</v>
      </c>
      <c r="L470">
        <v>9007</v>
      </c>
      <c r="M470" t="s">
        <v>2468</v>
      </c>
      <c r="O470">
        <v>0.7</v>
      </c>
      <c r="P470" s="80" t="s">
        <v>2847</v>
      </c>
      <c r="Q470" t="s">
        <v>769</v>
      </c>
      <c r="R470">
        <v>9012</v>
      </c>
      <c r="S470">
        <v>1</v>
      </c>
      <c r="U470">
        <v>0.9</v>
      </c>
      <c r="V470">
        <v>70001</v>
      </c>
      <c r="W470">
        <v>3</v>
      </c>
      <c r="X470">
        <v>1</v>
      </c>
      <c r="Y470">
        <v>70002</v>
      </c>
      <c r="Z470">
        <v>3</v>
      </c>
      <c r="AA470">
        <v>1</v>
      </c>
      <c r="AB470">
        <v>1001</v>
      </c>
      <c r="AC470">
        <v>100</v>
      </c>
      <c r="AD470">
        <v>1</v>
      </c>
      <c r="AE470">
        <v>8000</v>
      </c>
      <c r="AF470">
        <v>7000</v>
      </c>
      <c r="AG470">
        <v>1</v>
      </c>
    </row>
    <row r="471" spans="1:33" ht="38.25" customHeight="1">
      <c r="A471">
        <v>1365</v>
      </c>
      <c r="B471" t="s">
        <v>1959</v>
      </c>
      <c r="C471">
        <v>11</v>
      </c>
      <c r="D471" t="s">
        <v>2877</v>
      </c>
      <c r="E471">
        <v>150</v>
      </c>
      <c r="G471" s="90" t="s">
        <v>2878</v>
      </c>
      <c r="I471">
        <v>46845</v>
      </c>
      <c r="J471" s="80" t="s">
        <v>2846</v>
      </c>
      <c r="K471" t="s">
        <v>767</v>
      </c>
      <c r="L471">
        <v>9011</v>
      </c>
      <c r="M471" t="s">
        <v>2002</v>
      </c>
      <c r="O471">
        <v>0.1</v>
      </c>
      <c r="P471" s="80" t="s">
        <v>2847</v>
      </c>
      <c r="Q471" t="s">
        <v>769</v>
      </c>
      <c r="R471">
        <v>9004</v>
      </c>
      <c r="S471" t="s">
        <v>2879</v>
      </c>
      <c r="U471">
        <v>0.2</v>
      </c>
      <c r="V471">
        <v>70001</v>
      </c>
      <c r="W471">
        <v>3</v>
      </c>
      <c r="X471">
        <v>1</v>
      </c>
      <c r="Y471">
        <v>70002</v>
      </c>
      <c r="Z471">
        <v>3</v>
      </c>
      <c r="AA471">
        <v>1</v>
      </c>
      <c r="AB471">
        <v>1001</v>
      </c>
      <c r="AC471">
        <v>100</v>
      </c>
      <c r="AD471">
        <v>1</v>
      </c>
      <c r="AE471">
        <v>8000</v>
      </c>
      <c r="AF471">
        <v>7050</v>
      </c>
      <c r="AG471">
        <v>1</v>
      </c>
    </row>
    <row r="472" spans="1:33" ht="38.25" customHeight="1">
      <c r="A472">
        <v>1366</v>
      </c>
      <c r="B472" t="s">
        <v>1959</v>
      </c>
      <c r="C472">
        <v>11</v>
      </c>
      <c r="D472" t="s">
        <v>2880</v>
      </c>
      <c r="E472">
        <v>150</v>
      </c>
      <c r="G472" s="90" t="s">
        <v>2881</v>
      </c>
      <c r="I472">
        <v>46970</v>
      </c>
      <c r="J472" s="80" t="s">
        <v>2846</v>
      </c>
      <c r="K472" t="s">
        <v>767</v>
      </c>
      <c r="L472">
        <v>9002</v>
      </c>
      <c r="M472">
        <v>7</v>
      </c>
      <c r="O472">
        <v>0.2</v>
      </c>
      <c r="P472" s="80" t="s">
        <v>2847</v>
      </c>
      <c r="Q472" t="s">
        <v>769</v>
      </c>
      <c r="R472">
        <v>9008</v>
      </c>
      <c r="S472" t="s">
        <v>1787</v>
      </c>
      <c r="U472">
        <v>0.3</v>
      </c>
      <c r="V472">
        <v>70001</v>
      </c>
      <c r="W472">
        <v>3</v>
      </c>
      <c r="X472">
        <v>1</v>
      </c>
      <c r="Y472">
        <v>70002</v>
      </c>
      <c r="Z472">
        <v>3</v>
      </c>
      <c r="AA472">
        <v>1</v>
      </c>
      <c r="AB472">
        <v>1001</v>
      </c>
      <c r="AC472">
        <v>100</v>
      </c>
      <c r="AD472">
        <v>1</v>
      </c>
      <c r="AE472">
        <v>8000</v>
      </c>
      <c r="AF472">
        <v>7050</v>
      </c>
      <c r="AG472">
        <v>1</v>
      </c>
    </row>
    <row r="473" spans="1:33" ht="38.25" customHeight="1">
      <c r="A473">
        <v>1367</v>
      </c>
      <c r="B473" t="s">
        <v>1959</v>
      </c>
      <c r="C473">
        <v>11</v>
      </c>
      <c r="D473" t="s">
        <v>2882</v>
      </c>
      <c r="E473">
        <v>150</v>
      </c>
      <c r="G473" s="90" t="s">
        <v>2883</v>
      </c>
      <c r="I473">
        <v>47095</v>
      </c>
      <c r="J473" s="80" t="s">
        <v>2846</v>
      </c>
      <c r="K473" t="s">
        <v>767</v>
      </c>
      <c r="L473">
        <v>9012</v>
      </c>
      <c r="M473" t="s">
        <v>1820</v>
      </c>
      <c r="O473">
        <v>0.3</v>
      </c>
      <c r="P473" s="80" t="s">
        <v>2847</v>
      </c>
      <c r="Q473" t="s">
        <v>769</v>
      </c>
      <c r="R473">
        <v>9008</v>
      </c>
      <c r="S473" t="s">
        <v>1691</v>
      </c>
      <c r="U473">
        <v>0.7</v>
      </c>
      <c r="V473">
        <v>70001</v>
      </c>
      <c r="W473">
        <v>3</v>
      </c>
      <c r="X473">
        <v>1</v>
      </c>
      <c r="Y473">
        <v>70002</v>
      </c>
      <c r="Z473">
        <v>3</v>
      </c>
      <c r="AA473">
        <v>1</v>
      </c>
      <c r="AB473">
        <v>1001</v>
      </c>
      <c r="AC473">
        <v>100</v>
      </c>
      <c r="AD473">
        <v>1</v>
      </c>
      <c r="AE473">
        <v>8000</v>
      </c>
      <c r="AF473">
        <v>7100</v>
      </c>
      <c r="AG473">
        <v>1</v>
      </c>
    </row>
    <row r="474" spans="1:33" ht="38.25" customHeight="1">
      <c r="A474">
        <v>1368</v>
      </c>
      <c r="B474" t="s">
        <v>1959</v>
      </c>
      <c r="C474">
        <v>11</v>
      </c>
      <c r="D474" t="s">
        <v>2884</v>
      </c>
      <c r="E474">
        <v>150</v>
      </c>
      <c r="G474" s="90" t="s">
        <v>2885</v>
      </c>
      <c r="I474">
        <v>47220</v>
      </c>
      <c r="J474" s="80" t="s">
        <v>2846</v>
      </c>
      <c r="K474" t="s">
        <v>767</v>
      </c>
      <c r="L474">
        <v>9005</v>
      </c>
      <c r="M474" t="s">
        <v>1824</v>
      </c>
      <c r="O474">
        <v>0.3</v>
      </c>
      <c r="P474" s="80" t="s">
        <v>2847</v>
      </c>
      <c r="Q474" t="s">
        <v>769</v>
      </c>
      <c r="R474">
        <v>9008</v>
      </c>
      <c r="S474" t="s">
        <v>1836</v>
      </c>
      <c r="U474">
        <v>0.6</v>
      </c>
      <c r="V474">
        <v>70001</v>
      </c>
      <c r="W474">
        <v>3</v>
      </c>
      <c r="X474">
        <v>1</v>
      </c>
      <c r="Y474">
        <v>70002</v>
      </c>
      <c r="Z474">
        <v>3</v>
      </c>
      <c r="AA474">
        <v>1</v>
      </c>
      <c r="AB474">
        <v>1001</v>
      </c>
      <c r="AC474">
        <v>100</v>
      </c>
      <c r="AD474">
        <v>1</v>
      </c>
      <c r="AE474">
        <v>8000</v>
      </c>
      <c r="AF474">
        <v>7100</v>
      </c>
      <c r="AG474">
        <v>1</v>
      </c>
    </row>
    <row r="475" spans="1:33" ht="38.25" customHeight="1">
      <c r="A475">
        <v>1369</v>
      </c>
      <c r="B475" t="s">
        <v>1959</v>
      </c>
      <c r="C475">
        <v>11</v>
      </c>
      <c r="D475" t="s">
        <v>2886</v>
      </c>
      <c r="E475">
        <v>150</v>
      </c>
      <c r="G475" s="90" t="s">
        <v>2887</v>
      </c>
      <c r="I475">
        <v>47345</v>
      </c>
      <c r="J475" s="80" t="s">
        <v>2846</v>
      </c>
      <c r="K475" t="s">
        <v>767</v>
      </c>
      <c r="L475">
        <v>9007</v>
      </c>
      <c r="M475" t="s">
        <v>2354</v>
      </c>
      <c r="O475">
        <v>0.4</v>
      </c>
      <c r="P475" s="80" t="s">
        <v>2847</v>
      </c>
      <c r="Q475" t="s">
        <v>769</v>
      </c>
      <c r="R475">
        <v>9004</v>
      </c>
      <c r="S475">
        <v>12</v>
      </c>
      <c r="U475">
        <v>0.4</v>
      </c>
      <c r="V475">
        <v>70001</v>
      </c>
      <c r="W475">
        <v>3</v>
      </c>
      <c r="X475">
        <v>1</v>
      </c>
      <c r="Y475">
        <v>70002</v>
      </c>
      <c r="Z475">
        <v>3</v>
      </c>
      <c r="AA475">
        <v>1</v>
      </c>
      <c r="AB475">
        <v>1001</v>
      </c>
      <c r="AC475">
        <v>100</v>
      </c>
      <c r="AD475">
        <v>1</v>
      </c>
      <c r="AE475">
        <v>8000</v>
      </c>
      <c r="AF475">
        <v>7150</v>
      </c>
      <c r="AG475">
        <v>1</v>
      </c>
    </row>
    <row r="476" spans="1:33" ht="38.25" customHeight="1">
      <c r="A476">
        <v>1370</v>
      </c>
      <c r="B476" t="s">
        <v>1959</v>
      </c>
      <c r="C476">
        <v>11</v>
      </c>
      <c r="D476" t="s">
        <v>2888</v>
      </c>
      <c r="E476">
        <v>150</v>
      </c>
      <c r="G476" s="90" t="s">
        <v>2889</v>
      </c>
      <c r="I476">
        <v>47470</v>
      </c>
      <c r="J476" s="80" t="s">
        <v>2846</v>
      </c>
      <c r="K476" t="s">
        <v>767</v>
      </c>
      <c r="L476">
        <v>9006</v>
      </c>
      <c r="M476">
        <v>11</v>
      </c>
      <c r="O476">
        <v>0.9</v>
      </c>
      <c r="P476" s="80" t="s">
        <v>2847</v>
      </c>
      <c r="Q476" t="s">
        <v>769</v>
      </c>
      <c r="R476">
        <v>9007</v>
      </c>
      <c r="S476" t="s">
        <v>2890</v>
      </c>
      <c r="U476">
        <v>1</v>
      </c>
      <c r="V476">
        <v>70001</v>
      </c>
      <c r="W476">
        <v>3</v>
      </c>
      <c r="X476">
        <v>1</v>
      </c>
      <c r="Y476">
        <v>70002</v>
      </c>
      <c r="Z476">
        <v>3</v>
      </c>
      <c r="AA476">
        <v>1</v>
      </c>
      <c r="AB476">
        <v>1001</v>
      </c>
      <c r="AC476">
        <v>100</v>
      </c>
      <c r="AD476">
        <v>1</v>
      </c>
      <c r="AE476">
        <v>8000</v>
      </c>
      <c r="AF476">
        <v>7150</v>
      </c>
      <c r="AG476">
        <v>1</v>
      </c>
    </row>
    <row r="477" spans="1:33" ht="38.25" customHeight="1">
      <c r="A477">
        <v>1371</v>
      </c>
      <c r="B477" t="s">
        <v>1959</v>
      </c>
      <c r="C477">
        <v>11</v>
      </c>
      <c r="D477" t="s">
        <v>2891</v>
      </c>
      <c r="E477">
        <v>150</v>
      </c>
      <c r="G477" s="90" t="s">
        <v>2892</v>
      </c>
      <c r="I477">
        <v>47595</v>
      </c>
      <c r="J477" s="80" t="s">
        <v>2846</v>
      </c>
      <c r="K477" t="s">
        <v>767</v>
      </c>
      <c r="L477">
        <v>9011</v>
      </c>
      <c r="M477">
        <v>12</v>
      </c>
      <c r="O477">
        <v>0.4</v>
      </c>
      <c r="P477" s="80" t="s">
        <v>2847</v>
      </c>
      <c r="Q477" t="s">
        <v>769</v>
      </c>
      <c r="R477">
        <v>9010</v>
      </c>
      <c r="S477" t="s">
        <v>2267</v>
      </c>
      <c r="U477">
        <v>1</v>
      </c>
      <c r="V477">
        <v>70001</v>
      </c>
      <c r="W477">
        <v>3</v>
      </c>
      <c r="X477">
        <v>1</v>
      </c>
      <c r="Y477">
        <v>70002</v>
      </c>
      <c r="Z477">
        <v>3</v>
      </c>
      <c r="AA477">
        <v>1</v>
      </c>
      <c r="AB477">
        <v>1001</v>
      </c>
      <c r="AC477">
        <v>100</v>
      </c>
      <c r="AD477">
        <v>1</v>
      </c>
      <c r="AE477">
        <v>8000</v>
      </c>
      <c r="AF477">
        <v>7200</v>
      </c>
      <c r="AG477">
        <v>1</v>
      </c>
    </row>
    <row r="478" spans="1:33" ht="38.25" customHeight="1">
      <c r="A478">
        <v>1372</v>
      </c>
      <c r="B478" t="s">
        <v>1959</v>
      </c>
      <c r="C478">
        <v>11</v>
      </c>
      <c r="D478" t="s">
        <v>2893</v>
      </c>
      <c r="E478">
        <v>150</v>
      </c>
      <c r="G478" s="90" t="s">
        <v>2894</v>
      </c>
      <c r="I478">
        <v>47720</v>
      </c>
      <c r="J478" s="80" t="s">
        <v>2846</v>
      </c>
      <c r="K478" t="s">
        <v>767</v>
      </c>
      <c r="L478">
        <v>9001</v>
      </c>
      <c r="M478" t="s">
        <v>1890</v>
      </c>
      <c r="O478">
        <v>0.5</v>
      </c>
      <c r="P478" s="80" t="s">
        <v>2847</v>
      </c>
      <c r="Q478" t="s">
        <v>769</v>
      </c>
      <c r="R478">
        <v>9003</v>
      </c>
      <c r="S478" t="s">
        <v>2415</v>
      </c>
      <c r="U478">
        <v>0.7</v>
      </c>
      <c r="V478">
        <v>70001</v>
      </c>
      <c r="W478">
        <v>3</v>
      </c>
      <c r="X478">
        <v>1</v>
      </c>
      <c r="Y478">
        <v>70002</v>
      </c>
      <c r="Z478">
        <v>3</v>
      </c>
      <c r="AA478">
        <v>1</v>
      </c>
      <c r="AB478">
        <v>1001</v>
      </c>
      <c r="AC478">
        <v>100</v>
      </c>
      <c r="AD478">
        <v>1</v>
      </c>
      <c r="AE478">
        <v>8000</v>
      </c>
      <c r="AF478">
        <v>7200</v>
      </c>
      <c r="AG478">
        <v>1</v>
      </c>
    </row>
    <row r="479" spans="1:33" ht="38.25" customHeight="1">
      <c r="A479">
        <v>1373</v>
      </c>
      <c r="B479" t="s">
        <v>1959</v>
      </c>
      <c r="C479">
        <v>11</v>
      </c>
      <c r="D479" t="s">
        <v>2895</v>
      </c>
      <c r="E479">
        <v>150</v>
      </c>
      <c r="G479" s="90" t="s">
        <v>2896</v>
      </c>
      <c r="I479">
        <v>47845</v>
      </c>
      <c r="J479" s="80" t="s">
        <v>2846</v>
      </c>
      <c r="K479" t="s">
        <v>767</v>
      </c>
      <c r="L479">
        <v>9006</v>
      </c>
      <c r="M479" t="s">
        <v>2001</v>
      </c>
      <c r="O479">
        <v>1</v>
      </c>
      <c r="P479" s="80" t="s">
        <v>2847</v>
      </c>
      <c r="Q479" t="s">
        <v>769</v>
      </c>
      <c r="R479">
        <v>9012</v>
      </c>
      <c r="S479">
        <v>11</v>
      </c>
      <c r="U479">
        <v>0.6</v>
      </c>
      <c r="V479">
        <v>70001</v>
      </c>
      <c r="W479">
        <v>3</v>
      </c>
      <c r="X479">
        <v>1</v>
      </c>
      <c r="Y479">
        <v>70002</v>
      </c>
      <c r="Z479">
        <v>3</v>
      </c>
      <c r="AA479">
        <v>1</v>
      </c>
      <c r="AB479">
        <v>1001</v>
      </c>
      <c r="AC479">
        <v>100</v>
      </c>
      <c r="AD479">
        <v>1</v>
      </c>
      <c r="AE479">
        <v>8000</v>
      </c>
      <c r="AF479">
        <v>7250</v>
      </c>
      <c r="AG479">
        <v>1</v>
      </c>
    </row>
    <row r="480" spans="1:33" ht="38.25" customHeight="1">
      <c r="A480">
        <v>1374</v>
      </c>
      <c r="B480" t="s">
        <v>1959</v>
      </c>
      <c r="C480">
        <v>11</v>
      </c>
      <c r="D480" t="s">
        <v>2897</v>
      </c>
      <c r="E480">
        <v>150</v>
      </c>
      <c r="G480" s="90" t="s">
        <v>2898</v>
      </c>
      <c r="I480">
        <v>47970</v>
      </c>
      <c r="J480" s="80" t="s">
        <v>2846</v>
      </c>
      <c r="K480" t="s">
        <v>767</v>
      </c>
      <c r="L480">
        <v>9006</v>
      </c>
      <c r="M480">
        <v>3</v>
      </c>
      <c r="O480">
        <v>0.7</v>
      </c>
      <c r="P480" s="80" t="s">
        <v>2847</v>
      </c>
      <c r="Q480" t="s">
        <v>769</v>
      </c>
      <c r="R480">
        <v>9012</v>
      </c>
      <c r="S480" t="s">
        <v>2062</v>
      </c>
      <c r="U480">
        <v>0.8</v>
      </c>
      <c r="V480">
        <v>70001</v>
      </c>
      <c r="W480">
        <v>3</v>
      </c>
      <c r="X480">
        <v>1</v>
      </c>
      <c r="Y480">
        <v>70002</v>
      </c>
      <c r="Z480">
        <v>3</v>
      </c>
      <c r="AA480">
        <v>1</v>
      </c>
      <c r="AB480">
        <v>1001</v>
      </c>
      <c r="AC480">
        <v>100</v>
      </c>
      <c r="AD480">
        <v>1</v>
      </c>
      <c r="AE480">
        <v>8000</v>
      </c>
      <c r="AF480">
        <v>7250</v>
      </c>
      <c r="AG480">
        <v>1</v>
      </c>
    </row>
    <row r="481" spans="1:33" ht="38.25" customHeight="1">
      <c r="A481">
        <v>1375</v>
      </c>
      <c r="B481" t="s">
        <v>1959</v>
      </c>
      <c r="C481">
        <v>11</v>
      </c>
      <c r="D481" t="s">
        <v>2899</v>
      </c>
      <c r="E481">
        <v>150</v>
      </c>
      <c r="G481" s="90" t="s">
        <v>2900</v>
      </c>
      <c r="I481">
        <v>48095</v>
      </c>
      <c r="J481" s="80" t="s">
        <v>2846</v>
      </c>
      <c r="K481" t="s">
        <v>767</v>
      </c>
      <c r="L481">
        <v>9002</v>
      </c>
      <c r="M481" t="s">
        <v>2802</v>
      </c>
      <c r="O481">
        <v>0.4</v>
      </c>
      <c r="P481" s="80" t="s">
        <v>2847</v>
      </c>
      <c r="Q481" t="s">
        <v>769</v>
      </c>
      <c r="R481">
        <v>9012</v>
      </c>
      <c r="S481">
        <v>4</v>
      </c>
      <c r="U481">
        <v>0.4</v>
      </c>
      <c r="V481">
        <v>70001</v>
      </c>
      <c r="W481">
        <v>3</v>
      </c>
      <c r="X481">
        <v>1</v>
      </c>
      <c r="Y481">
        <v>70002</v>
      </c>
      <c r="Z481">
        <v>3</v>
      </c>
      <c r="AA481">
        <v>1</v>
      </c>
      <c r="AB481">
        <v>1001</v>
      </c>
      <c r="AC481">
        <v>100</v>
      </c>
      <c r="AD481">
        <v>1</v>
      </c>
      <c r="AE481">
        <v>8000</v>
      </c>
      <c r="AF481">
        <v>7300</v>
      </c>
      <c r="AG481">
        <v>1</v>
      </c>
    </row>
    <row r="482" spans="1:33" ht="38.25" customHeight="1">
      <c r="A482">
        <v>1376</v>
      </c>
      <c r="B482" t="s">
        <v>1959</v>
      </c>
      <c r="C482">
        <v>11</v>
      </c>
      <c r="D482" t="s">
        <v>2901</v>
      </c>
      <c r="E482">
        <v>150</v>
      </c>
      <c r="G482" s="90" t="s">
        <v>2902</v>
      </c>
      <c r="I482">
        <v>48220</v>
      </c>
      <c r="J482" s="80" t="s">
        <v>2846</v>
      </c>
      <c r="K482" t="s">
        <v>767</v>
      </c>
      <c r="L482">
        <v>9011</v>
      </c>
      <c r="M482" t="s">
        <v>1680</v>
      </c>
      <c r="O482">
        <v>0.1</v>
      </c>
      <c r="P482" s="80" t="s">
        <v>2847</v>
      </c>
      <c r="Q482" t="s">
        <v>769</v>
      </c>
      <c r="R482">
        <v>9012</v>
      </c>
      <c r="S482" t="s">
        <v>2903</v>
      </c>
      <c r="U482">
        <v>0.2</v>
      </c>
      <c r="V482">
        <v>70001</v>
      </c>
      <c r="W482">
        <v>3</v>
      </c>
      <c r="X482">
        <v>1</v>
      </c>
      <c r="Y482">
        <v>70002</v>
      </c>
      <c r="Z482">
        <v>3</v>
      </c>
      <c r="AA482">
        <v>1</v>
      </c>
      <c r="AB482">
        <v>1001</v>
      </c>
      <c r="AC482">
        <v>100</v>
      </c>
      <c r="AD482">
        <v>1</v>
      </c>
      <c r="AE482">
        <v>8000</v>
      </c>
      <c r="AF482">
        <v>7300</v>
      </c>
      <c r="AG482">
        <v>1</v>
      </c>
    </row>
    <row r="483" spans="1:33" ht="38.25" customHeight="1">
      <c r="A483">
        <v>1377</v>
      </c>
      <c r="B483" t="s">
        <v>1959</v>
      </c>
      <c r="C483">
        <v>11</v>
      </c>
      <c r="D483" t="s">
        <v>2904</v>
      </c>
      <c r="E483">
        <v>150</v>
      </c>
      <c r="G483" s="90" t="s">
        <v>2905</v>
      </c>
      <c r="I483">
        <v>48345</v>
      </c>
      <c r="J483" s="80" t="s">
        <v>2846</v>
      </c>
      <c r="K483" t="s">
        <v>767</v>
      </c>
      <c r="L483">
        <v>9012</v>
      </c>
      <c r="M483" t="s">
        <v>2483</v>
      </c>
      <c r="O483">
        <v>0.9</v>
      </c>
      <c r="P483" s="80" t="s">
        <v>2847</v>
      </c>
      <c r="Q483" t="s">
        <v>769</v>
      </c>
      <c r="R483">
        <v>9011</v>
      </c>
      <c r="S483">
        <v>6</v>
      </c>
      <c r="U483">
        <v>0.1</v>
      </c>
      <c r="V483">
        <v>70001</v>
      </c>
      <c r="W483">
        <v>3</v>
      </c>
      <c r="X483">
        <v>1</v>
      </c>
      <c r="Y483">
        <v>70002</v>
      </c>
      <c r="Z483">
        <v>3</v>
      </c>
      <c r="AA483">
        <v>1</v>
      </c>
      <c r="AB483">
        <v>1001</v>
      </c>
      <c r="AC483">
        <v>100</v>
      </c>
      <c r="AD483">
        <v>1</v>
      </c>
      <c r="AE483">
        <v>8000</v>
      </c>
      <c r="AF483">
        <v>7350</v>
      </c>
      <c r="AG483">
        <v>1</v>
      </c>
    </row>
    <row r="484" spans="1:33" ht="38.25" customHeight="1">
      <c r="A484">
        <v>1378</v>
      </c>
      <c r="B484" t="s">
        <v>1959</v>
      </c>
      <c r="C484">
        <v>11</v>
      </c>
      <c r="D484" t="s">
        <v>2906</v>
      </c>
      <c r="E484">
        <v>150</v>
      </c>
      <c r="G484" s="90" t="s">
        <v>2907</v>
      </c>
      <c r="I484">
        <v>48470</v>
      </c>
      <c r="J484" s="80" t="s">
        <v>2846</v>
      </c>
      <c r="K484" t="s">
        <v>767</v>
      </c>
      <c r="L484">
        <v>9008</v>
      </c>
      <c r="M484" t="s">
        <v>2908</v>
      </c>
      <c r="O484">
        <v>0.6</v>
      </c>
      <c r="P484" s="80" t="s">
        <v>2847</v>
      </c>
      <c r="Q484" t="s">
        <v>769</v>
      </c>
      <c r="R484">
        <v>9011</v>
      </c>
      <c r="S484">
        <v>4</v>
      </c>
      <c r="U484">
        <v>0.5</v>
      </c>
      <c r="V484">
        <v>70001</v>
      </c>
      <c r="W484">
        <v>3</v>
      </c>
      <c r="X484">
        <v>1</v>
      </c>
      <c r="Y484">
        <v>70002</v>
      </c>
      <c r="Z484">
        <v>3</v>
      </c>
      <c r="AA484">
        <v>1</v>
      </c>
      <c r="AB484">
        <v>1001</v>
      </c>
      <c r="AC484">
        <v>100</v>
      </c>
      <c r="AD484">
        <v>1</v>
      </c>
      <c r="AE484">
        <v>8000</v>
      </c>
      <c r="AF484">
        <v>7350</v>
      </c>
      <c r="AG484">
        <v>1</v>
      </c>
    </row>
    <row r="485" spans="1:33" ht="38.25" customHeight="1">
      <c r="A485">
        <v>1379</v>
      </c>
      <c r="B485" t="s">
        <v>1959</v>
      </c>
      <c r="C485">
        <v>11</v>
      </c>
      <c r="D485" t="s">
        <v>2909</v>
      </c>
      <c r="E485">
        <v>150</v>
      </c>
      <c r="G485" s="90" t="s">
        <v>2910</v>
      </c>
      <c r="I485">
        <v>48595</v>
      </c>
      <c r="J485" s="80" t="s">
        <v>2846</v>
      </c>
      <c r="K485" t="s">
        <v>767</v>
      </c>
      <c r="L485">
        <v>9001</v>
      </c>
      <c r="M485" t="s">
        <v>1650</v>
      </c>
      <c r="O485">
        <v>0.2</v>
      </c>
      <c r="P485" s="80" t="s">
        <v>2847</v>
      </c>
      <c r="Q485" t="s">
        <v>769</v>
      </c>
      <c r="R485">
        <v>9007</v>
      </c>
      <c r="S485" t="s">
        <v>2231</v>
      </c>
      <c r="U485">
        <v>0.3</v>
      </c>
      <c r="V485">
        <v>70001</v>
      </c>
      <c r="W485">
        <v>3</v>
      </c>
      <c r="X485">
        <v>1</v>
      </c>
      <c r="Y485">
        <v>70002</v>
      </c>
      <c r="Z485">
        <v>3</v>
      </c>
      <c r="AA485">
        <v>1</v>
      </c>
      <c r="AB485">
        <v>1001</v>
      </c>
      <c r="AC485">
        <v>100</v>
      </c>
      <c r="AD485">
        <v>1</v>
      </c>
      <c r="AE485">
        <v>8000</v>
      </c>
      <c r="AF485">
        <v>7400</v>
      </c>
      <c r="AG485">
        <v>1</v>
      </c>
    </row>
    <row r="486" spans="1:33" ht="38.25" customHeight="1">
      <c r="A486">
        <v>1380</v>
      </c>
      <c r="B486" t="s">
        <v>1959</v>
      </c>
      <c r="C486">
        <v>11</v>
      </c>
      <c r="D486" t="s">
        <v>2911</v>
      </c>
      <c r="E486">
        <v>150</v>
      </c>
      <c r="G486" s="90" t="s">
        <v>2912</v>
      </c>
      <c r="I486">
        <v>48720</v>
      </c>
      <c r="J486" s="80" t="s">
        <v>2846</v>
      </c>
      <c r="K486" t="s">
        <v>767</v>
      </c>
      <c r="L486">
        <v>9002</v>
      </c>
      <c r="M486">
        <v>6</v>
      </c>
      <c r="O486">
        <v>0.1</v>
      </c>
      <c r="P486" s="80" t="s">
        <v>2847</v>
      </c>
      <c r="Q486" t="s">
        <v>769</v>
      </c>
      <c r="R486">
        <v>9004</v>
      </c>
      <c r="S486" t="s">
        <v>2238</v>
      </c>
      <c r="U486">
        <v>0.6</v>
      </c>
      <c r="V486">
        <v>70001</v>
      </c>
      <c r="W486">
        <v>3</v>
      </c>
      <c r="X486">
        <v>1</v>
      </c>
      <c r="Y486">
        <v>70002</v>
      </c>
      <c r="Z486">
        <v>3</v>
      </c>
      <c r="AA486">
        <v>1</v>
      </c>
      <c r="AB486">
        <v>1001</v>
      </c>
      <c r="AC486">
        <v>100</v>
      </c>
      <c r="AD486">
        <v>1</v>
      </c>
      <c r="AE486">
        <v>8000</v>
      </c>
      <c r="AF486">
        <v>7400</v>
      </c>
      <c r="AG486">
        <v>1</v>
      </c>
    </row>
    <row r="487" spans="1:33" ht="38.25" customHeight="1">
      <c r="A487">
        <v>1381</v>
      </c>
      <c r="B487" t="s">
        <v>1959</v>
      </c>
      <c r="C487">
        <v>11</v>
      </c>
      <c r="D487" t="s">
        <v>2913</v>
      </c>
      <c r="E487">
        <v>150</v>
      </c>
      <c r="G487" s="90" t="s">
        <v>2914</v>
      </c>
      <c r="I487">
        <v>48845</v>
      </c>
      <c r="J487" s="80" t="s">
        <v>2846</v>
      </c>
      <c r="K487" t="s">
        <v>767</v>
      </c>
      <c r="L487">
        <v>9001</v>
      </c>
      <c r="M487" t="s">
        <v>2354</v>
      </c>
      <c r="O487">
        <v>1</v>
      </c>
      <c r="P487" s="80" t="s">
        <v>2847</v>
      </c>
      <c r="Q487" t="s">
        <v>769</v>
      </c>
      <c r="R487">
        <v>9004</v>
      </c>
      <c r="S487" t="s">
        <v>2155</v>
      </c>
      <c r="U487">
        <v>0.9</v>
      </c>
      <c r="V487">
        <v>70001</v>
      </c>
      <c r="W487">
        <v>3</v>
      </c>
      <c r="X487">
        <v>1</v>
      </c>
      <c r="Y487">
        <v>70002</v>
      </c>
      <c r="Z487">
        <v>3</v>
      </c>
      <c r="AA487">
        <v>1</v>
      </c>
      <c r="AB487">
        <v>1001</v>
      </c>
      <c r="AC487">
        <v>100</v>
      </c>
      <c r="AD487">
        <v>1</v>
      </c>
      <c r="AE487">
        <v>8000</v>
      </c>
      <c r="AF487">
        <v>7450</v>
      </c>
      <c r="AG487">
        <v>1</v>
      </c>
    </row>
    <row r="488" spans="1:33" ht="38.25" customHeight="1">
      <c r="A488">
        <v>1382</v>
      </c>
      <c r="B488" t="s">
        <v>1959</v>
      </c>
      <c r="C488">
        <v>11</v>
      </c>
      <c r="D488" t="s">
        <v>2915</v>
      </c>
      <c r="E488">
        <v>150</v>
      </c>
      <c r="G488" s="90" t="s">
        <v>2916</v>
      </c>
      <c r="I488">
        <v>48970</v>
      </c>
      <c r="J488" s="80" t="s">
        <v>2846</v>
      </c>
      <c r="K488" t="s">
        <v>767</v>
      </c>
      <c r="L488">
        <v>9006</v>
      </c>
      <c r="M488">
        <v>5</v>
      </c>
      <c r="O488">
        <v>0.3</v>
      </c>
      <c r="P488" s="80" t="s">
        <v>2847</v>
      </c>
      <c r="Q488" t="s">
        <v>769</v>
      </c>
      <c r="R488">
        <v>9004</v>
      </c>
      <c r="S488" t="s">
        <v>1709</v>
      </c>
      <c r="U488">
        <v>0.3</v>
      </c>
      <c r="V488">
        <v>70001</v>
      </c>
      <c r="W488">
        <v>3</v>
      </c>
      <c r="X488">
        <v>1</v>
      </c>
      <c r="Y488">
        <v>70002</v>
      </c>
      <c r="Z488">
        <v>3</v>
      </c>
      <c r="AA488">
        <v>1</v>
      </c>
      <c r="AB488">
        <v>1001</v>
      </c>
      <c r="AC488">
        <v>100</v>
      </c>
      <c r="AD488">
        <v>1</v>
      </c>
      <c r="AE488">
        <v>8000</v>
      </c>
      <c r="AF488">
        <v>7450</v>
      </c>
      <c r="AG488">
        <v>1</v>
      </c>
    </row>
    <row r="489" spans="1:33" ht="38.25" customHeight="1">
      <c r="A489">
        <v>1383</v>
      </c>
      <c r="B489" t="s">
        <v>1959</v>
      </c>
      <c r="C489">
        <v>11</v>
      </c>
      <c r="D489" t="s">
        <v>2917</v>
      </c>
      <c r="E489">
        <v>150</v>
      </c>
      <c r="G489" s="90" t="s">
        <v>2918</v>
      </c>
      <c r="I489">
        <v>49095</v>
      </c>
      <c r="J489" s="80" t="s">
        <v>2846</v>
      </c>
      <c r="K489" t="s">
        <v>767</v>
      </c>
      <c r="L489">
        <v>9002</v>
      </c>
      <c r="M489">
        <v>3</v>
      </c>
      <c r="O489">
        <v>0.9</v>
      </c>
      <c r="P489" s="80" t="s">
        <v>2847</v>
      </c>
      <c r="Q489" t="s">
        <v>769</v>
      </c>
      <c r="R489">
        <v>9003</v>
      </c>
      <c r="S489" t="s">
        <v>1680</v>
      </c>
      <c r="U489">
        <v>0.1</v>
      </c>
      <c r="V489">
        <v>70001</v>
      </c>
      <c r="W489">
        <v>3</v>
      </c>
      <c r="X489">
        <v>1</v>
      </c>
      <c r="Y489">
        <v>70002</v>
      </c>
      <c r="Z489">
        <v>3</v>
      </c>
      <c r="AA489">
        <v>1</v>
      </c>
      <c r="AB489">
        <v>1001</v>
      </c>
      <c r="AC489">
        <v>100</v>
      </c>
      <c r="AD489">
        <v>1</v>
      </c>
      <c r="AE489">
        <v>8000</v>
      </c>
      <c r="AF489">
        <v>7500</v>
      </c>
      <c r="AG489">
        <v>1</v>
      </c>
    </row>
    <row r="490" spans="1:33" ht="38.25" customHeight="1">
      <c r="A490">
        <v>1384</v>
      </c>
      <c r="B490" t="s">
        <v>1959</v>
      </c>
      <c r="C490">
        <v>11</v>
      </c>
      <c r="D490" t="s">
        <v>2919</v>
      </c>
      <c r="E490">
        <v>150</v>
      </c>
      <c r="G490" s="90" t="s">
        <v>2920</v>
      </c>
      <c r="I490">
        <v>49220</v>
      </c>
      <c r="J490" s="80" t="s">
        <v>2846</v>
      </c>
      <c r="K490" t="s">
        <v>767</v>
      </c>
      <c r="L490">
        <v>9006</v>
      </c>
      <c r="M490" t="s">
        <v>2921</v>
      </c>
      <c r="O490">
        <v>0.5</v>
      </c>
      <c r="P490" s="80" t="s">
        <v>2847</v>
      </c>
      <c r="Q490" t="s">
        <v>769</v>
      </c>
      <c r="R490">
        <v>9010</v>
      </c>
      <c r="S490">
        <v>8</v>
      </c>
      <c r="U490">
        <v>0.8</v>
      </c>
      <c r="V490">
        <v>70001</v>
      </c>
      <c r="W490">
        <v>3</v>
      </c>
      <c r="X490">
        <v>1</v>
      </c>
      <c r="Y490">
        <v>70002</v>
      </c>
      <c r="Z490">
        <v>3</v>
      </c>
      <c r="AA490">
        <v>1</v>
      </c>
      <c r="AB490">
        <v>1001</v>
      </c>
      <c r="AC490">
        <v>100</v>
      </c>
      <c r="AD490">
        <v>1</v>
      </c>
      <c r="AE490">
        <v>8000</v>
      </c>
      <c r="AF490">
        <v>7550</v>
      </c>
      <c r="AG490">
        <v>1</v>
      </c>
    </row>
    <row r="491" spans="1:33" ht="38.25" customHeight="1">
      <c r="A491">
        <v>1385</v>
      </c>
      <c r="B491" t="s">
        <v>1959</v>
      </c>
      <c r="C491">
        <v>11</v>
      </c>
      <c r="D491" t="s">
        <v>2922</v>
      </c>
      <c r="E491">
        <v>150</v>
      </c>
      <c r="G491" s="90" t="s">
        <v>2923</v>
      </c>
      <c r="I491">
        <v>49345</v>
      </c>
      <c r="J491" s="80" t="s">
        <v>2846</v>
      </c>
      <c r="K491" t="s">
        <v>767</v>
      </c>
      <c r="L491">
        <v>9002</v>
      </c>
      <c r="M491" t="s">
        <v>2924</v>
      </c>
      <c r="O491">
        <v>0.5</v>
      </c>
      <c r="P491" s="80" t="s">
        <v>2847</v>
      </c>
      <c r="Q491" t="s">
        <v>769</v>
      </c>
      <c r="R491">
        <v>9010</v>
      </c>
      <c r="S491" t="s">
        <v>1669</v>
      </c>
      <c r="U491">
        <v>0.6</v>
      </c>
      <c r="V491">
        <v>70001</v>
      </c>
      <c r="W491">
        <v>3</v>
      </c>
      <c r="X491">
        <v>1</v>
      </c>
      <c r="Y491">
        <v>70002</v>
      </c>
      <c r="Z491">
        <v>3</v>
      </c>
      <c r="AA491">
        <v>1</v>
      </c>
      <c r="AB491">
        <v>1001</v>
      </c>
      <c r="AC491">
        <v>100</v>
      </c>
      <c r="AD491">
        <v>1</v>
      </c>
      <c r="AE491">
        <v>8000</v>
      </c>
      <c r="AF491">
        <v>7550</v>
      </c>
      <c r="AG491">
        <v>1</v>
      </c>
    </row>
    <row r="492" spans="1:33" ht="38.25" customHeight="1">
      <c r="A492">
        <v>1386</v>
      </c>
      <c r="B492" t="s">
        <v>1959</v>
      </c>
      <c r="C492">
        <v>11</v>
      </c>
      <c r="D492" t="s">
        <v>2925</v>
      </c>
      <c r="E492">
        <v>150</v>
      </c>
      <c r="G492" s="90" t="s">
        <v>2926</v>
      </c>
      <c r="I492">
        <v>49470</v>
      </c>
      <c r="J492" s="80" t="s">
        <v>2846</v>
      </c>
      <c r="K492" t="s">
        <v>767</v>
      </c>
      <c r="L492">
        <v>9002</v>
      </c>
      <c r="M492">
        <v>6</v>
      </c>
      <c r="O492">
        <v>0.8</v>
      </c>
      <c r="P492" s="80" t="s">
        <v>2847</v>
      </c>
      <c r="Q492" t="s">
        <v>769</v>
      </c>
      <c r="R492">
        <v>9008</v>
      </c>
      <c r="S492">
        <v>12</v>
      </c>
      <c r="U492">
        <v>0.6</v>
      </c>
      <c r="V492">
        <v>70001</v>
      </c>
      <c r="W492">
        <v>3</v>
      </c>
      <c r="X492">
        <v>1</v>
      </c>
      <c r="Y492">
        <v>70002</v>
      </c>
      <c r="Z492">
        <v>3</v>
      </c>
      <c r="AA492">
        <v>1</v>
      </c>
      <c r="AB492">
        <v>1001</v>
      </c>
      <c r="AC492">
        <v>100</v>
      </c>
      <c r="AD492">
        <v>1</v>
      </c>
      <c r="AE492">
        <v>8000</v>
      </c>
      <c r="AF492">
        <v>7600</v>
      </c>
      <c r="AG492">
        <v>1</v>
      </c>
    </row>
    <row r="493" spans="1:33" ht="38.25" customHeight="1">
      <c r="A493">
        <v>1387</v>
      </c>
      <c r="B493" t="s">
        <v>1959</v>
      </c>
      <c r="C493">
        <v>11</v>
      </c>
      <c r="D493" t="s">
        <v>2927</v>
      </c>
      <c r="E493">
        <v>150</v>
      </c>
      <c r="G493" s="90" t="s">
        <v>2928</v>
      </c>
      <c r="I493">
        <v>49595</v>
      </c>
      <c r="J493" s="80" t="s">
        <v>2846</v>
      </c>
      <c r="K493" t="s">
        <v>767</v>
      </c>
      <c r="L493">
        <v>9008</v>
      </c>
      <c r="M493" t="s">
        <v>2238</v>
      </c>
      <c r="O493">
        <v>0.9</v>
      </c>
      <c r="P493" s="80" t="s">
        <v>2847</v>
      </c>
      <c r="Q493" t="s">
        <v>769</v>
      </c>
      <c r="R493">
        <v>9012</v>
      </c>
      <c r="S493" t="s">
        <v>2438</v>
      </c>
      <c r="U493">
        <v>0.5</v>
      </c>
      <c r="V493">
        <v>70001</v>
      </c>
      <c r="W493">
        <v>3</v>
      </c>
      <c r="X493">
        <v>1</v>
      </c>
      <c r="Y493">
        <v>70002</v>
      </c>
      <c r="Z493">
        <v>3</v>
      </c>
      <c r="AA493">
        <v>1</v>
      </c>
      <c r="AB493">
        <v>1001</v>
      </c>
      <c r="AC493">
        <v>100</v>
      </c>
      <c r="AD493">
        <v>1</v>
      </c>
      <c r="AE493">
        <v>8000</v>
      </c>
      <c r="AF493">
        <v>7600</v>
      </c>
      <c r="AG493">
        <v>1</v>
      </c>
    </row>
    <row r="494" spans="1:33" ht="38.25" customHeight="1">
      <c r="A494">
        <v>1388</v>
      </c>
      <c r="B494" t="s">
        <v>1959</v>
      </c>
      <c r="C494">
        <v>11</v>
      </c>
      <c r="D494" t="s">
        <v>2929</v>
      </c>
      <c r="E494">
        <v>150</v>
      </c>
      <c r="G494" s="90" t="s">
        <v>2930</v>
      </c>
      <c r="I494">
        <v>49720</v>
      </c>
      <c r="J494" s="80" t="s">
        <v>2846</v>
      </c>
      <c r="K494" t="s">
        <v>767</v>
      </c>
      <c r="L494">
        <v>9012</v>
      </c>
      <c r="M494" t="s">
        <v>2353</v>
      </c>
      <c r="O494">
        <v>0.8</v>
      </c>
      <c r="P494" s="80" t="s">
        <v>2847</v>
      </c>
      <c r="Q494" t="s">
        <v>769</v>
      </c>
      <c r="R494">
        <v>9008</v>
      </c>
      <c r="S494">
        <v>5</v>
      </c>
      <c r="U494">
        <v>0.3</v>
      </c>
      <c r="V494">
        <v>70001</v>
      </c>
      <c r="W494">
        <v>3</v>
      </c>
      <c r="X494">
        <v>1</v>
      </c>
      <c r="Y494">
        <v>70002</v>
      </c>
      <c r="Z494">
        <v>3</v>
      </c>
      <c r="AA494">
        <v>1</v>
      </c>
      <c r="AB494">
        <v>1001</v>
      </c>
      <c r="AC494">
        <v>100</v>
      </c>
      <c r="AD494">
        <v>1</v>
      </c>
      <c r="AE494">
        <v>8000</v>
      </c>
      <c r="AF494">
        <v>7650</v>
      </c>
      <c r="AG494">
        <v>1</v>
      </c>
    </row>
    <row r="495" spans="1:33" ht="38.25" customHeight="1">
      <c r="A495">
        <v>1389</v>
      </c>
      <c r="B495" t="s">
        <v>1959</v>
      </c>
      <c r="C495">
        <v>11</v>
      </c>
      <c r="D495" t="s">
        <v>2931</v>
      </c>
      <c r="E495">
        <v>150</v>
      </c>
      <c r="G495" s="90" t="s">
        <v>2932</v>
      </c>
      <c r="I495">
        <v>49845</v>
      </c>
      <c r="J495" s="80" t="s">
        <v>2846</v>
      </c>
      <c r="K495" t="s">
        <v>767</v>
      </c>
      <c r="L495">
        <v>9001</v>
      </c>
      <c r="M495" t="s">
        <v>1791</v>
      </c>
      <c r="O495">
        <v>0.9</v>
      </c>
      <c r="P495" s="80" t="s">
        <v>2847</v>
      </c>
      <c r="Q495" t="s">
        <v>769</v>
      </c>
      <c r="R495">
        <v>9011</v>
      </c>
      <c r="S495" t="s">
        <v>1668</v>
      </c>
      <c r="U495">
        <v>0.9</v>
      </c>
      <c r="V495">
        <v>70001</v>
      </c>
      <c r="W495">
        <v>3</v>
      </c>
      <c r="X495">
        <v>1</v>
      </c>
      <c r="Y495">
        <v>70002</v>
      </c>
      <c r="Z495">
        <v>3</v>
      </c>
      <c r="AA495">
        <v>1</v>
      </c>
      <c r="AB495">
        <v>1001</v>
      </c>
      <c r="AC495">
        <v>500</v>
      </c>
      <c r="AD495">
        <v>1</v>
      </c>
      <c r="AE495">
        <v>8000</v>
      </c>
      <c r="AF495">
        <v>7650</v>
      </c>
      <c r="AG495">
        <v>1</v>
      </c>
    </row>
    <row r="496" spans="1:33" ht="38.25" customHeight="1">
      <c r="A496">
        <v>1390</v>
      </c>
      <c r="B496" t="s">
        <v>1959</v>
      </c>
      <c r="C496">
        <v>11</v>
      </c>
      <c r="D496" t="s">
        <v>2933</v>
      </c>
      <c r="E496">
        <v>150</v>
      </c>
      <c r="G496" s="90" t="s">
        <v>2934</v>
      </c>
      <c r="I496">
        <v>49970</v>
      </c>
      <c r="J496" s="80" t="s">
        <v>2846</v>
      </c>
      <c r="K496" t="s">
        <v>767</v>
      </c>
      <c r="L496">
        <v>9001</v>
      </c>
      <c r="M496">
        <v>3</v>
      </c>
      <c r="O496">
        <v>0.2</v>
      </c>
      <c r="P496" s="80" t="s">
        <v>2847</v>
      </c>
      <c r="Q496" t="s">
        <v>769</v>
      </c>
      <c r="R496">
        <v>9008</v>
      </c>
      <c r="S496" t="s">
        <v>1794</v>
      </c>
      <c r="U496">
        <v>0.3</v>
      </c>
      <c r="V496">
        <v>70001</v>
      </c>
      <c r="W496">
        <v>3</v>
      </c>
      <c r="X496">
        <v>1</v>
      </c>
      <c r="Y496">
        <v>70002</v>
      </c>
      <c r="Z496">
        <v>3</v>
      </c>
      <c r="AA496">
        <v>1</v>
      </c>
      <c r="AB496">
        <v>1001</v>
      </c>
      <c r="AC496">
        <v>100</v>
      </c>
      <c r="AD496">
        <v>1</v>
      </c>
      <c r="AE496">
        <v>8000</v>
      </c>
      <c r="AF496">
        <v>7700</v>
      </c>
      <c r="AG496">
        <v>1</v>
      </c>
    </row>
    <row r="497" spans="1:33" ht="38.25" customHeight="1">
      <c r="A497">
        <v>1391</v>
      </c>
      <c r="B497" t="s">
        <v>1959</v>
      </c>
      <c r="C497">
        <v>11</v>
      </c>
      <c r="D497" t="s">
        <v>2935</v>
      </c>
      <c r="E497">
        <v>150</v>
      </c>
      <c r="G497" s="90" t="s">
        <v>2936</v>
      </c>
      <c r="I497">
        <v>50095</v>
      </c>
      <c r="J497" s="80" t="s">
        <v>2846</v>
      </c>
      <c r="K497" t="s">
        <v>767</v>
      </c>
      <c r="L497">
        <v>9012</v>
      </c>
      <c r="M497" t="s">
        <v>2741</v>
      </c>
      <c r="O497">
        <v>0.3</v>
      </c>
      <c r="P497" s="80" t="s">
        <v>2847</v>
      </c>
      <c r="Q497" t="s">
        <v>769</v>
      </c>
      <c r="R497">
        <v>9011</v>
      </c>
      <c r="S497" t="s">
        <v>1904</v>
      </c>
      <c r="U497">
        <v>0.3</v>
      </c>
      <c r="V497">
        <v>70001</v>
      </c>
      <c r="W497">
        <v>3</v>
      </c>
      <c r="X497">
        <v>1</v>
      </c>
      <c r="Y497">
        <v>70002</v>
      </c>
      <c r="Z497">
        <v>3</v>
      </c>
      <c r="AA497">
        <v>1</v>
      </c>
      <c r="AB497">
        <v>1001</v>
      </c>
      <c r="AC497">
        <v>100</v>
      </c>
      <c r="AD497">
        <v>1</v>
      </c>
      <c r="AE497">
        <v>8000</v>
      </c>
      <c r="AF497">
        <v>7700</v>
      </c>
      <c r="AG497">
        <v>1</v>
      </c>
    </row>
    <row r="498" spans="1:33" ht="38.25" customHeight="1">
      <c r="A498">
        <v>1392</v>
      </c>
      <c r="B498" t="s">
        <v>1959</v>
      </c>
      <c r="C498">
        <v>11</v>
      </c>
      <c r="D498" t="s">
        <v>2937</v>
      </c>
      <c r="E498">
        <v>150</v>
      </c>
      <c r="G498" s="90" t="s">
        <v>2938</v>
      </c>
      <c r="I498">
        <v>50220</v>
      </c>
      <c r="J498" s="80" t="s">
        <v>2846</v>
      </c>
      <c r="K498" t="s">
        <v>767</v>
      </c>
      <c r="L498">
        <v>9006</v>
      </c>
      <c r="M498">
        <v>8</v>
      </c>
      <c r="O498">
        <v>0.9</v>
      </c>
      <c r="P498" s="80" t="s">
        <v>2847</v>
      </c>
      <c r="Q498" t="s">
        <v>769</v>
      </c>
      <c r="R498">
        <v>9003</v>
      </c>
      <c r="S498" t="s">
        <v>2939</v>
      </c>
      <c r="U498">
        <v>0.9</v>
      </c>
      <c r="V498">
        <v>70001</v>
      </c>
      <c r="W498">
        <v>3</v>
      </c>
      <c r="X498">
        <v>1</v>
      </c>
      <c r="Y498">
        <v>70002</v>
      </c>
      <c r="Z498">
        <v>3</v>
      </c>
      <c r="AA498">
        <v>1</v>
      </c>
      <c r="AB498">
        <v>1001</v>
      </c>
      <c r="AC498">
        <v>100</v>
      </c>
      <c r="AD498">
        <v>1</v>
      </c>
      <c r="AE498">
        <v>8000</v>
      </c>
      <c r="AF498">
        <v>7750</v>
      </c>
      <c r="AG498">
        <v>1</v>
      </c>
    </row>
    <row r="499" spans="1:33" ht="38.25" customHeight="1">
      <c r="A499">
        <v>1393</v>
      </c>
      <c r="B499" t="s">
        <v>1959</v>
      </c>
      <c r="C499">
        <v>11</v>
      </c>
      <c r="D499" t="s">
        <v>2940</v>
      </c>
      <c r="E499">
        <v>150</v>
      </c>
      <c r="G499" s="90" t="s">
        <v>2941</v>
      </c>
      <c r="I499">
        <v>50345</v>
      </c>
      <c r="J499" s="80" t="s">
        <v>2846</v>
      </c>
      <c r="K499" t="s">
        <v>767</v>
      </c>
      <c r="L499">
        <v>9002</v>
      </c>
      <c r="M499">
        <v>13</v>
      </c>
      <c r="O499">
        <v>0.3</v>
      </c>
      <c r="P499" s="80" t="s">
        <v>2847</v>
      </c>
      <c r="Q499" t="s">
        <v>769</v>
      </c>
      <c r="R499">
        <v>9007</v>
      </c>
      <c r="S499" t="s">
        <v>1958</v>
      </c>
      <c r="U499">
        <v>0.3</v>
      </c>
      <c r="V499">
        <v>70001</v>
      </c>
      <c r="W499">
        <v>3</v>
      </c>
      <c r="X499">
        <v>1</v>
      </c>
      <c r="Y499">
        <v>70002</v>
      </c>
      <c r="Z499">
        <v>3</v>
      </c>
      <c r="AA499">
        <v>1</v>
      </c>
      <c r="AB499">
        <v>1001</v>
      </c>
      <c r="AC499">
        <v>100</v>
      </c>
      <c r="AD499">
        <v>1</v>
      </c>
      <c r="AE499">
        <v>8000</v>
      </c>
      <c r="AF499">
        <v>7750</v>
      </c>
      <c r="AG499">
        <v>1</v>
      </c>
    </row>
    <row r="500" spans="1:33" ht="38.25" customHeight="1">
      <c r="A500">
        <v>1394</v>
      </c>
      <c r="B500" t="s">
        <v>1959</v>
      </c>
      <c r="C500">
        <v>11</v>
      </c>
      <c r="D500" t="s">
        <v>2942</v>
      </c>
      <c r="E500">
        <v>150</v>
      </c>
      <c r="G500" s="90" t="s">
        <v>2943</v>
      </c>
      <c r="I500">
        <v>50470</v>
      </c>
      <c r="J500" s="80" t="s">
        <v>2846</v>
      </c>
      <c r="K500" t="s">
        <v>767</v>
      </c>
      <c r="L500">
        <v>9001</v>
      </c>
      <c r="M500" t="s">
        <v>1996</v>
      </c>
      <c r="O500">
        <v>0.7</v>
      </c>
      <c r="P500" s="80" t="s">
        <v>2847</v>
      </c>
      <c r="Q500" t="s">
        <v>769</v>
      </c>
      <c r="R500">
        <v>9008</v>
      </c>
      <c r="S500" t="s">
        <v>2326</v>
      </c>
      <c r="U500">
        <v>1</v>
      </c>
      <c r="V500">
        <v>70001</v>
      </c>
      <c r="W500">
        <v>3</v>
      </c>
      <c r="X500">
        <v>1</v>
      </c>
      <c r="Y500">
        <v>70002</v>
      </c>
      <c r="Z500">
        <v>3</v>
      </c>
      <c r="AA500">
        <v>1</v>
      </c>
      <c r="AB500">
        <v>1001</v>
      </c>
      <c r="AC500">
        <v>100</v>
      </c>
      <c r="AD500">
        <v>1</v>
      </c>
      <c r="AE500">
        <v>8000</v>
      </c>
      <c r="AF500">
        <v>7800</v>
      </c>
      <c r="AG500">
        <v>1</v>
      </c>
    </row>
    <row r="501" spans="1:33" ht="38.25" customHeight="1">
      <c r="A501">
        <v>1395</v>
      </c>
      <c r="B501" t="s">
        <v>1959</v>
      </c>
      <c r="C501">
        <v>11</v>
      </c>
      <c r="D501" t="s">
        <v>2944</v>
      </c>
      <c r="E501">
        <v>150</v>
      </c>
      <c r="G501" s="90" t="s">
        <v>2945</v>
      </c>
      <c r="I501">
        <v>50595</v>
      </c>
      <c r="J501" s="80" t="s">
        <v>2846</v>
      </c>
      <c r="K501" t="s">
        <v>767</v>
      </c>
      <c r="L501">
        <v>9011</v>
      </c>
      <c r="M501" t="s">
        <v>2314</v>
      </c>
      <c r="O501">
        <v>0.5</v>
      </c>
      <c r="P501" s="80" t="s">
        <v>2847</v>
      </c>
      <c r="Q501" t="s">
        <v>769</v>
      </c>
      <c r="R501">
        <v>9007</v>
      </c>
      <c r="S501" t="s">
        <v>1931</v>
      </c>
      <c r="U501">
        <v>0.9</v>
      </c>
      <c r="V501">
        <v>70001</v>
      </c>
      <c r="W501">
        <v>3</v>
      </c>
      <c r="X501">
        <v>1</v>
      </c>
      <c r="Y501">
        <v>70002</v>
      </c>
      <c r="Z501">
        <v>3</v>
      </c>
      <c r="AA501">
        <v>1</v>
      </c>
      <c r="AB501">
        <v>1001</v>
      </c>
      <c r="AC501">
        <v>100</v>
      </c>
      <c r="AD501">
        <v>1</v>
      </c>
      <c r="AE501">
        <v>8000</v>
      </c>
      <c r="AF501">
        <v>7800</v>
      </c>
      <c r="AG501">
        <v>1</v>
      </c>
    </row>
    <row r="502" spans="1:33" ht="38.25" customHeight="1">
      <c r="A502">
        <v>1396</v>
      </c>
      <c r="B502" t="s">
        <v>1959</v>
      </c>
      <c r="C502">
        <v>11</v>
      </c>
      <c r="D502" t="s">
        <v>2946</v>
      </c>
      <c r="E502">
        <v>150</v>
      </c>
      <c r="G502" s="90" t="s">
        <v>2947</v>
      </c>
      <c r="I502">
        <v>50720</v>
      </c>
      <c r="J502" s="80" t="s">
        <v>2846</v>
      </c>
      <c r="K502" t="s">
        <v>767</v>
      </c>
      <c r="L502">
        <v>9012</v>
      </c>
      <c r="M502" t="s">
        <v>2948</v>
      </c>
      <c r="O502">
        <v>0.3</v>
      </c>
      <c r="P502" s="80" t="s">
        <v>2847</v>
      </c>
      <c r="Q502" t="s">
        <v>769</v>
      </c>
      <c r="R502">
        <v>9003</v>
      </c>
      <c r="S502" t="s">
        <v>2008</v>
      </c>
      <c r="U502">
        <v>0.3</v>
      </c>
      <c r="V502">
        <v>70001</v>
      </c>
      <c r="W502">
        <v>3</v>
      </c>
      <c r="X502">
        <v>1</v>
      </c>
      <c r="Y502">
        <v>70002</v>
      </c>
      <c r="Z502">
        <v>3</v>
      </c>
      <c r="AA502">
        <v>1</v>
      </c>
      <c r="AB502">
        <v>1001</v>
      </c>
      <c r="AC502">
        <v>100</v>
      </c>
      <c r="AD502">
        <v>1</v>
      </c>
      <c r="AE502">
        <v>8000</v>
      </c>
      <c r="AF502">
        <v>7850</v>
      </c>
      <c r="AG502">
        <v>1</v>
      </c>
    </row>
    <row r="503" spans="1:33" ht="38.25" customHeight="1">
      <c r="A503">
        <v>1397</v>
      </c>
      <c r="B503" t="s">
        <v>1959</v>
      </c>
      <c r="C503">
        <v>11</v>
      </c>
      <c r="D503" t="s">
        <v>2949</v>
      </c>
      <c r="E503">
        <v>150</v>
      </c>
      <c r="G503" s="90" t="s">
        <v>2950</v>
      </c>
      <c r="I503">
        <v>50845</v>
      </c>
      <c r="J503" s="80" t="s">
        <v>2846</v>
      </c>
      <c r="K503" t="s">
        <v>767</v>
      </c>
      <c r="L503">
        <v>9006</v>
      </c>
      <c r="M503" t="s">
        <v>2232</v>
      </c>
      <c r="O503">
        <v>0.3</v>
      </c>
      <c r="P503" s="80" t="s">
        <v>2847</v>
      </c>
      <c r="Q503" t="s">
        <v>769</v>
      </c>
      <c r="R503">
        <v>9003</v>
      </c>
      <c r="S503" t="s">
        <v>2023</v>
      </c>
      <c r="U503">
        <v>0.6</v>
      </c>
      <c r="V503">
        <v>70001</v>
      </c>
      <c r="W503">
        <v>3</v>
      </c>
      <c r="X503">
        <v>1</v>
      </c>
      <c r="Y503">
        <v>70002</v>
      </c>
      <c r="Z503">
        <v>3</v>
      </c>
      <c r="AA503">
        <v>1</v>
      </c>
      <c r="AB503">
        <v>1001</v>
      </c>
      <c r="AC503">
        <v>100</v>
      </c>
      <c r="AD503">
        <v>1</v>
      </c>
      <c r="AE503">
        <v>8000</v>
      </c>
      <c r="AF503">
        <v>7850</v>
      </c>
      <c r="AG503">
        <v>1</v>
      </c>
    </row>
    <row r="504" spans="1:33" ht="38.25" customHeight="1">
      <c r="A504">
        <v>1398</v>
      </c>
      <c r="B504" t="s">
        <v>1959</v>
      </c>
      <c r="C504">
        <v>11</v>
      </c>
      <c r="D504" t="s">
        <v>2951</v>
      </c>
      <c r="E504">
        <v>150</v>
      </c>
      <c r="G504" s="90" t="s">
        <v>2952</v>
      </c>
      <c r="I504">
        <v>50970</v>
      </c>
      <c r="J504" s="80" t="s">
        <v>2846</v>
      </c>
      <c r="K504" t="s">
        <v>767</v>
      </c>
      <c r="L504">
        <v>9006</v>
      </c>
      <c r="M504" t="s">
        <v>1855</v>
      </c>
      <c r="O504">
        <v>0.2</v>
      </c>
      <c r="P504" s="80" t="s">
        <v>2847</v>
      </c>
      <c r="Q504" t="s">
        <v>769</v>
      </c>
      <c r="R504">
        <v>9004</v>
      </c>
      <c r="S504" t="s">
        <v>2250</v>
      </c>
      <c r="U504">
        <v>0.7</v>
      </c>
      <c r="V504">
        <v>70001</v>
      </c>
      <c r="W504">
        <v>3</v>
      </c>
      <c r="X504">
        <v>1</v>
      </c>
      <c r="Y504">
        <v>70002</v>
      </c>
      <c r="Z504">
        <v>3</v>
      </c>
      <c r="AA504">
        <v>1</v>
      </c>
      <c r="AB504">
        <v>1001</v>
      </c>
      <c r="AC504">
        <v>100</v>
      </c>
      <c r="AD504">
        <v>1</v>
      </c>
      <c r="AE504">
        <v>8000</v>
      </c>
      <c r="AF504">
        <v>7900</v>
      </c>
      <c r="AG504">
        <v>1</v>
      </c>
    </row>
    <row r="505" spans="1:33" ht="38.25" customHeight="1">
      <c r="A505">
        <v>1399</v>
      </c>
      <c r="B505" t="s">
        <v>1959</v>
      </c>
      <c r="C505">
        <v>11</v>
      </c>
      <c r="D505" t="s">
        <v>2953</v>
      </c>
      <c r="E505">
        <v>150</v>
      </c>
      <c r="G505" s="90" t="s">
        <v>2954</v>
      </c>
      <c r="I505">
        <v>51095</v>
      </c>
      <c r="J505" s="80" t="s">
        <v>2846</v>
      </c>
      <c r="K505" t="s">
        <v>767</v>
      </c>
      <c r="L505">
        <v>9001</v>
      </c>
      <c r="M505" t="s">
        <v>2955</v>
      </c>
      <c r="O505">
        <v>0.5</v>
      </c>
      <c r="P505" s="80" t="s">
        <v>2847</v>
      </c>
      <c r="Q505" t="s">
        <v>769</v>
      </c>
      <c r="R505">
        <v>9012</v>
      </c>
      <c r="S505" t="s">
        <v>2055</v>
      </c>
      <c r="U505">
        <v>0.3</v>
      </c>
      <c r="V505">
        <v>70001</v>
      </c>
      <c r="W505">
        <v>3</v>
      </c>
      <c r="X505">
        <v>1</v>
      </c>
      <c r="Y505">
        <v>70002</v>
      </c>
      <c r="Z505">
        <v>3</v>
      </c>
      <c r="AA505">
        <v>1</v>
      </c>
      <c r="AB505">
        <v>1001</v>
      </c>
      <c r="AC505">
        <v>100</v>
      </c>
      <c r="AD505">
        <v>1</v>
      </c>
      <c r="AE505">
        <v>8000</v>
      </c>
      <c r="AF505">
        <v>7900</v>
      </c>
      <c r="AG505">
        <v>1</v>
      </c>
    </row>
    <row r="506" spans="1:33" ht="38.25" customHeight="1">
      <c r="A506">
        <v>1400</v>
      </c>
      <c r="B506" t="s">
        <v>1959</v>
      </c>
      <c r="C506">
        <v>12</v>
      </c>
      <c r="D506" t="s">
        <v>2956</v>
      </c>
      <c r="E506">
        <v>150</v>
      </c>
      <c r="G506" s="90" t="s">
        <v>2957</v>
      </c>
      <c r="I506">
        <v>51220</v>
      </c>
      <c r="J506" s="80" t="s">
        <v>2958</v>
      </c>
      <c r="K506" t="s">
        <v>767</v>
      </c>
      <c r="L506">
        <v>9005</v>
      </c>
      <c r="M506">
        <v>10</v>
      </c>
      <c r="O506">
        <v>0.3</v>
      </c>
      <c r="P506" s="80" t="s">
        <v>2959</v>
      </c>
      <c r="Q506" t="s">
        <v>769</v>
      </c>
      <c r="R506">
        <v>9008</v>
      </c>
      <c r="S506">
        <v>6</v>
      </c>
      <c r="U506">
        <v>0.9</v>
      </c>
      <c r="V506">
        <v>70001</v>
      </c>
      <c r="W506">
        <v>3</v>
      </c>
      <c r="X506">
        <v>1</v>
      </c>
      <c r="Y506">
        <v>70002</v>
      </c>
      <c r="Z506">
        <v>3</v>
      </c>
      <c r="AA506">
        <v>1</v>
      </c>
      <c r="AB506">
        <v>1001</v>
      </c>
      <c r="AC506">
        <v>100</v>
      </c>
      <c r="AD506">
        <v>1</v>
      </c>
      <c r="AE506">
        <v>8000</v>
      </c>
      <c r="AF506">
        <v>7950</v>
      </c>
      <c r="AG506">
        <v>1</v>
      </c>
    </row>
    <row r="507" spans="1:33" ht="38.25" customHeight="1">
      <c r="A507">
        <v>1401</v>
      </c>
      <c r="B507" t="s">
        <v>1959</v>
      </c>
      <c r="C507">
        <v>12</v>
      </c>
      <c r="D507" t="s">
        <v>2960</v>
      </c>
      <c r="E507">
        <v>150</v>
      </c>
      <c r="G507" s="90" t="s">
        <v>2961</v>
      </c>
      <c r="I507">
        <v>51345</v>
      </c>
      <c r="J507" s="80" t="s">
        <v>2958</v>
      </c>
      <c r="K507" t="s">
        <v>767</v>
      </c>
      <c r="L507">
        <v>9006</v>
      </c>
      <c r="M507">
        <v>8</v>
      </c>
      <c r="O507">
        <v>0.5</v>
      </c>
      <c r="P507" s="80" t="s">
        <v>2959</v>
      </c>
      <c r="Q507" t="s">
        <v>769</v>
      </c>
      <c r="R507">
        <v>9011</v>
      </c>
      <c r="S507" t="s">
        <v>2134</v>
      </c>
      <c r="U507">
        <v>0.2</v>
      </c>
      <c r="V507">
        <v>70001</v>
      </c>
      <c r="W507">
        <v>3</v>
      </c>
      <c r="X507">
        <v>1</v>
      </c>
      <c r="Y507">
        <v>70002</v>
      </c>
      <c r="Z507">
        <v>3</v>
      </c>
      <c r="AA507">
        <v>1</v>
      </c>
      <c r="AB507">
        <v>1001</v>
      </c>
      <c r="AC507">
        <v>100</v>
      </c>
      <c r="AD507">
        <v>1</v>
      </c>
      <c r="AE507">
        <v>8000</v>
      </c>
      <c r="AF507">
        <v>7950</v>
      </c>
      <c r="AG507">
        <v>1</v>
      </c>
    </row>
    <row r="508" spans="1:33" ht="38.25" customHeight="1">
      <c r="A508">
        <v>1402</v>
      </c>
      <c r="B508" t="s">
        <v>1959</v>
      </c>
      <c r="C508">
        <v>12</v>
      </c>
      <c r="D508" t="s">
        <v>2962</v>
      </c>
      <c r="E508">
        <v>150</v>
      </c>
      <c r="G508" s="90" t="s">
        <v>2963</v>
      </c>
      <c r="I508">
        <v>51470</v>
      </c>
      <c r="J508" s="80" t="s">
        <v>2958</v>
      </c>
      <c r="K508" t="s">
        <v>767</v>
      </c>
      <c r="L508">
        <v>9011</v>
      </c>
      <c r="M508" t="s">
        <v>1701</v>
      </c>
      <c r="O508">
        <v>0.5</v>
      </c>
      <c r="P508" s="80" t="s">
        <v>2959</v>
      </c>
      <c r="Q508" t="s">
        <v>769</v>
      </c>
      <c r="R508">
        <v>9008</v>
      </c>
      <c r="S508" t="s">
        <v>2454</v>
      </c>
      <c r="U508">
        <v>0.8</v>
      </c>
      <c r="V508">
        <v>70001</v>
      </c>
      <c r="W508">
        <v>3</v>
      </c>
      <c r="X508">
        <v>1</v>
      </c>
      <c r="Y508">
        <v>70002</v>
      </c>
      <c r="Z508">
        <v>3</v>
      </c>
      <c r="AA508">
        <v>1</v>
      </c>
      <c r="AB508">
        <v>1001</v>
      </c>
      <c r="AC508">
        <v>100</v>
      </c>
      <c r="AD508">
        <v>1</v>
      </c>
      <c r="AE508">
        <v>8000</v>
      </c>
      <c r="AF508">
        <v>8000</v>
      </c>
      <c r="AG508">
        <v>1</v>
      </c>
    </row>
    <row r="509" spans="1:33" ht="38.25" customHeight="1">
      <c r="A509">
        <v>1403</v>
      </c>
      <c r="B509" t="s">
        <v>1959</v>
      </c>
      <c r="C509">
        <v>12</v>
      </c>
      <c r="D509" t="s">
        <v>2964</v>
      </c>
      <c r="E509">
        <v>150</v>
      </c>
      <c r="G509" s="90" t="s">
        <v>2957</v>
      </c>
      <c r="I509">
        <v>51595</v>
      </c>
      <c r="J509" s="80" t="s">
        <v>2958</v>
      </c>
      <c r="K509" t="s">
        <v>767</v>
      </c>
      <c r="L509">
        <v>9002</v>
      </c>
      <c r="M509">
        <v>1</v>
      </c>
      <c r="O509">
        <v>0.6</v>
      </c>
      <c r="P509" s="80" t="s">
        <v>2959</v>
      </c>
      <c r="Q509" t="s">
        <v>769</v>
      </c>
      <c r="R509">
        <v>9011</v>
      </c>
      <c r="S509" t="s">
        <v>2058</v>
      </c>
      <c r="U509">
        <v>0.3</v>
      </c>
      <c r="V509">
        <v>70001</v>
      </c>
      <c r="W509">
        <v>3</v>
      </c>
      <c r="X509">
        <v>1</v>
      </c>
      <c r="Y509">
        <v>70002</v>
      </c>
      <c r="Z509">
        <v>3</v>
      </c>
      <c r="AA509">
        <v>1</v>
      </c>
      <c r="AB509">
        <v>1001</v>
      </c>
      <c r="AC509">
        <v>100</v>
      </c>
      <c r="AD509">
        <v>1</v>
      </c>
      <c r="AE509">
        <v>8000</v>
      </c>
      <c r="AF509">
        <v>8000</v>
      </c>
      <c r="AG509">
        <v>1</v>
      </c>
    </row>
    <row r="510" spans="1:33" ht="38.25" customHeight="1">
      <c r="A510">
        <v>1404</v>
      </c>
      <c r="B510" t="s">
        <v>1959</v>
      </c>
      <c r="C510">
        <v>12</v>
      </c>
      <c r="D510" t="s">
        <v>2965</v>
      </c>
      <c r="E510">
        <v>150</v>
      </c>
      <c r="G510" s="90" t="s">
        <v>2963</v>
      </c>
      <c r="I510">
        <v>51720</v>
      </c>
      <c r="J510" s="80" t="s">
        <v>2958</v>
      </c>
      <c r="K510" t="s">
        <v>767</v>
      </c>
      <c r="L510">
        <v>9008</v>
      </c>
      <c r="M510">
        <v>4</v>
      </c>
      <c r="O510">
        <v>0.3</v>
      </c>
      <c r="P510" s="80" t="s">
        <v>2959</v>
      </c>
      <c r="Q510" t="s">
        <v>769</v>
      </c>
      <c r="R510">
        <v>9012</v>
      </c>
      <c r="S510">
        <v>13</v>
      </c>
      <c r="U510">
        <v>0.7</v>
      </c>
      <c r="V510">
        <v>70001</v>
      </c>
      <c r="W510">
        <v>3</v>
      </c>
      <c r="X510">
        <v>1</v>
      </c>
      <c r="Y510">
        <v>70002</v>
      </c>
      <c r="Z510">
        <v>3</v>
      </c>
      <c r="AA510">
        <v>1</v>
      </c>
      <c r="AB510">
        <v>1001</v>
      </c>
      <c r="AC510">
        <v>100</v>
      </c>
      <c r="AD510">
        <v>1</v>
      </c>
      <c r="AE510">
        <v>8000</v>
      </c>
      <c r="AF510">
        <v>8050</v>
      </c>
      <c r="AG510">
        <v>1</v>
      </c>
    </row>
    <row r="511" spans="1:33" ht="38.25" customHeight="1">
      <c r="A511">
        <v>1405</v>
      </c>
      <c r="B511" t="s">
        <v>1959</v>
      </c>
      <c r="C511">
        <v>12</v>
      </c>
      <c r="D511" t="s">
        <v>2966</v>
      </c>
      <c r="E511">
        <v>150</v>
      </c>
      <c r="G511" s="90" t="s">
        <v>2967</v>
      </c>
      <c r="I511">
        <v>51845</v>
      </c>
      <c r="J511" s="80" t="s">
        <v>2958</v>
      </c>
      <c r="K511" t="s">
        <v>767</v>
      </c>
      <c r="L511">
        <v>9008</v>
      </c>
      <c r="M511" t="s">
        <v>1801</v>
      </c>
      <c r="O511">
        <v>0.8</v>
      </c>
      <c r="P511" s="80" t="s">
        <v>2959</v>
      </c>
      <c r="Q511" t="s">
        <v>769</v>
      </c>
      <c r="R511">
        <v>9010</v>
      </c>
      <c r="S511">
        <v>6</v>
      </c>
      <c r="U511">
        <v>0.7</v>
      </c>
      <c r="V511">
        <v>70001</v>
      </c>
      <c r="W511">
        <v>3</v>
      </c>
      <c r="X511">
        <v>1</v>
      </c>
      <c r="Y511">
        <v>70002</v>
      </c>
      <c r="Z511">
        <v>3</v>
      </c>
      <c r="AA511">
        <v>1</v>
      </c>
      <c r="AB511">
        <v>1001</v>
      </c>
      <c r="AC511">
        <v>100</v>
      </c>
      <c r="AD511">
        <v>1</v>
      </c>
      <c r="AE511">
        <v>8000</v>
      </c>
      <c r="AF511">
        <v>8050</v>
      </c>
      <c r="AG511">
        <v>1</v>
      </c>
    </row>
    <row r="512" spans="1:33" ht="38.25" customHeight="1">
      <c r="A512">
        <v>1406</v>
      </c>
      <c r="B512" t="s">
        <v>1959</v>
      </c>
      <c r="C512">
        <v>12</v>
      </c>
      <c r="D512" t="s">
        <v>2968</v>
      </c>
      <c r="E512">
        <v>150</v>
      </c>
      <c r="G512" s="90" t="s">
        <v>2969</v>
      </c>
      <c r="I512">
        <v>51970</v>
      </c>
      <c r="J512" s="80" t="s">
        <v>2958</v>
      </c>
      <c r="K512" t="s">
        <v>767</v>
      </c>
      <c r="L512">
        <v>9005</v>
      </c>
      <c r="M512">
        <v>12</v>
      </c>
      <c r="O512">
        <v>0.3</v>
      </c>
      <c r="P512" s="80" t="s">
        <v>2959</v>
      </c>
      <c r="Q512" t="s">
        <v>769</v>
      </c>
      <c r="R512">
        <v>9003</v>
      </c>
      <c r="S512">
        <v>3</v>
      </c>
      <c r="U512">
        <v>0.7</v>
      </c>
      <c r="V512">
        <v>70001</v>
      </c>
      <c r="W512">
        <v>3</v>
      </c>
      <c r="X512">
        <v>1</v>
      </c>
      <c r="Y512">
        <v>70002</v>
      </c>
      <c r="Z512">
        <v>3</v>
      </c>
      <c r="AA512">
        <v>1</v>
      </c>
      <c r="AB512">
        <v>1001</v>
      </c>
      <c r="AC512">
        <v>100</v>
      </c>
      <c r="AD512">
        <v>1</v>
      </c>
      <c r="AE512">
        <v>8000</v>
      </c>
      <c r="AF512">
        <v>8100</v>
      </c>
      <c r="AG512">
        <v>1</v>
      </c>
    </row>
    <row r="513" spans="1:33" ht="38.25" customHeight="1">
      <c r="A513">
        <v>1407</v>
      </c>
      <c r="B513" t="s">
        <v>1959</v>
      </c>
      <c r="C513">
        <v>12</v>
      </c>
      <c r="D513" t="s">
        <v>2970</v>
      </c>
      <c r="E513">
        <v>150</v>
      </c>
      <c r="G513" s="90" t="s">
        <v>2971</v>
      </c>
      <c r="I513">
        <v>52095</v>
      </c>
      <c r="J513" s="80" t="s">
        <v>2958</v>
      </c>
      <c r="K513" t="s">
        <v>767</v>
      </c>
      <c r="L513">
        <v>9008</v>
      </c>
      <c r="M513" t="s">
        <v>2235</v>
      </c>
      <c r="O513">
        <v>0.2</v>
      </c>
      <c r="P513" s="80" t="s">
        <v>2959</v>
      </c>
      <c r="Q513" t="s">
        <v>769</v>
      </c>
      <c r="R513">
        <v>9010</v>
      </c>
      <c r="S513" t="s">
        <v>2972</v>
      </c>
      <c r="U513">
        <v>0.4</v>
      </c>
      <c r="V513">
        <v>70001</v>
      </c>
      <c r="W513">
        <v>3</v>
      </c>
      <c r="X513">
        <v>1</v>
      </c>
      <c r="Y513">
        <v>70002</v>
      </c>
      <c r="Z513">
        <v>3</v>
      </c>
      <c r="AA513">
        <v>1</v>
      </c>
      <c r="AB513">
        <v>1001</v>
      </c>
      <c r="AC513">
        <v>100</v>
      </c>
      <c r="AD513">
        <v>1</v>
      </c>
      <c r="AE513">
        <v>8000</v>
      </c>
      <c r="AF513">
        <v>8100</v>
      </c>
      <c r="AG513">
        <v>1</v>
      </c>
    </row>
    <row r="514" spans="1:33" ht="38.25" customHeight="1">
      <c r="A514">
        <v>1408</v>
      </c>
      <c r="B514" t="s">
        <v>1959</v>
      </c>
      <c r="C514">
        <v>12</v>
      </c>
      <c r="D514" t="s">
        <v>2973</v>
      </c>
      <c r="E514">
        <v>150</v>
      </c>
      <c r="G514" s="90" t="s">
        <v>2974</v>
      </c>
      <c r="I514">
        <v>52220</v>
      </c>
      <c r="J514" s="80" t="s">
        <v>2958</v>
      </c>
      <c r="K514" t="s">
        <v>767</v>
      </c>
      <c r="L514">
        <v>9008</v>
      </c>
      <c r="M514" t="s">
        <v>1781</v>
      </c>
      <c r="O514">
        <v>0.3</v>
      </c>
      <c r="P514" s="80" t="s">
        <v>2959</v>
      </c>
      <c r="Q514" t="s">
        <v>769</v>
      </c>
      <c r="R514">
        <v>9004</v>
      </c>
      <c r="S514" t="s">
        <v>1978</v>
      </c>
      <c r="U514">
        <v>0.6</v>
      </c>
      <c r="V514">
        <v>70001</v>
      </c>
      <c r="W514">
        <v>3</v>
      </c>
      <c r="X514">
        <v>1</v>
      </c>
      <c r="Y514">
        <v>70002</v>
      </c>
      <c r="Z514">
        <v>3</v>
      </c>
      <c r="AA514">
        <v>1</v>
      </c>
      <c r="AB514">
        <v>1001</v>
      </c>
      <c r="AC514">
        <v>100</v>
      </c>
      <c r="AD514">
        <v>1</v>
      </c>
      <c r="AE514">
        <v>8000</v>
      </c>
      <c r="AF514">
        <v>8150</v>
      </c>
      <c r="AG514">
        <v>1</v>
      </c>
    </row>
    <row r="515" spans="1:33" ht="38.25" customHeight="1">
      <c r="A515">
        <v>1409</v>
      </c>
      <c r="B515" t="s">
        <v>1959</v>
      </c>
      <c r="C515">
        <v>12</v>
      </c>
      <c r="D515" t="s">
        <v>2975</v>
      </c>
      <c r="E515">
        <v>150</v>
      </c>
      <c r="G515" s="90" t="s">
        <v>2976</v>
      </c>
      <c r="I515">
        <v>52345</v>
      </c>
      <c r="J515" s="80" t="s">
        <v>2958</v>
      </c>
      <c r="K515" t="s">
        <v>767</v>
      </c>
      <c r="L515">
        <v>9011</v>
      </c>
      <c r="M515" t="s">
        <v>1780</v>
      </c>
      <c r="O515">
        <v>0.9</v>
      </c>
      <c r="P515" s="80" t="s">
        <v>2959</v>
      </c>
      <c r="Q515" t="s">
        <v>769</v>
      </c>
      <c r="R515">
        <v>9003</v>
      </c>
      <c r="S515" t="s">
        <v>1669</v>
      </c>
      <c r="U515">
        <v>0.2</v>
      </c>
      <c r="V515">
        <v>70001</v>
      </c>
      <c r="W515">
        <v>3</v>
      </c>
      <c r="X515">
        <v>1</v>
      </c>
      <c r="Y515">
        <v>70002</v>
      </c>
      <c r="Z515">
        <v>3</v>
      </c>
      <c r="AA515">
        <v>1</v>
      </c>
      <c r="AB515">
        <v>1001</v>
      </c>
      <c r="AC515">
        <v>100</v>
      </c>
      <c r="AD515">
        <v>1</v>
      </c>
      <c r="AE515">
        <v>8000</v>
      </c>
      <c r="AF515">
        <v>8150</v>
      </c>
      <c r="AG515">
        <v>1</v>
      </c>
    </row>
    <row r="516" spans="1:33" ht="38.25" customHeight="1">
      <c r="A516">
        <v>1410</v>
      </c>
      <c r="B516" t="s">
        <v>1959</v>
      </c>
      <c r="C516">
        <v>12</v>
      </c>
      <c r="D516" t="s">
        <v>2977</v>
      </c>
      <c r="E516">
        <v>150</v>
      </c>
      <c r="G516" s="90" t="s">
        <v>2978</v>
      </c>
      <c r="I516">
        <v>52470</v>
      </c>
      <c r="J516" s="80" t="s">
        <v>2958</v>
      </c>
      <c r="K516" t="s">
        <v>767</v>
      </c>
      <c r="L516">
        <v>9011</v>
      </c>
      <c r="M516" t="s">
        <v>1931</v>
      </c>
      <c r="O516">
        <v>0.7</v>
      </c>
      <c r="P516" s="80" t="s">
        <v>2959</v>
      </c>
      <c r="Q516" t="s">
        <v>769</v>
      </c>
      <c r="R516">
        <v>9011</v>
      </c>
      <c r="S516" t="s">
        <v>1734</v>
      </c>
      <c r="U516">
        <v>0.5</v>
      </c>
      <c r="V516">
        <v>70001</v>
      </c>
      <c r="W516">
        <v>3</v>
      </c>
      <c r="X516">
        <v>1</v>
      </c>
      <c r="Y516">
        <v>70002</v>
      </c>
      <c r="Z516">
        <v>3</v>
      </c>
      <c r="AA516">
        <v>1</v>
      </c>
      <c r="AB516">
        <v>1001</v>
      </c>
      <c r="AC516">
        <v>100</v>
      </c>
      <c r="AD516">
        <v>1</v>
      </c>
      <c r="AE516">
        <v>8000</v>
      </c>
      <c r="AF516">
        <v>8200</v>
      </c>
      <c r="AG516">
        <v>1</v>
      </c>
    </row>
    <row r="517" spans="1:33" ht="38.25" customHeight="1">
      <c r="A517">
        <v>1411</v>
      </c>
      <c r="B517" t="s">
        <v>1959</v>
      </c>
      <c r="C517">
        <v>12</v>
      </c>
      <c r="D517" t="s">
        <v>2979</v>
      </c>
      <c r="E517">
        <v>150</v>
      </c>
      <c r="G517" s="90" t="s">
        <v>2969</v>
      </c>
      <c r="I517">
        <v>52595</v>
      </c>
      <c r="J517" s="80" t="s">
        <v>2958</v>
      </c>
      <c r="K517" t="s">
        <v>767</v>
      </c>
      <c r="L517">
        <v>9001</v>
      </c>
      <c r="M517">
        <v>2</v>
      </c>
      <c r="O517">
        <v>0.9</v>
      </c>
      <c r="P517" s="80" t="s">
        <v>2959</v>
      </c>
      <c r="Q517" t="s">
        <v>769</v>
      </c>
      <c r="R517">
        <v>9011</v>
      </c>
      <c r="S517">
        <v>11</v>
      </c>
      <c r="U517">
        <v>0.6</v>
      </c>
      <c r="V517">
        <v>70001</v>
      </c>
      <c r="W517">
        <v>3</v>
      </c>
      <c r="X517">
        <v>1</v>
      </c>
      <c r="Y517">
        <v>70002</v>
      </c>
      <c r="Z517">
        <v>3</v>
      </c>
      <c r="AA517">
        <v>1</v>
      </c>
      <c r="AB517">
        <v>1001</v>
      </c>
      <c r="AC517">
        <v>100</v>
      </c>
      <c r="AD517">
        <v>1</v>
      </c>
      <c r="AE517">
        <v>8000</v>
      </c>
      <c r="AF517">
        <v>8200</v>
      </c>
      <c r="AG517">
        <v>1</v>
      </c>
    </row>
    <row r="518" spans="1:33" ht="38.25" customHeight="1">
      <c r="A518">
        <v>1412</v>
      </c>
      <c r="B518" t="s">
        <v>1959</v>
      </c>
      <c r="C518">
        <v>12</v>
      </c>
      <c r="D518" t="s">
        <v>2980</v>
      </c>
      <c r="E518">
        <v>150</v>
      </c>
      <c r="G518" s="90" t="s">
        <v>2981</v>
      </c>
      <c r="I518">
        <v>52720</v>
      </c>
      <c r="J518" s="80" t="s">
        <v>2958</v>
      </c>
      <c r="K518" t="s">
        <v>767</v>
      </c>
      <c r="L518">
        <v>9002</v>
      </c>
      <c r="M518" t="s">
        <v>1819</v>
      </c>
      <c r="O518">
        <v>0.5</v>
      </c>
      <c r="P518" s="80" t="s">
        <v>2959</v>
      </c>
      <c r="Q518" t="s">
        <v>769</v>
      </c>
      <c r="R518">
        <v>9011</v>
      </c>
      <c r="S518" t="s">
        <v>1858</v>
      </c>
      <c r="U518">
        <v>0.3</v>
      </c>
      <c r="V518">
        <v>70001</v>
      </c>
      <c r="W518">
        <v>3</v>
      </c>
      <c r="X518">
        <v>1</v>
      </c>
      <c r="Y518">
        <v>70002</v>
      </c>
      <c r="Z518">
        <v>3</v>
      </c>
      <c r="AA518">
        <v>1</v>
      </c>
      <c r="AB518">
        <v>1001</v>
      </c>
      <c r="AC518">
        <v>100</v>
      </c>
      <c r="AD518">
        <v>1</v>
      </c>
      <c r="AE518">
        <v>8000</v>
      </c>
      <c r="AF518">
        <v>8250</v>
      </c>
      <c r="AG518">
        <v>1</v>
      </c>
    </row>
    <row r="519" spans="1:33" ht="38.25" customHeight="1">
      <c r="A519">
        <v>1413</v>
      </c>
      <c r="B519" t="s">
        <v>1959</v>
      </c>
      <c r="C519">
        <v>12</v>
      </c>
      <c r="D519" t="s">
        <v>2982</v>
      </c>
      <c r="E519">
        <v>150</v>
      </c>
      <c r="G519" s="90" t="s">
        <v>2983</v>
      </c>
      <c r="I519">
        <v>52845</v>
      </c>
      <c r="J519" s="80" t="s">
        <v>2958</v>
      </c>
      <c r="K519" t="s">
        <v>767</v>
      </c>
      <c r="L519">
        <v>9007</v>
      </c>
      <c r="M519">
        <v>11</v>
      </c>
      <c r="O519">
        <v>0.3</v>
      </c>
      <c r="P519" s="80" t="s">
        <v>2959</v>
      </c>
      <c r="Q519" t="s">
        <v>769</v>
      </c>
      <c r="R519">
        <v>9008</v>
      </c>
      <c r="S519">
        <v>9</v>
      </c>
      <c r="U519">
        <v>0.9</v>
      </c>
      <c r="V519">
        <v>70001</v>
      </c>
      <c r="W519">
        <v>3</v>
      </c>
      <c r="X519">
        <v>1</v>
      </c>
      <c r="Y519">
        <v>70002</v>
      </c>
      <c r="Z519">
        <v>3</v>
      </c>
      <c r="AA519">
        <v>1</v>
      </c>
      <c r="AB519">
        <v>1001</v>
      </c>
      <c r="AC519">
        <v>100</v>
      </c>
      <c r="AD519">
        <v>1</v>
      </c>
      <c r="AE519">
        <v>8000</v>
      </c>
      <c r="AF519">
        <v>8250</v>
      </c>
      <c r="AG519">
        <v>1</v>
      </c>
    </row>
    <row r="520" spans="1:33" ht="38.25" customHeight="1">
      <c r="A520">
        <v>1414</v>
      </c>
      <c r="B520" t="s">
        <v>1959</v>
      </c>
      <c r="C520">
        <v>12</v>
      </c>
      <c r="D520" t="s">
        <v>2984</v>
      </c>
      <c r="E520">
        <v>150</v>
      </c>
      <c r="G520" s="90" t="s">
        <v>2985</v>
      </c>
      <c r="I520">
        <v>52970</v>
      </c>
      <c r="J520" s="80" t="s">
        <v>2958</v>
      </c>
      <c r="K520" t="s">
        <v>767</v>
      </c>
      <c r="L520">
        <v>9001</v>
      </c>
      <c r="M520">
        <v>3</v>
      </c>
      <c r="O520">
        <v>0.1</v>
      </c>
      <c r="P520" s="80" t="s">
        <v>2959</v>
      </c>
      <c r="Q520" t="s">
        <v>769</v>
      </c>
      <c r="R520">
        <v>9012</v>
      </c>
      <c r="S520">
        <v>4</v>
      </c>
      <c r="U520">
        <v>0.5</v>
      </c>
      <c r="V520">
        <v>70001</v>
      </c>
      <c r="W520">
        <v>3</v>
      </c>
      <c r="X520">
        <v>1</v>
      </c>
      <c r="Y520">
        <v>70002</v>
      </c>
      <c r="Z520">
        <v>3</v>
      </c>
      <c r="AA520">
        <v>1</v>
      </c>
      <c r="AB520">
        <v>1001</v>
      </c>
      <c r="AC520">
        <v>100</v>
      </c>
      <c r="AD520">
        <v>1</v>
      </c>
      <c r="AE520">
        <v>8000</v>
      </c>
      <c r="AF520">
        <v>8300</v>
      </c>
      <c r="AG520">
        <v>1</v>
      </c>
    </row>
    <row r="521" spans="1:33" ht="38.25" customHeight="1">
      <c r="A521">
        <v>1415</v>
      </c>
      <c r="B521" t="s">
        <v>1959</v>
      </c>
      <c r="C521">
        <v>12</v>
      </c>
      <c r="D521" t="s">
        <v>2986</v>
      </c>
      <c r="E521">
        <v>150</v>
      </c>
      <c r="G521" s="90" t="s">
        <v>2987</v>
      </c>
      <c r="I521">
        <v>53095</v>
      </c>
      <c r="J521" s="80" t="s">
        <v>2958</v>
      </c>
      <c r="K521" t="s">
        <v>767</v>
      </c>
      <c r="L521">
        <v>9001</v>
      </c>
      <c r="M521">
        <v>13</v>
      </c>
      <c r="O521">
        <v>0.8</v>
      </c>
      <c r="P521" s="80" t="s">
        <v>2959</v>
      </c>
      <c r="Q521" t="s">
        <v>769</v>
      </c>
      <c r="R521">
        <v>9003</v>
      </c>
      <c r="S521" t="s">
        <v>1907</v>
      </c>
      <c r="U521">
        <v>0.4</v>
      </c>
      <c r="V521">
        <v>70001</v>
      </c>
      <c r="W521">
        <v>3</v>
      </c>
      <c r="X521">
        <v>1</v>
      </c>
      <c r="Y521">
        <v>70002</v>
      </c>
      <c r="Z521">
        <v>3</v>
      </c>
      <c r="AA521">
        <v>1</v>
      </c>
      <c r="AB521">
        <v>1001</v>
      </c>
      <c r="AC521">
        <v>100</v>
      </c>
      <c r="AD521">
        <v>1</v>
      </c>
      <c r="AE521">
        <v>8000</v>
      </c>
      <c r="AF521">
        <v>8300</v>
      </c>
      <c r="AG521">
        <v>1</v>
      </c>
    </row>
    <row r="522" spans="1:33" ht="38.25" customHeight="1">
      <c r="A522">
        <v>1416</v>
      </c>
      <c r="B522" t="s">
        <v>1959</v>
      </c>
      <c r="C522">
        <v>12</v>
      </c>
      <c r="D522" t="s">
        <v>2988</v>
      </c>
      <c r="E522">
        <v>150</v>
      </c>
      <c r="G522" s="90" t="s">
        <v>2989</v>
      </c>
      <c r="I522">
        <v>53220</v>
      </c>
      <c r="J522" s="80" t="s">
        <v>2958</v>
      </c>
      <c r="K522" t="s">
        <v>767</v>
      </c>
      <c r="L522">
        <v>9005</v>
      </c>
      <c r="M522" t="s">
        <v>1815</v>
      </c>
      <c r="O522">
        <v>0.1</v>
      </c>
      <c r="P522" s="80" t="s">
        <v>2959</v>
      </c>
      <c r="Q522" t="s">
        <v>769</v>
      </c>
      <c r="R522">
        <v>9003</v>
      </c>
      <c r="S522" t="s">
        <v>1989</v>
      </c>
      <c r="U522">
        <v>0.3</v>
      </c>
      <c r="V522">
        <v>70001</v>
      </c>
      <c r="W522">
        <v>3</v>
      </c>
      <c r="X522">
        <v>1</v>
      </c>
      <c r="Y522">
        <v>70002</v>
      </c>
      <c r="Z522">
        <v>3</v>
      </c>
      <c r="AA522">
        <v>1</v>
      </c>
      <c r="AB522">
        <v>1001</v>
      </c>
      <c r="AC522">
        <v>100</v>
      </c>
      <c r="AD522">
        <v>1</v>
      </c>
      <c r="AE522">
        <v>8000</v>
      </c>
      <c r="AF522">
        <v>8350</v>
      </c>
      <c r="AG522">
        <v>1</v>
      </c>
    </row>
    <row r="523" spans="1:33" ht="38.25" customHeight="1">
      <c r="A523">
        <v>1417</v>
      </c>
      <c r="B523" t="s">
        <v>1959</v>
      </c>
      <c r="C523">
        <v>12</v>
      </c>
      <c r="D523" t="s">
        <v>2990</v>
      </c>
      <c r="E523">
        <v>150</v>
      </c>
      <c r="G523" s="90" t="s">
        <v>2991</v>
      </c>
      <c r="I523">
        <v>53345</v>
      </c>
      <c r="J523" s="80" t="s">
        <v>2958</v>
      </c>
      <c r="K523" t="s">
        <v>767</v>
      </c>
      <c r="L523">
        <v>9006</v>
      </c>
      <c r="M523">
        <v>7</v>
      </c>
      <c r="O523">
        <v>0.3</v>
      </c>
      <c r="P523" s="80" t="s">
        <v>2959</v>
      </c>
      <c r="Q523" t="s">
        <v>769</v>
      </c>
      <c r="R523">
        <v>9007</v>
      </c>
      <c r="S523" t="s">
        <v>1704</v>
      </c>
      <c r="U523">
        <v>0.9</v>
      </c>
      <c r="V523">
        <v>70001</v>
      </c>
      <c r="W523">
        <v>3</v>
      </c>
      <c r="X523">
        <v>1</v>
      </c>
      <c r="Y523">
        <v>70002</v>
      </c>
      <c r="Z523">
        <v>3</v>
      </c>
      <c r="AA523">
        <v>1</v>
      </c>
      <c r="AB523">
        <v>1001</v>
      </c>
      <c r="AC523">
        <v>100</v>
      </c>
      <c r="AD523">
        <v>1</v>
      </c>
      <c r="AE523">
        <v>8000</v>
      </c>
      <c r="AF523">
        <v>8400</v>
      </c>
      <c r="AG523">
        <v>1</v>
      </c>
    </row>
    <row r="524" spans="1:33" ht="38.25" customHeight="1">
      <c r="A524">
        <v>1418</v>
      </c>
      <c r="B524" t="s">
        <v>1959</v>
      </c>
      <c r="C524">
        <v>12</v>
      </c>
      <c r="D524" t="s">
        <v>2992</v>
      </c>
      <c r="E524">
        <v>150</v>
      </c>
      <c r="G524" s="90" t="s">
        <v>2993</v>
      </c>
      <c r="I524">
        <v>53470</v>
      </c>
      <c r="J524" s="80" t="s">
        <v>2958</v>
      </c>
      <c r="K524" t="s">
        <v>767</v>
      </c>
      <c r="L524">
        <v>9006</v>
      </c>
      <c r="M524" t="s">
        <v>2134</v>
      </c>
      <c r="O524">
        <v>0.3</v>
      </c>
      <c r="P524" s="80" t="s">
        <v>2959</v>
      </c>
      <c r="Q524" t="s">
        <v>769</v>
      </c>
      <c r="R524">
        <v>9003</v>
      </c>
      <c r="S524" t="s">
        <v>1819</v>
      </c>
      <c r="U524">
        <v>0.6</v>
      </c>
      <c r="V524">
        <v>70001</v>
      </c>
      <c r="W524">
        <v>3</v>
      </c>
      <c r="X524">
        <v>1</v>
      </c>
      <c r="Y524">
        <v>70002</v>
      </c>
      <c r="Z524">
        <v>3</v>
      </c>
      <c r="AA524">
        <v>1</v>
      </c>
      <c r="AB524">
        <v>1001</v>
      </c>
      <c r="AC524">
        <v>100</v>
      </c>
      <c r="AD524">
        <v>1</v>
      </c>
      <c r="AE524">
        <v>8000</v>
      </c>
      <c r="AF524">
        <v>8400</v>
      </c>
      <c r="AG524">
        <v>1</v>
      </c>
    </row>
    <row r="525" spans="1:33" ht="38.25" customHeight="1">
      <c r="A525">
        <v>1419</v>
      </c>
      <c r="B525" t="s">
        <v>1959</v>
      </c>
      <c r="C525">
        <v>12</v>
      </c>
      <c r="D525" t="s">
        <v>2994</v>
      </c>
      <c r="E525">
        <v>150</v>
      </c>
      <c r="G525" s="90" t="s">
        <v>2995</v>
      </c>
      <c r="I525">
        <v>53595</v>
      </c>
      <c r="J525" s="80" t="s">
        <v>2958</v>
      </c>
      <c r="K525" t="s">
        <v>767</v>
      </c>
      <c r="L525">
        <v>9006</v>
      </c>
      <c r="M525" t="s">
        <v>2076</v>
      </c>
      <c r="O525">
        <v>0.6</v>
      </c>
      <c r="P525" s="80" t="s">
        <v>2959</v>
      </c>
      <c r="Q525" t="s">
        <v>769</v>
      </c>
      <c r="R525">
        <v>9011</v>
      </c>
      <c r="S525">
        <v>12</v>
      </c>
      <c r="U525">
        <v>0.2</v>
      </c>
      <c r="V525">
        <v>70001</v>
      </c>
      <c r="W525">
        <v>3</v>
      </c>
      <c r="X525">
        <v>1</v>
      </c>
      <c r="Y525">
        <v>70002</v>
      </c>
      <c r="Z525">
        <v>3</v>
      </c>
      <c r="AA525">
        <v>1</v>
      </c>
      <c r="AB525">
        <v>1001</v>
      </c>
      <c r="AC525">
        <v>500</v>
      </c>
      <c r="AD525">
        <v>1</v>
      </c>
      <c r="AE525">
        <v>8000</v>
      </c>
      <c r="AF525">
        <v>8450</v>
      </c>
      <c r="AG525">
        <v>1</v>
      </c>
    </row>
    <row r="526" spans="1:33" ht="38.25" customHeight="1">
      <c r="A526">
        <v>1420</v>
      </c>
      <c r="B526" t="s">
        <v>1959</v>
      </c>
      <c r="C526">
        <v>12</v>
      </c>
      <c r="D526" t="s">
        <v>2996</v>
      </c>
      <c r="E526">
        <v>150</v>
      </c>
      <c r="G526" s="90" t="s">
        <v>2997</v>
      </c>
      <c r="I526">
        <v>53720</v>
      </c>
      <c r="J526" s="80" t="s">
        <v>2958</v>
      </c>
      <c r="K526" t="s">
        <v>767</v>
      </c>
      <c r="L526">
        <v>9011</v>
      </c>
      <c r="M526" t="s">
        <v>2998</v>
      </c>
      <c r="O526">
        <v>0.9</v>
      </c>
      <c r="P526" s="80" t="s">
        <v>2959</v>
      </c>
      <c r="Q526" t="s">
        <v>769</v>
      </c>
      <c r="R526">
        <v>9011</v>
      </c>
      <c r="S526" t="s">
        <v>2441</v>
      </c>
      <c r="U526">
        <v>0.8</v>
      </c>
      <c r="V526">
        <v>70001</v>
      </c>
      <c r="W526">
        <v>3</v>
      </c>
      <c r="X526">
        <v>1</v>
      </c>
      <c r="Y526">
        <v>70002</v>
      </c>
      <c r="Z526">
        <v>3</v>
      </c>
      <c r="AA526">
        <v>1</v>
      </c>
      <c r="AB526">
        <v>1001</v>
      </c>
      <c r="AC526">
        <v>100</v>
      </c>
      <c r="AD526">
        <v>1</v>
      </c>
      <c r="AE526">
        <v>8000</v>
      </c>
      <c r="AF526">
        <v>8450</v>
      </c>
      <c r="AG526">
        <v>1</v>
      </c>
    </row>
    <row r="527" spans="1:33" ht="38.25" customHeight="1">
      <c r="A527">
        <v>1421</v>
      </c>
      <c r="B527" t="s">
        <v>1959</v>
      </c>
      <c r="C527">
        <v>12</v>
      </c>
      <c r="D527" t="s">
        <v>2999</v>
      </c>
      <c r="E527">
        <v>150</v>
      </c>
      <c r="G527" s="90" t="s">
        <v>3000</v>
      </c>
      <c r="I527">
        <v>53845</v>
      </c>
      <c r="J527" s="80" t="s">
        <v>2958</v>
      </c>
      <c r="K527" t="s">
        <v>767</v>
      </c>
      <c r="L527">
        <v>9006</v>
      </c>
      <c r="M527">
        <v>8</v>
      </c>
      <c r="O527">
        <v>0.7</v>
      </c>
      <c r="P527" s="80" t="s">
        <v>2959</v>
      </c>
      <c r="Q527" t="s">
        <v>769</v>
      </c>
      <c r="R527">
        <v>9003</v>
      </c>
      <c r="S527" t="s">
        <v>1777</v>
      </c>
      <c r="U527">
        <v>0.6</v>
      </c>
      <c r="V527">
        <v>70001</v>
      </c>
      <c r="W527">
        <v>3</v>
      </c>
      <c r="X527">
        <v>1</v>
      </c>
      <c r="Y527">
        <v>70002</v>
      </c>
      <c r="Z527">
        <v>3</v>
      </c>
      <c r="AA527">
        <v>1</v>
      </c>
      <c r="AB527">
        <v>1001</v>
      </c>
      <c r="AC527">
        <v>100</v>
      </c>
      <c r="AD527">
        <v>1</v>
      </c>
      <c r="AE527">
        <v>8000</v>
      </c>
      <c r="AF527">
        <v>8500</v>
      </c>
      <c r="AG527">
        <v>1</v>
      </c>
    </row>
    <row r="528" spans="1:33" ht="38.25" customHeight="1">
      <c r="A528">
        <v>1422</v>
      </c>
      <c r="B528" t="s">
        <v>1959</v>
      </c>
      <c r="C528">
        <v>12</v>
      </c>
      <c r="D528" t="s">
        <v>3001</v>
      </c>
      <c r="E528">
        <v>150</v>
      </c>
      <c r="G528" s="90" t="s">
        <v>3002</v>
      </c>
      <c r="I528">
        <v>53970</v>
      </c>
      <c r="J528" s="80" t="s">
        <v>2958</v>
      </c>
      <c r="K528" t="s">
        <v>767</v>
      </c>
      <c r="L528">
        <v>9005</v>
      </c>
      <c r="M528">
        <v>11</v>
      </c>
      <c r="O528">
        <v>0.9</v>
      </c>
      <c r="P528" s="80" t="s">
        <v>2959</v>
      </c>
      <c r="Q528" t="s">
        <v>769</v>
      </c>
      <c r="R528">
        <v>9008</v>
      </c>
      <c r="S528">
        <v>12</v>
      </c>
      <c r="U528">
        <v>0.9</v>
      </c>
      <c r="V528">
        <v>70001</v>
      </c>
      <c r="W528">
        <v>3</v>
      </c>
      <c r="X528">
        <v>1</v>
      </c>
      <c r="Y528">
        <v>70002</v>
      </c>
      <c r="Z528">
        <v>3</v>
      </c>
      <c r="AA528">
        <v>1</v>
      </c>
      <c r="AB528">
        <v>1001</v>
      </c>
      <c r="AC528">
        <v>100</v>
      </c>
      <c r="AD528">
        <v>1</v>
      </c>
      <c r="AE528">
        <v>8000</v>
      </c>
      <c r="AF528">
        <v>8500</v>
      </c>
      <c r="AG528">
        <v>1</v>
      </c>
    </row>
    <row r="529" spans="1:33" ht="38.25" customHeight="1">
      <c r="A529">
        <v>1423</v>
      </c>
      <c r="B529" t="s">
        <v>1959</v>
      </c>
      <c r="C529">
        <v>12</v>
      </c>
      <c r="D529" t="s">
        <v>3003</v>
      </c>
      <c r="E529">
        <v>150</v>
      </c>
      <c r="G529" s="90" t="s">
        <v>3004</v>
      </c>
      <c r="I529">
        <v>54095</v>
      </c>
      <c r="J529" s="80" t="s">
        <v>2958</v>
      </c>
      <c r="K529" t="s">
        <v>767</v>
      </c>
      <c r="L529">
        <v>9011</v>
      </c>
      <c r="M529" t="s">
        <v>1791</v>
      </c>
      <c r="O529">
        <v>0.8</v>
      </c>
      <c r="P529" s="80" t="s">
        <v>2959</v>
      </c>
      <c r="Q529" t="s">
        <v>769</v>
      </c>
      <c r="R529">
        <v>9008</v>
      </c>
      <c r="S529" t="s">
        <v>2058</v>
      </c>
      <c r="U529">
        <v>0.5</v>
      </c>
      <c r="V529">
        <v>70001</v>
      </c>
      <c r="W529">
        <v>3</v>
      </c>
      <c r="X529">
        <v>1</v>
      </c>
      <c r="Y529">
        <v>70002</v>
      </c>
      <c r="Z529">
        <v>3</v>
      </c>
      <c r="AA529">
        <v>1</v>
      </c>
      <c r="AB529">
        <v>1001</v>
      </c>
      <c r="AC529">
        <v>100</v>
      </c>
      <c r="AD529">
        <v>1</v>
      </c>
      <c r="AE529">
        <v>8000</v>
      </c>
      <c r="AF529">
        <v>8550</v>
      </c>
      <c r="AG529">
        <v>1</v>
      </c>
    </row>
    <row r="530" spans="1:33" ht="38.25" customHeight="1">
      <c r="A530">
        <v>1424</v>
      </c>
      <c r="B530" t="s">
        <v>1959</v>
      </c>
      <c r="C530">
        <v>12</v>
      </c>
      <c r="D530" t="s">
        <v>3005</v>
      </c>
      <c r="E530">
        <v>150</v>
      </c>
      <c r="G530" s="90" t="s">
        <v>3006</v>
      </c>
      <c r="I530">
        <v>54220</v>
      </c>
      <c r="J530" s="80" t="s">
        <v>2958</v>
      </c>
      <c r="K530" t="s">
        <v>767</v>
      </c>
      <c r="L530">
        <v>9002</v>
      </c>
      <c r="M530" t="s">
        <v>1786</v>
      </c>
      <c r="O530">
        <v>0.1</v>
      </c>
      <c r="P530" s="80" t="s">
        <v>2959</v>
      </c>
      <c r="Q530" t="s">
        <v>769</v>
      </c>
      <c r="R530">
        <v>9011</v>
      </c>
      <c r="S530">
        <v>1</v>
      </c>
      <c r="U530">
        <v>0.6</v>
      </c>
      <c r="V530">
        <v>70001</v>
      </c>
      <c r="W530">
        <v>3</v>
      </c>
      <c r="X530">
        <v>1</v>
      </c>
      <c r="Y530">
        <v>70002</v>
      </c>
      <c r="Z530">
        <v>3</v>
      </c>
      <c r="AA530">
        <v>1</v>
      </c>
      <c r="AB530">
        <v>1001</v>
      </c>
      <c r="AC530">
        <v>100</v>
      </c>
      <c r="AD530">
        <v>1</v>
      </c>
      <c r="AE530">
        <v>8000</v>
      </c>
      <c r="AF530">
        <v>8550</v>
      </c>
      <c r="AG530">
        <v>1</v>
      </c>
    </row>
    <row r="531" spans="1:33" ht="38.25" customHeight="1">
      <c r="A531">
        <v>1425</v>
      </c>
      <c r="B531" t="s">
        <v>1959</v>
      </c>
      <c r="C531">
        <v>12</v>
      </c>
      <c r="D531" t="s">
        <v>3007</v>
      </c>
      <c r="E531">
        <v>150</v>
      </c>
      <c r="G531" s="90" t="s">
        <v>3008</v>
      </c>
      <c r="I531">
        <v>54345</v>
      </c>
      <c r="J531" s="80" t="s">
        <v>2958</v>
      </c>
      <c r="K531" t="s">
        <v>767</v>
      </c>
      <c r="L531">
        <v>9001</v>
      </c>
      <c r="M531">
        <v>3</v>
      </c>
      <c r="O531">
        <v>0.9</v>
      </c>
      <c r="P531" s="80" t="s">
        <v>2959</v>
      </c>
      <c r="Q531" t="s">
        <v>769</v>
      </c>
      <c r="R531">
        <v>9003</v>
      </c>
      <c r="S531" t="s">
        <v>1762</v>
      </c>
      <c r="U531">
        <v>0.1</v>
      </c>
      <c r="V531">
        <v>70001</v>
      </c>
      <c r="W531">
        <v>3</v>
      </c>
      <c r="X531">
        <v>1</v>
      </c>
      <c r="Y531">
        <v>70002</v>
      </c>
      <c r="Z531">
        <v>3</v>
      </c>
      <c r="AA531">
        <v>1</v>
      </c>
      <c r="AB531">
        <v>1001</v>
      </c>
      <c r="AC531">
        <v>100</v>
      </c>
      <c r="AD531">
        <v>1</v>
      </c>
      <c r="AE531">
        <v>8000</v>
      </c>
      <c r="AF531">
        <v>8600</v>
      </c>
      <c r="AG531">
        <v>1</v>
      </c>
    </row>
    <row r="532" spans="1:33" ht="38.25" customHeight="1">
      <c r="A532">
        <v>1426</v>
      </c>
      <c r="B532" t="s">
        <v>1959</v>
      </c>
      <c r="C532">
        <v>12</v>
      </c>
      <c r="D532" t="s">
        <v>3009</v>
      </c>
      <c r="E532">
        <v>150</v>
      </c>
      <c r="G532" s="90" t="s">
        <v>3010</v>
      </c>
      <c r="I532">
        <v>54470</v>
      </c>
      <c r="J532" s="80" t="s">
        <v>2958</v>
      </c>
      <c r="K532" t="s">
        <v>767</v>
      </c>
      <c r="L532">
        <v>9001</v>
      </c>
      <c r="M532">
        <v>13</v>
      </c>
      <c r="O532">
        <v>0.2</v>
      </c>
      <c r="P532" s="80" t="s">
        <v>2959</v>
      </c>
      <c r="Q532" t="s">
        <v>769</v>
      </c>
      <c r="R532">
        <v>9010</v>
      </c>
      <c r="S532">
        <v>13</v>
      </c>
      <c r="U532">
        <v>0.6</v>
      </c>
      <c r="V532">
        <v>70001</v>
      </c>
      <c r="W532">
        <v>3</v>
      </c>
      <c r="X532">
        <v>1</v>
      </c>
      <c r="Y532">
        <v>70002</v>
      </c>
      <c r="Z532">
        <v>3</v>
      </c>
      <c r="AA532">
        <v>1</v>
      </c>
      <c r="AB532">
        <v>1001</v>
      </c>
      <c r="AC532">
        <v>100</v>
      </c>
      <c r="AD532">
        <v>1</v>
      </c>
      <c r="AE532">
        <v>8000</v>
      </c>
      <c r="AF532">
        <v>8600</v>
      </c>
      <c r="AG532">
        <v>1</v>
      </c>
    </row>
    <row r="533" spans="1:33" ht="38.25" customHeight="1">
      <c r="A533">
        <v>1427</v>
      </c>
      <c r="B533" t="s">
        <v>1959</v>
      </c>
      <c r="C533">
        <v>12</v>
      </c>
      <c r="D533" t="s">
        <v>3011</v>
      </c>
      <c r="E533">
        <v>150</v>
      </c>
      <c r="G533" s="90" t="s">
        <v>3012</v>
      </c>
      <c r="I533">
        <v>54595</v>
      </c>
      <c r="J533" s="80" t="s">
        <v>2958</v>
      </c>
      <c r="K533" t="s">
        <v>767</v>
      </c>
      <c r="L533">
        <v>9007</v>
      </c>
      <c r="M533" t="s">
        <v>1855</v>
      </c>
      <c r="O533">
        <v>0.2</v>
      </c>
      <c r="P533" s="80" t="s">
        <v>2959</v>
      </c>
      <c r="Q533" t="s">
        <v>769</v>
      </c>
      <c r="R533">
        <v>9004</v>
      </c>
      <c r="S533" t="s">
        <v>1824</v>
      </c>
      <c r="U533">
        <v>0.4</v>
      </c>
      <c r="V533">
        <v>70001</v>
      </c>
      <c r="W533">
        <v>3</v>
      </c>
      <c r="X533">
        <v>1</v>
      </c>
      <c r="Y533">
        <v>70002</v>
      </c>
      <c r="Z533">
        <v>3</v>
      </c>
      <c r="AA533">
        <v>1</v>
      </c>
      <c r="AB533">
        <v>1001</v>
      </c>
      <c r="AC533">
        <v>100</v>
      </c>
      <c r="AD533">
        <v>1</v>
      </c>
      <c r="AE533">
        <v>8000</v>
      </c>
      <c r="AF533">
        <v>8650</v>
      </c>
      <c r="AG533">
        <v>1</v>
      </c>
    </row>
    <row r="534" spans="1:33" ht="38.25" customHeight="1">
      <c r="A534">
        <v>1428</v>
      </c>
      <c r="B534" t="s">
        <v>1959</v>
      </c>
      <c r="C534">
        <v>12</v>
      </c>
      <c r="D534" t="s">
        <v>3013</v>
      </c>
      <c r="E534">
        <v>150</v>
      </c>
      <c r="G534" s="90" t="s">
        <v>3014</v>
      </c>
      <c r="I534">
        <v>54720</v>
      </c>
      <c r="J534" s="80" t="s">
        <v>2958</v>
      </c>
      <c r="K534" t="s">
        <v>767</v>
      </c>
      <c r="L534">
        <v>9002</v>
      </c>
      <c r="M534" t="s">
        <v>2002</v>
      </c>
      <c r="O534">
        <v>0.6</v>
      </c>
      <c r="P534" s="80" t="s">
        <v>2959</v>
      </c>
      <c r="Q534" t="s">
        <v>769</v>
      </c>
      <c r="R534">
        <v>9011</v>
      </c>
      <c r="S534" t="s">
        <v>2874</v>
      </c>
      <c r="U534">
        <v>0.5</v>
      </c>
      <c r="V534">
        <v>70001</v>
      </c>
      <c r="W534">
        <v>3</v>
      </c>
      <c r="X534">
        <v>1</v>
      </c>
      <c r="Y534">
        <v>70002</v>
      </c>
      <c r="Z534">
        <v>3</v>
      </c>
      <c r="AA534">
        <v>1</v>
      </c>
      <c r="AB534">
        <v>1001</v>
      </c>
      <c r="AC534">
        <v>100</v>
      </c>
      <c r="AD534">
        <v>1</v>
      </c>
      <c r="AE534">
        <v>8000</v>
      </c>
      <c r="AF534">
        <v>8650</v>
      </c>
      <c r="AG534">
        <v>1</v>
      </c>
    </row>
    <row r="535" spans="1:33" ht="38.25" customHeight="1">
      <c r="A535">
        <v>1429</v>
      </c>
      <c r="B535" t="s">
        <v>1959</v>
      </c>
      <c r="C535">
        <v>12</v>
      </c>
      <c r="D535" t="s">
        <v>3015</v>
      </c>
      <c r="E535">
        <v>150</v>
      </c>
      <c r="G535" s="90" t="s">
        <v>3016</v>
      </c>
      <c r="I535">
        <v>54845</v>
      </c>
      <c r="J535" s="80" t="s">
        <v>2958</v>
      </c>
      <c r="K535" t="s">
        <v>767</v>
      </c>
      <c r="L535">
        <v>9001</v>
      </c>
      <c r="M535">
        <v>6</v>
      </c>
      <c r="O535">
        <v>0.3</v>
      </c>
      <c r="P535" s="80" t="s">
        <v>2959</v>
      </c>
      <c r="Q535" t="s">
        <v>769</v>
      </c>
      <c r="R535">
        <v>9008</v>
      </c>
      <c r="S535" t="s">
        <v>2002</v>
      </c>
      <c r="U535">
        <v>0.3</v>
      </c>
      <c r="V535">
        <v>70001</v>
      </c>
      <c r="W535">
        <v>3</v>
      </c>
      <c r="X535">
        <v>1</v>
      </c>
      <c r="Y535">
        <v>70002</v>
      </c>
      <c r="Z535">
        <v>3</v>
      </c>
      <c r="AA535">
        <v>1</v>
      </c>
      <c r="AB535">
        <v>1001</v>
      </c>
      <c r="AC535">
        <v>100</v>
      </c>
      <c r="AD535">
        <v>1</v>
      </c>
      <c r="AE535">
        <v>8000</v>
      </c>
      <c r="AF535">
        <v>8700</v>
      </c>
      <c r="AG535">
        <v>1</v>
      </c>
    </row>
    <row r="536" spans="1:33" ht="38.25" customHeight="1">
      <c r="A536">
        <v>1430</v>
      </c>
      <c r="B536" t="s">
        <v>1959</v>
      </c>
      <c r="C536">
        <v>12</v>
      </c>
      <c r="D536" t="s">
        <v>3017</v>
      </c>
      <c r="E536">
        <v>150</v>
      </c>
      <c r="G536" s="90" t="s">
        <v>3018</v>
      </c>
      <c r="I536">
        <v>54970</v>
      </c>
      <c r="J536" s="80" t="s">
        <v>2958</v>
      </c>
      <c r="K536" t="s">
        <v>767</v>
      </c>
      <c r="L536">
        <v>9002</v>
      </c>
      <c r="M536" t="s">
        <v>1777</v>
      </c>
      <c r="O536">
        <v>0.9</v>
      </c>
      <c r="P536" s="80" t="s">
        <v>2959</v>
      </c>
      <c r="Q536" t="s">
        <v>769</v>
      </c>
      <c r="R536">
        <v>9008</v>
      </c>
      <c r="S536">
        <v>4</v>
      </c>
      <c r="U536">
        <v>0.9</v>
      </c>
      <c r="V536">
        <v>70001</v>
      </c>
      <c r="W536">
        <v>3</v>
      </c>
      <c r="X536">
        <v>1</v>
      </c>
      <c r="Y536">
        <v>70002</v>
      </c>
      <c r="Z536">
        <v>3</v>
      </c>
      <c r="AA536">
        <v>1</v>
      </c>
      <c r="AB536">
        <v>1001</v>
      </c>
      <c r="AC536">
        <v>100</v>
      </c>
      <c r="AD536">
        <v>1</v>
      </c>
      <c r="AE536">
        <v>8000</v>
      </c>
      <c r="AF536">
        <v>8700</v>
      </c>
      <c r="AG536">
        <v>1</v>
      </c>
    </row>
    <row r="537" spans="1:33" ht="38.25" customHeight="1">
      <c r="A537">
        <v>1431</v>
      </c>
      <c r="B537" t="s">
        <v>1959</v>
      </c>
      <c r="C537">
        <v>12</v>
      </c>
      <c r="D537" t="s">
        <v>3019</v>
      </c>
      <c r="E537">
        <v>150</v>
      </c>
      <c r="G537" s="90" t="s">
        <v>3020</v>
      </c>
      <c r="I537">
        <v>55095</v>
      </c>
      <c r="J537" s="80" t="s">
        <v>2958</v>
      </c>
      <c r="K537" t="s">
        <v>767</v>
      </c>
      <c r="L537">
        <v>9011</v>
      </c>
      <c r="M537" t="s">
        <v>1924</v>
      </c>
      <c r="O537">
        <v>0.6</v>
      </c>
      <c r="P537" s="80" t="s">
        <v>2959</v>
      </c>
      <c r="Q537" t="s">
        <v>769</v>
      </c>
      <c r="R537">
        <v>9011</v>
      </c>
      <c r="S537">
        <v>9</v>
      </c>
      <c r="U537">
        <v>0.7</v>
      </c>
      <c r="V537">
        <v>70001</v>
      </c>
      <c r="W537">
        <v>3</v>
      </c>
      <c r="X537">
        <v>1</v>
      </c>
      <c r="Y537">
        <v>70002</v>
      </c>
      <c r="Z537">
        <v>3</v>
      </c>
      <c r="AA537">
        <v>1</v>
      </c>
      <c r="AB537">
        <v>1001</v>
      </c>
      <c r="AC537">
        <v>100</v>
      </c>
      <c r="AD537">
        <v>1</v>
      </c>
      <c r="AE537">
        <v>8000</v>
      </c>
      <c r="AF537">
        <v>8750</v>
      </c>
      <c r="AG537">
        <v>1</v>
      </c>
    </row>
    <row r="538" spans="1:33" ht="38.25" customHeight="1">
      <c r="A538">
        <v>1432</v>
      </c>
      <c r="B538" t="s">
        <v>1959</v>
      </c>
      <c r="C538">
        <v>12</v>
      </c>
      <c r="D538" t="s">
        <v>3021</v>
      </c>
      <c r="E538">
        <v>150</v>
      </c>
      <c r="G538" s="90" t="s">
        <v>3022</v>
      </c>
      <c r="I538">
        <v>55220</v>
      </c>
      <c r="J538" s="80" t="s">
        <v>2958</v>
      </c>
      <c r="K538" t="s">
        <v>767</v>
      </c>
      <c r="L538">
        <v>9008</v>
      </c>
      <c r="M538" t="s">
        <v>2177</v>
      </c>
      <c r="O538">
        <v>0.5</v>
      </c>
      <c r="P538" s="80" t="s">
        <v>2959</v>
      </c>
      <c r="Q538" t="s">
        <v>769</v>
      </c>
      <c r="R538">
        <v>9010</v>
      </c>
      <c r="S538" t="s">
        <v>2360</v>
      </c>
      <c r="U538">
        <v>0.1</v>
      </c>
      <c r="V538">
        <v>70001</v>
      </c>
      <c r="W538">
        <v>3</v>
      </c>
      <c r="X538">
        <v>1</v>
      </c>
      <c r="Y538">
        <v>70002</v>
      </c>
      <c r="Z538">
        <v>3</v>
      </c>
      <c r="AA538">
        <v>1</v>
      </c>
      <c r="AB538">
        <v>1001</v>
      </c>
      <c r="AC538">
        <v>100</v>
      </c>
      <c r="AD538">
        <v>1</v>
      </c>
      <c r="AE538">
        <v>8000</v>
      </c>
      <c r="AF538">
        <v>8750</v>
      </c>
      <c r="AG538">
        <v>1</v>
      </c>
    </row>
    <row r="539" spans="1:33" ht="38.25" customHeight="1">
      <c r="A539">
        <v>1433</v>
      </c>
      <c r="B539" t="s">
        <v>1959</v>
      </c>
      <c r="C539">
        <v>12</v>
      </c>
      <c r="D539" t="s">
        <v>3023</v>
      </c>
      <c r="E539">
        <v>150</v>
      </c>
      <c r="G539" s="90" t="s">
        <v>3024</v>
      </c>
      <c r="I539">
        <v>55345</v>
      </c>
      <c r="J539" s="80" t="s">
        <v>2958</v>
      </c>
      <c r="K539" t="s">
        <v>767</v>
      </c>
      <c r="L539">
        <v>9012</v>
      </c>
      <c r="M539">
        <v>11</v>
      </c>
      <c r="O539">
        <v>0.8</v>
      </c>
      <c r="P539" s="80" t="s">
        <v>2959</v>
      </c>
      <c r="Q539" t="s">
        <v>769</v>
      </c>
      <c r="R539">
        <v>9007</v>
      </c>
      <c r="S539" t="s">
        <v>1848</v>
      </c>
      <c r="U539">
        <v>0.4</v>
      </c>
      <c r="V539">
        <v>70001</v>
      </c>
      <c r="W539">
        <v>3</v>
      </c>
      <c r="X539">
        <v>1</v>
      </c>
      <c r="Y539">
        <v>70002</v>
      </c>
      <c r="Z539">
        <v>3</v>
      </c>
      <c r="AA539">
        <v>1</v>
      </c>
      <c r="AB539">
        <v>1001</v>
      </c>
      <c r="AC539">
        <v>100</v>
      </c>
      <c r="AD539">
        <v>1</v>
      </c>
      <c r="AE539">
        <v>8000</v>
      </c>
      <c r="AF539">
        <v>8800</v>
      </c>
      <c r="AG539">
        <v>1</v>
      </c>
    </row>
    <row r="540" spans="1:33" ht="38.25" customHeight="1">
      <c r="A540">
        <v>1434</v>
      </c>
      <c r="B540" t="s">
        <v>1959</v>
      </c>
      <c r="C540">
        <v>12</v>
      </c>
      <c r="D540" t="s">
        <v>3025</v>
      </c>
      <c r="E540">
        <v>150</v>
      </c>
      <c r="G540" s="90" t="s">
        <v>3026</v>
      </c>
      <c r="I540">
        <v>55470</v>
      </c>
      <c r="J540" s="80" t="s">
        <v>2958</v>
      </c>
      <c r="K540" t="s">
        <v>767</v>
      </c>
      <c r="L540">
        <v>9008</v>
      </c>
      <c r="M540" t="s">
        <v>1719</v>
      </c>
      <c r="O540">
        <v>0.9</v>
      </c>
      <c r="P540" s="80" t="s">
        <v>2959</v>
      </c>
      <c r="Q540" t="s">
        <v>769</v>
      </c>
      <c r="R540">
        <v>9012</v>
      </c>
      <c r="S540" t="s">
        <v>1811</v>
      </c>
      <c r="U540">
        <v>0.9</v>
      </c>
      <c r="V540">
        <v>70001</v>
      </c>
      <c r="W540">
        <v>3</v>
      </c>
      <c r="X540">
        <v>1</v>
      </c>
      <c r="Y540">
        <v>70002</v>
      </c>
      <c r="Z540">
        <v>3</v>
      </c>
      <c r="AA540">
        <v>1</v>
      </c>
      <c r="AB540">
        <v>1001</v>
      </c>
      <c r="AC540">
        <v>100</v>
      </c>
      <c r="AD540">
        <v>1</v>
      </c>
      <c r="AE540">
        <v>8000</v>
      </c>
      <c r="AF540">
        <v>8800</v>
      </c>
      <c r="AG540">
        <v>1</v>
      </c>
    </row>
    <row r="541" spans="1:33" ht="38.25" customHeight="1">
      <c r="A541">
        <v>1435</v>
      </c>
      <c r="B541" t="s">
        <v>1959</v>
      </c>
      <c r="C541">
        <v>12</v>
      </c>
      <c r="D541" t="s">
        <v>3027</v>
      </c>
      <c r="E541">
        <v>150</v>
      </c>
      <c r="G541" s="90" t="s">
        <v>3028</v>
      </c>
      <c r="I541">
        <v>55595</v>
      </c>
      <c r="J541" s="80" t="s">
        <v>2958</v>
      </c>
      <c r="K541" t="s">
        <v>767</v>
      </c>
      <c r="L541">
        <v>9012</v>
      </c>
      <c r="M541" t="s">
        <v>1827</v>
      </c>
      <c r="O541">
        <v>0.7</v>
      </c>
      <c r="P541" s="80" t="s">
        <v>2959</v>
      </c>
      <c r="Q541" t="s">
        <v>769</v>
      </c>
      <c r="R541">
        <v>9010</v>
      </c>
      <c r="S541" t="s">
        <v>3029</v>
      </c>
      <c r="U541">
        <v>0.5</v>
      </c>
      <c r="V541">
        <v>70001</v>
      </c>
      <c r="W541">
        <v>3</v>
      </c>
      <c r="X541">
        <v>1</v>
      </c>
      <c r="Y541">
        <v>70002</v>
      </c>
      <c r="Z541">
        <v>3</v>
      </c>
      <c r="AA541">
        <v>1</v>
      </c>
      <c r="AB541">
        <v>1001</v>
      </c>
      <c r="AC541">
        <v>100</v>
      </c>
      <c r="AD541">
        <v>1</v>
      </c>
      <c r="AE541">
        <v>8000</v>
      </c>
      <c r="AF541">
        <v>8850</v>
      </c>
      <c r="AG541">
        <v>1</v>
      </c>
    </row>
    <row r="542" spans="1:33" ht="38.25" customHeight="1">
      <c r="A542">
        <v>1436</v>
      </c>
      <c r="B542" t="s">
        <v>1959</v>
      </c>
      <c r="C542">
        <v>12</v>
      </c>
      <c r="D542" t="s">
        <v>3030</v>
      </c>
      <c r="E542">
        <v>150</v>
      </c>
      <c r="G542" s="90" t="s">
        <v>3031</v>
      </c>
      <c r="I542">
        <v>55720</v>
      </c>
      <c r="J542" s="80" t="s">
        <v>2958</v>
      </c>
      <c r="K542" t="s">
        <v>767</v>
      </c>
      <c r="L542">
        <v>9002</v>
      </c>
      <c r="M542">
        <v>12</v>
      </c>
      <c r="O542">
        <v>0.3</v>
      </c>
      <c r="P542" s="80" t="s">
        <v>2959</v>
      </c>
      <c r="Q542" t="s">
        <v>769</v>
      </c>
      <c r="R542">
        <v>9010</v>
      </c>
      <c r="S542" t="s">
        <v>2311</v>
      </c>
      <c r="U542">
        <v>0.4</v>
      </c>
      <c r="V542">
        <v>70001</v>
      </c>
      <c r="W542">
        <v>3</v>
      </c>
      <c r="X542">
        <v>1</v>
      </c>
      <c r="Y542">
        <v>70002</v>
      </c>
      <c r="Z542">
        <v>3</v>
      </c>
      <c r="AA542">
        <v>1</v>
      </c>
      <c r="AB542">
        <v>1001</v>
      </c>
      <c r="AC542">
        <v>100</v>
      </c>
      <c r="AD542">
        <v>1</v>
      </c>
      <c r="AE542">
        <v>8000</v>
      </c>
      <c r="AF542">
        <v>8900</v>
      </c>
      <c r="AG542">
        <v>1</v>
      </c>
    </row>
    <row r="543" spans="1:33" ht="38.25" customHeight="1">
      <c r="A543">
        <v>1437</v>
      </c>
      <c r="B543" t="s">
        <v>1959</v>
      </c>
      <c r="C543">
        <v>12</v>
      </c>
      <c r="D543" t="s">
        <v>3032</v>
      </c>
      <c r="E543">
        <v>150</v>
      </c>
      <c r="G543" s="90" t="s">
        <v>3033</v>
      </c>
      <c r="I543">
        <v>55845</v>
      </c>
      <c r="J543" s="80" t="s">
        <v>2958</v>
      </c>
      <c r="K543" t="s">
        <v>767</v>
      </c>
      <c r="L543">
        <v>9001</v>
      </c>
      <c r="M543">
        <v>3</v>
      </c>
      <c r="O543">
        <v>0.2</v>
      </c>
      <c r="P543" s="80" t="s">
        <v>2959</v>
      </c>
      <c r="Q543" t="s">
        <v>769</v>
      </c>
      <c r="R543">
        <v>9008</v>
      </c>
      <c r="S543" t="s">
        <v>3034</v>
      </c>
      <c r="U543">
        <v>0.8</v>
      </c>
      <c r="V543">
        <v>70001</v>
      </c>
      <c r="W543">
        <v>3</v>
      </c>
      <c r="X543">
        <v>1</v>
      </c>
      <c r="Y543">
        <v>70002</v>
      </c>
      <c r="Z543">
        <v>3</v>
      </c>
      <c r="AA543">
        <v>1</v>
      </c>
      <c r="AB543">
        <v>1001</v>
      </c>
      <c r="AC543">
        <v>100</v>
      </c>
      <c r="AD543">
        <v>1</v>
      </c>
      <c r="AE543">
        <v>8000</v>
      </c>
      <c r="AF543">
        <v>8900</v>
      </c>
      <c r="AG543">
        <v>1</v>
      </c>
    </row>
    <row r="544" spans="1:33" ht="38.25" customHeight="1">
      <c r="A544">
        <v>1438</v>
      </c>
      <c r="B544" t="s">
        <v>1959</v>
      </c>
      <c r="C544">
        <v>12</v>
      </c>
      <c r="D544" t="s">
        <v>3035</v>
      </c>
      <c r="E544">
        <v>150</v>
      </c>
      <c r="G544" s="90" t="s">
        <v>3036</v>
      </c>
      <c r="I544">
        <v>55970</v>
      </c>
      <c r="J544" s="80" t="s">
        <v>2958</v>
      </c>
      <c r="K544" t="s">
        <v>767</v>
      </c>
      <c r="L544">
        <v>9007</v>
      </c>
      <c r="M544" t="s">
        <v>1696</v>
      </c>
      <c r="O544">
        <v>0.4</v>
      </c>
      <c r="P544" s="80" t="s">
        <v>2959</v>
      </c>
      <c r="Q544" t="s">
        <v>769</v>
      </c>
      <c r="R544">
        <v>9012</v>
      </c>
      <c r="S544" t="s">
        <v>1805</v>
      </c>
      <c r="U544">
        <v>0.4</v>
      </c>
      <c r="V544">
        <v>70001</v>
      </c>
      <c r="W544">
        <v>3</v>
      </c>
      <c r="X544">
        <v>1</v>
      </c>
      <c r="Y544">
        <v>70002</v>
      </c>
      <c r="Z544">
        <v>3</v>
      </c>
      <c r="AA544">
        <v>1</v>
      </c>
      <c r="AB544">
        <v>1001</v>
      </c>
      <c r="AC544">
        <v>100</v>
      </c>
      <c r="AD544">
        <v>1</v>
      </c>
      <c r="AE544">
        <v>8000</v>
      </c>
      <c r="AF544">
        <v>8950</v>
      </c>
      <c r="AG544">
        <v>1</v>
      </c>
    </row>
    <row r="545" spans="1:33" ht="38.25" customHeight="1">
      <c r="A545">
        <v>1439</v>
      </c>
      <c r="B545" t="s">
        <v>1959</v>
      </c>
      <c r="C545">
        <v>12</v>
      </c>
      <c r="D545" t="s">
        <v>3037</v>
      </c>
      <c r="E545">
        <v>150</v>
      </c>
      <c r="G545" s="90" t="s">
        <v>3038</v>
      </c>
      <c r="I545">
        <v>56095</v>
      </c>
      <c r="J545" s="80" t="s">
        <v>2958</v>
      </c>
      <c r="K545" t="s">
        <v>767</v>
      </c>
      <c r="L545">
        <v>9001</v>
      </c>
      <c r="M545" t="s">
        <v>2698</v>
      </c>
      <c r="O545">
        <v>0.6</v>
      </c>
      <c r="P545" s="80" t="s">
        <v>2959</v>
      </c>
      <c r="Q545" t="s">
        <v>769</v>
      </c>
      <c r="R545">
        <v>9012</v>
      </c>
      <c r="S545">
        <v>4</v>
      </c>
      <c r="U545">
        <v>0.5</v>
      </c>
      <c r="V545">
        <v>70001</v>
      </c>
      <c r="W545">
        <v>3</v>
      </c>
      <c r="X545">
        <v>1</v>
      </c>
      <c r="Y545">
        <v>70002</v>
      </c>
      <c r="Z545">
        <v>3</v>
      </c>
      <c r="AA545">
        <v>1</v>
      </c>
      <c r="AB545">
        <v>1001</v>
      </c>
      <c r="AC545">
        <v>100</v>
      </c>
      <c r="AD545">
        <v>1</v>
      </c>
      <c r="AE545">
        <v>8000</v>
      </c>
      <c r="AF545">
        <v>8950</v>
      </c>
      <c r="AG545">
        <v>1</v>
      </c>
    </row>
    <row r="546" spans="1:33" ht="38.25" customHeight="1">
      <c r="A546">
        <v>1440</v>
      </c>
      <c r="B546" t="s">
        <v>1959</v>
      </c>
      <c r="C546">
        <v>12</v>
      </c>
      <c r="D546" t="s">
        <v>3039</v>
      </c>
      <c r="E546">
        <v>150</v>
      </c>
      <c r="G546" s="90" t="s">
        <v>3040</v>
      </c>
      <c r="I546">
        <v>56220</v>
      </c>
      <c r="J546" s="80" t="s">
        <v>2958</v>
      </c>
      <c r="K546" t="s">
        <v>767</v>
      </c>
      <c r="L546">
        <v>9006</v>
      </c>
      <c r="M546">
        <v>13</v>
      </c>
      <c r="O546">
        <v>0.3</v>
      </c>
      <c r="P546" s="80" t="s">
        <v>2959</v>
      </c>
      <c r="Q546" t="s">
        <v>769</v>
      </c>
      <c r="R546">
        <v>9007</v>
      </c>
      <c r="S546" t="s">
        <v>2140</v>
      </c>
      <c r="U546">
        <v>0.7</v>
      </c>
      <c r="V546">
        <v>70001</v>
      </c>
      <c r="W546">
        <v>3</v>
      </c>
      <c r="X546">
        <v>1</v>
      </c>
      <c r="Y546">
        <v>70002</v>
      </c>
      <c r="Z546">
        <v>3</v>
      </c>
      <c r="AA546">
        <v>1</v>
      </c>
      <c r="AB546">
        <v>1001</v>
      </c>
      <c r="AC546">
        <v>100</v>
      </c>
      <c r="AD546">
        <v>1</v>
      </c>
      <c r="AE546">
        <v>8000</v>
      </c>
      <c r="AF546">
        <v>9000</v>
      </c>
      <c r="AG546">
        <v>1</v>
      </c>
    </row>
    <row r="547" spans="1:33" ht="38.25" customHeight="1">
      <c r="A547">
        <v>1441</v>
      </c>
      <c r="B547" t="s">
        <v>1959</v>
      </c>
      <c r="C547">
        <v>12</v>
      </c>
      <c r="D547" t="s">
        <v>3041</v>
      </c>
      <c r="E547">
        <v>150</v>
      </c>
      <c r="G547" s="90" t="s">
        <v>3042</v>
      </c>
      <c r="I547">
        <v>56345</v>
      </c>
      <c r="J547" s="80" t="s">
        <v>2958</v>
      </c>
      <c r="K547" t="s">
        <v>767</v>
      </c>
      <c r="L547">
        <v>9007</v>
      </c>
      <c r="M547">
        <v>13</v>
      </c>
      <c r="O547">
        <v>0.5</v>
      </c>
      <c r="P547" s="80" t="s">
        <v>2959</v>
      </c>
      <c r="Q547" t="s">
        <v>769</v>
      </c>
      <c r="R547">
        <v>9012</v>
      </c>
      <c r="S547" t="s">
        <v>2177</v>
      </c>
      <c r="U547">
        <v>0.7</v>
      </c>
      <c r="V547">
        <v>70001</v>
      </c>
      <c r="W547">
        <v>3</v>
      </c>
      <c r="X547">
        <v>1</v>
      </c>
      <c r="Y547">
        <v>70002</v>
      </c>
      <c r="Z547">
        <v>3</v>
      </c>
      <c r="AA547">
        <v>1</v>
      </c>
      <c r="AB547">
        <v>1001</v>
      </c>
      <c r="AC547">
        <v>100</v>
      </c>
      <c r="AD547">
        <v>1</v>
      </c>
      <c r="AE547">
        <v>8000</v>
      </c>
      <c r="AF547">
        <v>9000</v>
      </c>
      <c r="AG547">
        <v>1</v>
      </c>
    </row>
    <row r="548" spans="1:33" ht="38.25" customHeight="1">
      <c r="A548">
        <v>1442</v>
      </c>
      <c r="B548" t="s">
        <v>1959</v>
      </c>
      <c r="C548">
        <v>12</v>
      </c>
      <c r="D548" t="s">
        <v>3043</v>
      </c>
      <c r="E548">
        <v>150</v>
      </c>
      <c r="G548" s="90" t="s">
        <v>3044</v>
      </c>
      <c r="I548">
        <v>56470</v>
      </c>
      <c r="J548" s="80" t="s">
        <v>2958</v>
      </c>
      <c r="K548" t="s">
        <v>767</v>
      </c>
      <c r="L548">
        <v>9012</v>
      </c>
      <c r="M548" t="s">
        <v>1730</v>
      </c>
      <c r="O548">
        <v>0.7</v>
      </c>
      <c r="P548" s="80" t="s">
        <v>2959</v>
      </c>
      <c r="Q548" t="s">
        <v>769</v>
      </c>
      <c r="R548">
        <v>9010</v>
      </c>
      <c r="S548" t="s">
        <v>3045</v>
      </c>
      <c r="U548">
        <v>0.4</v>
      </c>
      <c r="V548">
        <v>70001</v>
      </c>
      <c r="W548">
        <v>3</v>
      </c>
      <c r="X548">
        <v>1</v>
      </c>
      <c r="Y548">
        <v>70002</v>
      </c>
      <c r="Z548">
        <v>3</v>
      </c>
      <c r="AA548">
        <v>1</v>
      </c>
      <c r="AB548">
        <v>1001</v>
      </c>
      <c r="AC548">
        <v>100</v>
      </c>
      <c r="AD548">
        <v>1</v>
      </c>
      <c r="AE548">
        <v>8000</v>
      </c>
      <c r="AF548">
        <v>9050</v>
      </c>
      <c r="AG548">
        <v>1</v>
      </c>
    </row>
    <row r="549" spans="1:33" ht="38.25" customHeight="1">
      <c r="A549">
        <v>1443</v>
      </c>
      <c r="B549" t="s">
        <v>1959</v>
      </c>
      <c r="C549">
        <v>12</v>
      </c>
      <c r="D549" t="s">
        <v>3046</v>
      </c>
      <c r="E549">
        <v>150</v>
      </c>
      <c r="G549" s="90" t="s">
        <v>3047</v>
      </c>
      <c r="I549">
        <v>56595</v>
      </c>
      <c r="J549" s="80" t="s">
        <v>2958</v>
      </c>
      <c r="K549" t="s">
        <v>767</v>
      </c>
      <c r="L549">
        <v>9002</v>
      </c>
      <c r="M549" t="s">
        <v>1952</v>
      </c>
      <c r="O549">
        <v>0.8</v>
      </c>
      <c r="P549" s="80" t="s">
        <v>2959</v>
      </c>
      <c r="Q549" t="s">
        <v>769</v>
      </c>
      <c r="R549">
        <v>9011</v>
      </c>
      <c r="S549" t="s">
        <v>3048</v>
      </c>
      <c r="U549">
        <v>0.1</v>
      </c>
      <c r="V549">
        <v>70001</v>
      </c>
      <c r="W549">
        <v>3</v>
      </c>
      <c r="X549">
        <v>1</v>
      </c>
      <c r="Y549">
        <v>70002</v>
      </c>
      <c r="Z549">
        <v>3</v>
      </c>
      <c r="AA549">
        <v>1</v>
      </c>
      <c r="AB549">
        <v>1001</v>
      </c>
      <c r="AC549">
        <v>100</v>
      </c>
      <c r="AD549">
        <v>1</v>
      </c>
      <c r="AE549">
        <v>8000</v>
      </c>
      <c r="AF549">
        <v>9050</v>
      </c>
      <c r="AG549">
        <v>1</v>
      </c>
    </row>
    <row r="550" spans="1:33" ht="38.25" customHeight="1">
      <c r="A550">
        <v>1444</v>
      </c>
      <c r="B550" t="s">
        <v>1959</v>
      </c>
      <c r="C550">
        <v>12</v>
      </c>
      <c r="D550" t="s">
        <v>3049</v>
      </c>
      <c r="E550">
        <v>150</v>
      </c>
      <c r="G550" s="90" t="s">
        <v>3050</v>
      </c>
      <c r="I550">
        <v>56720</v>
      </c>
      <c r="J550" s="80" t="s">
        <v>2958</v>
      </c>
      <c r="K550" t="s">
        <v>767</v>
      </c>
      <c r="L550">
        <v>9008</v>
      </c>
      <c r="M550" t="s">
        <v>3051</v>
      </c>
      <c r="O550">
        <v>0.9</v>
      </c>
      <c r="P550" s="80" t="s">
        <v>2959</v>
      </c>
      <c r="Q550" t="s">
        <v>769</v>
      </c>
      <c r="R550">
        <v>9012</v>
      </c>
      <c r="S550" t="s">
        <v>3052</v>
      </c>
      <c r="U550">
        <v>0.9</v>
      </c>
      <c r="V550">
        <v>70001</v>
      </c>
      <c r="W550">
        <v>3</v>
      </c>
      <c r="X550">
        <v>1</v>
      </c>
      <c r="Y550">
        <v>70002</v>
      </c>
      <c r="Z550">
        <v>3</v>
      </c>
      <c r="AA550">
        <v>1</v>
      </c>
      <c r="AB550">
        <v>1001</v>
      </c>
      <c r="AC550">
        <v>100</v>
      </c>
      <c r="AD550">
        <v>1</v>
      </c>
      <c r="AE550">
        <v>8000</v>
      </c>
      <c r="AF550">
        <v>9100</v>
      </c>
      <c r="AG550">
        <v>1</v>
      </c>
    </row>
    <row r="551" spans="1:33" ht="38.25" customHeight="1">
      <c r="A551">
        <v>1445</v>
      </c>
      <c r="B551" t="s">
        <v>1959</v>
      </c>
      <c r="C551">
        <v>12</v>
      </c>
      <c r="D551" t="s">
        <v>3053</v>
      </c>
      <c r="E551">
        <v>150</v>
      </c>
      <c r="G551" s="90" t="s">
        <v>3054</v>
      </c>
      <c r="I551">
        <v>56845</v>
      </c>
      <c r="J551" s="80" t="s">
        <v>2958</v>
      </c>
      <c r="K551" t="s">
        <v>767</v>
      </c>
      <c r="L551">
        <v>9001</v>
      </c>
      <c r="M551" t="s">
        <v>2972</v>
      </c>
      <c r="O551">
        <v>0.1</v>
      </c>
      <c r="P551" s="80" t="s">
        <v>2959</v>
      </c>
      <c r="Q551" t="s">
        <v>769</v>
      </c>
      <c r="R551">
        <v>9007</v>
      </c>
      <c r="S551">
        <v>3</v>
      </c>
      <c r="U551">
        <v>0.5</v>
      </c>
      <c r="V551">
        <v>70001</v>
      </c>
      <c r="W551">
        <v>3</v>
      </c>
      <c r="X551">
        <v>1</v>
      </c>
      <c r="Y551">
        <v>70002</v>
      </c>
      <c r="Z551">
        <v>3</v>
      </c>
      <c r="AA551">
        <v>1</v>
      </c>
      <c r="AB551">
        <v>1001</v>
      </c>
      <c r="AC551">
        <v>100</v>
      </c>
      <c r="AD551">
        <v>1</v>
      </c>
      <c r="AE551">
        <v>8000</v>
      </c>
      <c r="AF551">
        <v>9100</v>
      </c>
      <c r="AG551">
        <v>1</v>
      </c>
    </row>
    <row r="552" spans="1:33" ht="38.25" customHeight="1">
      <c r="A552">
        <v>1446</v>
      </c>
      <c r="B552" t="s">
        <v>1959</v>
      </c>
      <c r="C552">
        <v>12</v>
      </c>
      <c r="D552" t="s">
        <v>3055</v>
      </c>
      <c r="E552">
        <v>150</v>
      </c>
      <c r="G552" s="90" t="s">
        <v>3056</v>
      </c>
      <c r="I552">
        <v>56970</v>
      </c>
      <c r="J552" s="80" t="s">
        <v>2958</v>
      </c>
      <c r="K552" t="s">
        <v>767</v>
      </c>
      <c r="L552">
        <v>9008</v>
      </c>
      <c r="M552" t="s">
        <v>1730</v>
      </c>
      <c r="O552">
        <v>0.5</v>
      </c>
      <c r="P552" s="80" t="s">
        <v>2959</v>
      </c>
      <c r="Q552" t="s">
        <v>769</v>
      </c>
      <c r="R552">
        <v>9011</v>
      </c>
      <c r="S552" t="s">
        <v>1848</v>
      </c>
      <c r="U552">
        <v>0.2</v>
      </c>
      <c r="V552">
        <v>70001</v>
      </c>
      <c r="W552">
        <v>3</v>
      </c>
      <c r="X552">
        <v>1</v>
      </c>
      <c r="Y552">
        <v>70002</v>
      </c>
      <c r="Z552">
        <v>3</v>
      </c>
      <c r="AA552">
        <v>1</v>
      </c>
      <c r="AB552">
        <v>1001</v>
      </c>
      <c r="AC552">
        <v>100</v>
      </c>
      <c r="AD552">
        <v>1</v>
      </c>
      <c r="AE552">
        <v>8000</v>
      </c>
      <c r="AF552">
        <v>9150</v>
      </c>
      <c r="AG552">
        <v>1</v>
      </c>
    </row>
    <row r="553" spans="1:33" ht="38.25" customHeight="1">
      <c r="A553">
        <v>1447</v>
      </c>
      <c r="B553" t="s">
        <v>1959</v>
      </c>
      <c r="C553">
        <v>12</v>
      </c>
      <c r="D553" t="s">
        <v>3057</v>
      </c>
      <c r="E553">
        <v>150</v>
      </c>
      <c r="G553" s="90" t="s">
        <v>3058</v>
      </c>
      <c r="I553">
        <v>57095</v>
      </c>
      <c r="J553" s="80" t="s">
        <v>2958</v>
      </c>
      <c r="K553" t="s">
        <v>767</v>
      </c>
      <c r="L553">
        <v>9011</v>
      </c>
      <c r="M553">
        <v>13</v>
      </c>
      <c r="O553">
        <v>0.8</v>
      </c>
      <c r="P553" s="80" t="s">
        <v>2959</v>
      </c>
      <c r="Q553" t="s">
        <v>769</v>
      </c>
      <c r="R553">
        <v>9004</v>
      </c>
      <c r="S553" t="s">
        <v>1858</v>
      </c>
      <c r="U553">
        <v>0.2</v>
      </c>
      <c r="V553">
        <v>70001</v>
      </c>
      <c r="W553">
        <v>3</v>
      </c>
      <c r="X553">
        <v>1</v>
      </c>
      <c r="Y553">
        <v>70002</v>
      </c>
      <c r="Z553">
        <v>3</v>
      </c>
      <c r="AA553">
        <v>1</v>
      </c>
      <c r="AB553">
        <v>1001</v>
      </c>
      <c r="AC553">
        <v>100</v>
      </c>
      <c r="AD553">
        <v>1</v>
      </c>
      <c r="AE553">
        <v>8000</v>
      </c>
      <c r="AF553">
        <v>9150</v>
      </c>
      <c r="AG553">
        <v>1</v>
      </c>
    </row>
    <row r="554" spans="1:33" ht="38.25" customHeight="1">
      <c r="A554">
        <v>1448</v>
      </c>
      <c r="B554" t="s">
        <v>1959</v>
      </c>
      <c r="C554">
        <v>12</v>
      </c>
      <c r="D554" t="s">
        <v>3059</v>
      </c>
      <c r="E554">
        <v>150</v>
      </c>
      <c r="G554" s="90" t="s">
        <v>3060</v>
      </c>
      <c r="I554">
        <v>57220</v>
      </c>
      <c r="J554" s="80" t="s">
        <v>2958</v>
      </c>
      <c r="K554" t="s">
        <v>767</v>
      </c>
      <c r="L554">
        <v>9011</v>
      </c>
      <c r="M554" t="s">
        <v>2253</v>
      </c>
      <c r="O554">
        <v>0.4</v>
      </c>
      <c r="P554" s="80" t="s">
        <v>2959</v>
      </c>
      <c r="Q554" t="s">
        <v>769</v>
      </c>
      <c r="R554">
        <v>9004</v>
      </c>
      <c r="S554" t="s">
        <v>2498</v>
      </c>
      <c r="U554">
        <v>0.9</v>
      </c>
      <c r="V554">
        <v>70001</v>
      </c>
      <c r="W554">
        <v>3</v>
      </c>
      <c r="X554">
        <v>1</v>
      </c>
      <c r="Y554">
        <v>70002</v>
      </c>
      <c r="Z554">
        <v>3</v>
      </c>
      <c r="AA554">
        <v>1</v>
      </c>
      <c r="AB554">
        <v>1001</v>
      </c>
      <c r="AC554">
        <v>100</v>
      </c>
      <c r="AD554">
        <v>1</v>
      </c>
      <c r="AE554">
        <v>8000</v>
      </c>
      <c r="AF554">
        <v>9200</v>
      </c>
      <c r="AG554">
        <v>1</v>
      </c>
    </row>
    <row r="555" spans="1:33" ht="38.25" customHeight="1">
      <c r="A555">
        <v>1449</v>
      </c>
      <c r="B555" t="s">
        <v>1959</v>
      </c>
      <c r="C555">
        <v>12</v>
      </c>
      <c r="D555" t="s">
        <v>3061</v>
      </c>
      <c r="E555">
        <v>150</v>
      </c>
      <c r="G555" s="90" t="s">
        <v>3062</v>
      </c>
      <c r="I555">
        <v>57345</v>
      </c>
      <c r="J555" s="80" t="s">
        <v>2958</v>
      </c>
      <c r="K555" t="s">
        <v>767</v>
      </c>
      <c r="L555">
        <v>9006</v>
      </c>
      <c r="M555">
        <v>1</v>
      </c>
      <c r="O555">
        <v>0.2</v>
      </c>
      <c r="P555" s="80" t="s">
        <v>2959</v>
      </c>
      <c r="Q555" t="s">
        <v>769</v>
      </c>
      <c r="R555">
        <v>9007</v>
      </c>
      <c r="S555" t="s">
        <v>1791</v>
      </c>
      <c r="U555">
        <v>0.4</v>
      </c>
      <c r="V555">
        <v>70001</v>
      </c>
      <c r="W555">
        <v>3</v>
      </c>
      <c r="X555">
        <v>1</v>
      </c>
      <c r="Y555">
        <v>70002</v>
      </c>
      <c r="Z555">
        <v>3</v>
      </c>
      <c r="AA555">
        <v>1</v>
      </c>
      <c r="AB555">
        <v>1001</v>
      </c>
      <c r="AC555">
        <v>500</v>
      </c>
      <c r="AD555">
        <v>1</v>
      </c>
      <c r="AE555">
        <v>8000</v>
      </c>
      <c r="AF555">
        <v>9200</v>
      </c>
      <c r="AG555">
        <v>1</v>
      </c>
    </row>
    <row r="556" spans="1:33" ht="38.25" customHeight="1">
      <c r="A556">
        <v>1450</v>
      </c>
      <c r="B556" t="s">
        <v>1959</v>
      </c>
      <c r="C556">
        <v>13</v>
      </c>
      <c r="D556" t="s">
        <v>3063</v>
      </c>
      <c r="E556">
        <v>150</v>
      </c>
      <c r="G556" s="90" t="s">
        <v>3064</v>
      </c>
      <c r="I556">
        <v>57470</v>
      </c>
      <c r="J556" s="80" t="s">
        <v>3065</v>
      </c>
      <c r="K556" t="s">
        <v>767</v>
      </c>
      <c r="L556">
        <v>9005</v>
      </c>
      <c r="M556" t="s">
        <v>2939</v>
      </c>
      <c r="O556">
        <v>0.1</v>
      </c>
      <c r="P556" s="80" t="s">
        <v>3066</v>
      </c>
      <c r="Q556" t="s">
        <v>769</v>
      </c>
      <c r="R556">
        <v>9010</v>
      </c>
      <c r="S556" t="s">
        <v>1759</v>
      </c>
      <c r="U556">
        <v>0.4</v>
      </c>
      <c r="V556">
        <v>70001</v>
      </c>
      <c r="W556">
        <v>3</v>
      </c>
      <c r="X556">
        <v>1</v>
      </c>
      <c r="Y556">
        <v>70002</v>
      </c>
      <c r="Z556">
        <v>3</v>
      </c>
      <c r="AA556">
        <v>1</v>
      </c>
      <c r="AB556">
        <v>1001</v>
      </c>
      <c r="AC556">
        <v>100</v>
      </c>
      <c r="AD556">
        <v>1</v>
      </c>
      <c r="AE556">
        <v>8000</v>
      </c>
      <c r="AF556">
        <v>9250</v>
      </c>
      <c r="AG556">
        <v>1</v>
      </c>
    </row>
    <row r="557" spans="1:33" ht="38.25" customHeight="1">
      <c r="A557">
        <v>1451</v>
      </c>
      <c r="B557" t="s">
        <v>1959</v>
      </c>
      <c r="C557">
        <v>13</v>
      </c>
      <c r="D557" t="s">
        <v>3067</v>
      </c>
      <c r="E557">
        <v>150</v>
      </c>
      <c r="G557" s="90" t="s">
        <v>3068</v>
      </c>
      <c r="I557">
        <v>57595</v>
      </c>
      <c r="J557" s="80" t="s">
        <v>3065</v>
      </c>
      <c r="K557" t="s">
        <v>767</v>
      </c>
      <c r="L557">
        <v>9008</v>
      </c>
      <c r="M557">
        <v>5</v>
      </c>
      <c r="O557">
        <v>0.2</v>
      </c>
      <c r="P557" s="80" t="s">
        <v>3066</v>
      </c>
      <c r="Q557" t="s">
        <v>769</v>
      </c>
      <c r="R557">
        <v>9003</v>
      </c>
      <c r="S557" t="s">
        <v>2149</v>
      </c>
      <c r="U557">
        <v>1</v>
      </c>
      <c r="V557">
        <v>70001</v>
      </c>
      <c r="W557">
        <v>3</v>
      </c>
      <c r="X557">
        <v>1</v>
      </c>
      <c r="Y557">
        <v>70002</v>
      </c>
      <c r="Z557">
        <v>3</v>
      </c>
      <c r="AA557">
        <v>1</v>
      </c>
      <c r="AB557">
        <v>1001</v>
      </c>
      <c r="AC557">
        <v>100</v>
      </c>
      <c r="AD557">
        <v>1</v>
      </c>
      <c r="AE557">
        <v>8000</v>
      </c>
      <c r="AF557">
        <v>9250</v>
      </c>
      <c r="AG557">
        <v>1</v>
      </c>
    </row>
    <row r="558" spans="1:33" ht="38.25" customHeight="1">
      <c r="A558">
        <v>1452</v>
      </c>
      <c r="B558" t="s">
        <v>1959</v>
      </c>
      <c r="C558">
        <v>13</v>
      </c>
      <c r="D558" t="s">
        <v>3069</v>
      </c>
      <c r="E558">
        <v>150</v>
      </c>
      <c r="G558" s="90" t="s">
        <v>3070</v>
      </c>
      <c r="I558">
        <v>57720</v>
      </c>
      <c r="J558" s="80" t="s">
        <v>3065</v>
      </c>
      <c r="K558" t="s">
        <v>767</v>
      </c>
      <c r="L558">
        <v>9002</v>
      </c>
      <c r="M558">
        <v>7</v>
      </c>
      <c r="O558">
        <v>0.2</v>
      </c>
      <c r="P558" s="80" t="s">
        <v>3066</v>
      </c>
      <c r="Q558" t="s">
        <v>769</v>
      </c>
      <c r="R558">
        <v>9011</v>
      </c>
      <c r="S558">
        <v>7</v>
      </c>
      <c r="U558">
        <v>0.4</v>
      </c>
      <c r="V558">
        <v>70001</v>
      </c>
      <c r="W558">
        <v>3</v>
      </c>
      <c r="X558">
        <v>1</v>
      </c>
      <c r="Y558">
        <v>70002</v>
      </c>
      <c r="Z558">
        <v>3</v>
      </c>
      <c r="AA558">
        <v>1</v>
      </c>
      <c r="AB558">
        <v>1001</v>
      </c>
      <c r="AC558">
        <v>100</v>
      </c>
      <c r="AD558">
        <v>1</v>
      </c>
      <c r="AE558">
        <v>8000</v>
      </c>
      <c r="AF558">
        <v>9300</v>
      </c>
      <c r="AG558">
        <v>1</v>
      </c>
    </row>
    <row r="559" spans="1:33" ht="38.25" customHeight="1">
      <c r="A559">
        <v>1453</v>
      </c>
      <c r="B559" t="s">
        <v>1959</v>
      </c>
      <c r="C559">
        <v>13</v>
      </c>
      <c r="D559" t="s">
        <v>3071</v>
      </c>
      <c r="E559">
        <v>150</v>
      </c>
      <c r="G559" s="90" t="s">
        <v>3072</v>
      </c>
      <c r="I559">
        <v>57845</v>
      </c>
      <c r="J559" s="80" t="s">
        <v>3065</v>
      </c>
      <c r="K559" t="s">
        <v>767</v>
      </c>
      <c r="L559">
        <v>9002</v>
      </c>
      <c r="M559" t="s">
        <v>2114</v>
      </c>
      <c r="O559">
        <v>0.3</v>
      </c>
      <c r="P559" s="80" t="s">
        <v>3066</v>
      </c>
      <c r="Q559" t="s">
        <v>769</v>
      </c>
      <c r="R559">
        <v>9012</v>
      </c>
      <c r="S559" t="s">
        <v>1652</v>
      </c>
      <c r="U559">
        <v>0.1</v>
      </c>
      <c r="V559">
        <v>70001</v>
      </c>
      <c r="W559">
        <v>3</v>
      </c>
      <c r="X559">
        <v>1</v>
      </c>
      <c r="Y559">
        <v>70002</v>
      </c>
      <c r="Z559">
        <v>3</v>
      </c>
      <c r="AA559">
        <v>1</v>
      </c>
      <c r="AB559">
        <v>1001</v>
      </c>
      <c r="AC559">
        <v>100</v>
      </c>
      <c r="AD559">
        <v>1</v>
      </c>
      <c r="AE559">
        <v>8000</v>
      </c>
      <c r="AF559">
        <v>9350</v>
      </c>
      <c r="AG559">
        <v>1</v>
      </c>
    </row>
    <row r="560" spans="1:33" ht="38.25" customHeight="1">
      <c r="A560">
        <v>1454</v>
      </c>
      <c r="B560" t="s">
        <v>1959</v>
      </c>
      <c r="C560">
        <v>13</v>
      </c>
      <c r="D560" t="s">
        <v>3073</v>
      </c>
      <c r="E560">
        <v>150</v>
      </c>
      <c r="G560" s="90" t="s">
        <v>3074</v>
      </c>
      <c r="I560">
        <v>57970</v>
      </c>
      <c r="J560" s="80" t="s">
        <v>3065</v>
      </c>
      <c r="K560" t="s">
        <v>767</v>
      </c>
      <c r="L560">
        <v>9008</v>
      </c>
      <c r="M560" t="s">
        <v>1709</v>
      </c>
      <c r="O560">
        <v>0.5</v>
      </c>
      <c r="P560" s="80" t="s">
        <v>3066</v>
      </c>
      <c r="Q560" t="s">
        <v>769</v>
      </c>
      <c r="R560">
        <v>9008</v>
      </c>
      <c r="S560" t="s">
        <v>2177</v>
      </c>
      <c r="U560">
        <v>0.8</v>
      </c>
      <c r="V560">
        <v>70001</v>
      </c>
      <c r="W560">
        <v>3</v>
      </c>
      <c r="X560">
        <v>1</v>
      </c>
      <c r="Y560">
        <v>70002</v>
      </c>
      <c r="Z560">
        <v>3</v>
      </c>
      <c r="AA560">
        <v>1</v>
      </c>
      <c r="AB560">
        <v>1001</v>
      </c>
      <c r="AC560">
        <v>100</v>
      </c>
      <c r="AD560">
        <v>1</v>
      </c>
      <c r="AE560">
        <v>8000</v>
      </c>
      <c r="AF560">
        <v>9350</v>
      </c>
      <c r="AG560">
        <v>1</v>
      </c>
    </row>
    <row r="561" spans="1:33" ht="38.25" customHeight="1">
      <c r="A561">
        <v>1455</v>
      </c>
      <c r="B561" t="s">
        <v>1959</v>
      </c>
      <c r="C561">
        <v>13</v>
      </c>
      <c r="D561" t="s">
        <v>3075</v>
      </c>
      <c r="E561">
        <v>150</v>
      </c>
      <c r="G561" s="90" t="s">
        <v>3076</v>
      </c>
      <c r="I561">
        <v>58095</v>
      </c>
      <c r="J561" s="80" t="s">
        <v>3065</v>
      </c>
      <c r="K561" t="s">
        <v>767</v>
      </c>
      <c r="L561">
        <v>9007</v>
      </c>
      <c r="M561" t="s">
        <v>1768</v>
      </c>
      <c r="O561">
        <v>0.6</v>
      </c>
      <c r="P561" s="80" t="s">
        <v>3066</v>
      </c>
      <c r="Q561" t="s">
        <v>769</v>
      </c>
      <c r="R561">
        <v>9004</v>
      </c>
      <c r="S561" t="s">
        <v>2231</v>
      </c>
      <c r="U561">
        <v>0.5</v>
      </c>
      <c r="V561">
        <v>70001</v>
      </c>
      <c r="W561">
        <v>3</v>
      </c>
      <c r="X561">
        <v>1</v>
      </c>
      <c r="Y561">
        <v>70002</v>
      </c>
      <c r="Z561">
        <v>3</v>
      </c>
      <c r="AA561">
        <v>1</v>
      </c>
      <c r="AB561">
        <v>1001</v>
      </c>
      <c r="AC561">
        <v>100</v>
      </c>
      <c r="AD561">
        <v>1</v>
      </c>
      <c r="AE561">
        <v>8000</v>
      </c>
      <c r="AF561">
        <v>9400</v>
      </c>
      <c r="AG561">
        <v>1</v>
      </c>
    </row>
    <row r="562" spans="1:33" ht="38.25" customHeight="1">
      <c r="A562">
        <v>1456</v>
      </c>
      <c r="B562" t="s">
        <v>1959</v>
      </c>
      <c r="C562">
        <v>13</v>
      </c>
      <c r="D562" t="s">
        <v>3077</v>
      </c>
      <c r="E562">
        <v>150</v>
      </c>
      <c r="G562" s="90" t="s">
        <v>3078</v>
      </c>
      <c r="I562">
        <v>58220</v>
      </c>
      <c r="J562" s="80" t="s">
        <v>3065</v>
      </c>
      <c r="K562" t="s">
        <v>767</v>
      </c>
      <c r="L562">
        <v>9005</v>
      </c>
      <c r="M562" t="s">
        <v>2005</v>
      </c>
      <c r="O562">
        <v>0.3</v>
      </c>
      <c r="P562" s="80" t="s">
        <v>3066</v>
      </c>
      <c r="Q562" t="s">
        <v>769</v>
      </c>
      <c r="R562">
        <v>9010</v>
      </c>
      <c r="S562" t="s">
        <v>1881</v>
      </c>
      <c r="U562">
        <v>0.7</v>
      </c>
      <c r="V562">
        <v>70001</v>
      </c>
      <c r="W562">
        <v>3</v>
      </c>
      <c r="X562">
        <v>1</v>
      </c>
      <c r="Y562">
        <v>70002</v>
      </c>
      <c r="Z562">
        <v>3</v>
      </c>
      <c r="AA562">
        <v>1</v>
      </c>
      <c r="AB562">
        <v>1001</v>
      </c>
      <c r="AC562">
        <v>100</v>
      </c>
      <c r="AD562">
        <v>1</v>
      </c>
      <c r="AE562">
        <v>8000</v>
      </c>
      <c r="AF562">
        <v>9400</v>
      </c>
      <c r="AG562">
        <v>1</v>
      </c>
    </row>
    <row r="563" spans="1:33" ht="38.25" customHeight="1">
      <c r="A563">
        <v>1457</v>
      </c>
      <c r="B563" t="s">
        <v>1959</v>
      </c>
      <c r="C563">
        <v>13</v>
      </c>
      <c r="D563" t="s">
        <v>3079</v>
      </c>
      <c r="E563">
        <v>150</v>
      </c>
      <c r="G563" s="90" t="s">
        <v>3080</v>
      </c>
      <c r="I563">
        <v>58345</v>
      </c>
      <c r="J563" s="80" t="s">
        <v>3065</v>
      </c>
      <c r="K563" t="s">
        <v>767</v>
      </c>
      <c r="L563">
        <v>9007</v>
      </c>
      <c r="M563">
        <v>11</v>
      </c>
      <c r="O563">
        <v>0.5</v>
      </c>
      <c r="P563" s="80" t="s">
        <v>3066</v>
      </c>
      <c r="Q563" t="s">
        <v>769</v>
      </c>
      <c r="R563">
        <v>9011</v>
      </c>
      <c r="S563" t="s">
        <v>2238</v>
      </c>
      <c r="U563">
        <v>0.4</v>
      </c>
      <c r="V563">
        <v>70001</v>
      </c>
      <c r="W563">
        <v>3</v>
      </c>
      <c r="X563">
        <v>1</v>
      </c>
      <c r="Y563">
        <v>70002</v>
      </c>
      <c r="Z563">
        <v>3</v>
      </c>
      <c r="AA563">
        <v>1</v>
      </c>
      <c r="AB563">
        <v>1001</v>
      </c>
      <c r="AC563">
        <v>100</v>
      </c>
      <c r="AD563">
        <v>1</v>
      </c>
      <c r="AE563">
        <v>8000</v>
      </c>
      <c r="AF563">
        <v>9450</v>
      </c>
      <c r="AG563">
        <v>1</v>
      </c>
    </row>
    <row r="564" spans="1:33" ht="38.25" customHeight="1">
      <c r="A564">
        <v>1458</v>
      </c>
      <c r="B564" t="s">
        <v>1959</v>
      </c>
      <c r="C564">
        <v>13</v>
      </c>
      <c r="D564" t="s">
        <v>3081</v>
      </c>
      <c r="E564">
        <v>150</v>
      </c>
      <c r="G564" s="90" t="s">
        <v>3078</v>
      </c>
      <c r="I564">
        <v>58470</v>
      </c>
      <c r="J564" s="80" t="s">
        <v>3065</v>
      </c>
      <c r="K564" t="s">
        <v>767</v>
      </c>
      <c r="L564">
        <v>9002</v>
      </c>
      <c r="M564" t="s">
        <v>1928</v>
      </c>
      <c r="O564">
        <v>0.3</v>
      </c>
      <c r="P564" s="80" t="s">
        <v>3066</v>
      </c>
      <c r="Q564" t="s">
        <v>769</v>
      </c>
      <c r="R564">
        <v>9011</v>
      </c>
      <c r="S564">
        <v>2</v>
      </c>
      <c r="U564">
        <v>0.5</v>
      </c>
      <c r="V564">
        <v>70001</v>
      </c>
      <c r="W564">
        <v>3</v>
      </c>
      <c r="X564">
        <v>1</v>
      </c>
      <c r="Y564">
        <v>70002</v>
      </c>
      <c r="Z564">
        <v>3</v>
      </c>
      <c r="AA564">
        <v>1</v>
      </c>
      <c r="AB564">
        <v>1001</v>
      </c>
      <c r="AC564">
        <v>100</v>
      </c>
      <c r="AD564">
        <v>1</v>
      </c>
      <c r="AE564">
        <v>8000</v>
      </c>
      <c r="AF564">
        <v>9450</v>
      </c>
      <c r="AG564">
        <v>1</v>
      </c>
    </row>
    <row r="565" spans="1:33" ht="38.25" customHeight="1">
      <c r="A565">
        <v>1459</v>
      </c>
      <c r="B565" t="s">
        <v>1959</v>
      </c>
      <c r="C565">
        <v>13</v>
      </c>
      <c r="D565" t="s">
        <v>3082</v>
      </c>
      <c r="E565">
        <v>150</v>
      </c>
      <c r="G565" s="90" t="s">
        <v>3083</v>
      </c>
      <c r="I565">
        <v>58595</v>
      </c>
      <c r="J565" s="80" t="s">
        <v>3065</v>
      </c>
      <c r="K565" t="s">
        <v>767</v>
      </c>
      <c r="L565">
        <v>9001</v>
      </c>
      <c r="M565" t="s">
        <v>2089</v>
      </c>
      <c r="O565">
        <v>0.1</v>
      </c>
      <c r="P565" s="80" t="s">
        <v>3066</v>
      </c>
      <c r="Q565" t="s">
        <v>769</v>
      </c>
      <c r="R565">
        <v>9004</v>
      </c>
      <c r="S565">
        <v>3</v>
      </c>
      <c r="U565">
        <v>0.5</v>
      </c>
      <c r="V565">
        <v>70001</v>
      </c>
      <c r="W565">
        <v>3</v>
      </c>
      <c r="X565">
        <v>1</v>
      </c>
      <c r="Y565">
        <v>70002</v>
      </c>
      <c r="Z565">
        <v>3</v>
      </c>
      <c r="AA565">
        <v>1</v>
      </c>
      <c r="AB565">
        <v>1001</v>
      </c>
      <c r="AC565">
        <v>100</v>
      </c>
      <c r="AD565">
        <v>1</v>
      </c>
      <c r="AE565">
        <v>8000</v>
      </c>
      <c r="AF565">
        <v>9500</v>
      </c>
      <c r="AG565">
        <v>1</v>
      </c>
    </row>
    <row r="566" spans="1:33" ht="38.25" customHeight="1">
      <c r="A566">
        <v>1460</v>
      </c>
      <c r="B566" t="s">
        <v>1959</v>
      </c>
      <c r="C566">
        <v>13</v>
      </c>
      <c r="D566" t="s">
        <v>3084</v>
      </c>
      <c r="E566">
        <v>150</v>
      </c>
      <c r="G566" s="90" t="s">
        <v>3085</v>
      </c>
      <c r="I566">
        <v>58720</v>
      </c>
      <c r="J566" s="80" t="s">
        <v>3065</v>
      </c>
      <c r="K566" t="s">
        <v>767</v>
      </c>
      <c r="L566">
        <v>9001</v>
      </c>
      <c r="M566" t="s">
        <v>1968</v>
      </c>
      <c r="O566">
        <v>0.7</v>
      </c>
      <c r="P566" s="80" t="s">
        <v>3066</v>
      </c>
      <c r="Q566" t="s">
        <v>769</v>
      </c>
      <c r="R566">
        <v>9011</v>
      </c>
      <c r="S566" t="s">
        <v>1768</v>
      </c>
      <c r="U566">
        <v>0.4</v>
      </c>
      <c r="V566">
        <v>70001</v>
      </c>
      <c r="W566">
        <v>3</v>
      </c>
      <c r="X566">
        <v>1</v>
      </c>
      <c r="Y566">
        <v>70002</v>
      </c>
      <c r="Z566">
        <v>3</v>
      </c>
      <c r="AA566">
        <v>1</v>
      </c>
      <c r="AB566">
        <v>1001</v>
      </c>
      <c r="AC566">
        <v>100</v>
      </c>
      <c r="AD566">
        <v>1</v>
      </c>
      <c r="AE566">
        <v>8000</v>
      </c>
      <c r="AF566">
        <v>9500</v>
      </c>
      <c r="AG566">
        <v>1</v>
      </c>
    </row>
    <row r="567" spans="1:33" ht="38.25" customHeight="1">
      <c r="A567">
        <v>1461</v>
      </c>
      <c r="B567" t="s">
        <v>1959</v>
      </c>
      <c r="C567">
        <v>13</v>
      </c>
      <c r="D567" t="s">
        <v>3086</v>
      </c>
      <c r="E567">
        <v>150</v>
      </c>
      <c r="G567" s="90" t="s">
        <v>3087</v>
      </c>
      <c r="I567">
        <v>58845</v>
      </c>
      <c r="J567" s="80" t="s">
        <v>3065</v>
      </c>
      <c r="K567" t="s">
        <v>767</v>
      </c>
      <c r="L567">
        <v>9002</v>
      </c>
      <c r="M567" t="s">
        <v>2258</v>
      </c>
      <c r="O567">
        <v>0.7</v>
      </c>
      <c r="P567" s="80" t="s">
        <v>3066</v>
      </c>
      <c r="Q567" t="s">
        <v>769</v>
      </c>
      <c r="R567">
        <v>9011</v>
      </c>
      <c r="S567" t="s">
        <v>2050</v>
      </c>
      <c r="U567">
        <v>0.6</v>
      </c>
      <c r="V567">
        <v>70001</v>
      </c>
      <c r="W567">
        <v>3</v>
      </c>
      <c r="X567">
        <v>1</v>
      </c>
      <c r="Y567">
        <v>70002</v>
      </c>
      <c r="Z567">
        <v>3</v>
      </c>
      <c r="AA567">
        <v>1</v>
      </c>
      <c r="AB567">
        <v>1001</v>
      </c>
      <c r="AC567">
        <v>100</v>
      </c>
      <c r="AD567">
        <v>1</v>
      </c>
      <c r="AE567">
        <v>8000</v>
      </c>
      <c r="AF567">
        <v>9550</v>
      </c>
      <c r="AG567">
        <v>1</v>
      </c>
    </row>
    <row r="568" spans="1:33" ht="38.25" customHeight="1">
      <c r="A568">
        <v>1462</v>
      </c>
      <c r="B568" t="s">
        <v>1959</v>
      </c>
      <c r="C568">
        <v>13</v>
      </c>
      <c r="D568" t="s">
        <v>3088</v>
      </c>
      <c r="E568">
        <v>150</v>
      </c>
      <c r="G568" s="90" t="s">
        <v>3089</v>
      </c>
      <c r="I568">
        <v>58970</v>
      </c>
      <c r="J568" s="80" t="s">
        <v>3065</v>
      </c>
      <c r="K568" t="s">
        <v>767</v>
      </c>
      <c r="L568">
        <v>9012</v>
      </c>
      <c r="M568">
        <v>8</v>
      </c>
      <c r="O568">
        <v>0.5</v>
      </c>
      <c r="P568" s="80" t="s">
        <v>3066</v>
      </c>
      <c r="Q568" t="s">
        <v>769</v>
      </c>
      <c r="R568">
        <v>9007</v>
      </c>
      <c r="S568">
        <v>1</v>
      </c>
      <c r="U568">
        <v>0.2</v>
      </c>
      <c r="V568">
        <v>70001</v>
      </c>
      <c r="W568">
        <v>3</v>
      </c>
      <c r="X568">
        <v>1</v>
      </c>
      <c r="Y568">
        <v>70002</v>
      </c>
      <c r="Z568">
        <v>3</v>
      </c>
      <c r="AA568">
        <v>1</v>
      </c>
      <c r="AB568">
        <v>1001</v>
      </c>
      <c r="AC568">
        <v>100</v>
      </c>
      <c r="AD568">
        <v>1</v>
      </c>
      <c r="AE568">
        <v>8000</v>
      </c>
      <c r="AF568">
        <v>9550</v>
      </c>
      <c r="AG568">
        <v>1</v>
      </c>
    </row>
    <row r="569" spans="1:33" ht="38.25" customHeight="1">
      <c r="A569">
        <v>1463</v>
      </c>
      <c r="B569" t="s">
        <v>1959</v>
      </c>
      <c r="C569">
        <v>13</v>
      </c>
      <c r="D569" t="s">
        <v>3090</v>
      </c>
      <c r="E569">
        <v>150</v>
      </c>
      <c r="G569" s="90" t="s">
        <v>3091</v>
      </c>
      <c r="I569">
        <v>59095</v>
      </c>
      <c r="J569" s="80" t="s">
        <v>3065</v>
      </c>
      <c r="K569" t="s">
        <v>767</v>
      </c>
      <c r="L569">
        <v>9005</v>
      </c>
      <c r="M569" t="s">
        <v>1696</v>
      </c>
      <c r="O569">
        <v>1</v>
      </c>
      <c r="P569" s="80" t="s">
        <v>3066</v>
      </c>
      <c r="Q569" t="s">
        <v>769</v>
      </c>
      <c r="R569">
        <v>9003</v>
      </c>
      <c r="S569" t="s">
        <v>1780</v>
      </c>
      <c r="U569">
        <v>0.2</v>
      </c>
      <c r="V569">
        <v>70001</v>
      </c>
      <c r="W569">
        <v>3</v>
      </c>
      <c r="X569">
        <v>1</v>
      </c>
      <c r="Y569">
        <v>70002</v>
      </c>
      <c r="Z569">
        <v>3</v>
      </c>
      <c r="AA569">
        <v>1</v>
      </c>
      <c r="AB569">
        <v>1001</v>
      </c>
      <c r="AC569">
        <v>100</v>
      </c>
      <c r="AD569">
        <v>1</v>
      </c>
      <c r="AE569">
        <v>8000</v>
      </c>
      <c r="AF569">
        <v>9600</v>
      </c>
      <c r="AG569">
        <v>1</v>
      </c>
    </row>
    <row r="570" spans="1:33" ht="38.25" customHeight="1">
      <c r="A570">
        <v>1464</v>
      </c>
      <c r="B570" t="s">
        <v>1959</v>
      </c>
      <c r="C570">
        <v>13</v>
      </c>
      <c r="D570" t="s">
        <v>3092</v>
      </c>
      <c r="E570">
        <v>150</v>
      </c>
      <c r="G570" s="90" t="s">
        <v>3093</v>
      </c>
      <c r="I570">
        <v>59220</v>
      </c>
      <c r="J570" s="80" t="s">
        <v>3065</v>
      </c>
      <c r="K570" t="s">
        <v>767</v>
      </c>
      <c r="L570">
        <v>9007</v>
      </c>
      <c r="M570" t="s">
        <v>3094</v>
      </c>
      <c r="O570">
        <v>0.6</v>
      </c>
      <c r="P570" s="80" t="s">
        <v>3066</v>
      </c>
      <c r="Q570" t="s">
        <v>769</v>
      </c>
      <c r="R570">
        <v>9011</v>
      </c>
      <c r="S570" t="s">
        <v>3095</v>
      </c>
      <c r="U570">
        <v>0.1</v>
      </c>
      <c r="V570">
        <v>70001</v>
      </c>
      <c r="W570">
        <v>3</v>
      </c>
      <c r="X570">
        <v>1</v>
      </c>
      <c r="Y570">
        <v>70002</v>
      </c>
      <c r="Z570">
        <v>3</v>
      </c>
      <c r="AA570">
        <v>1</v>
      </c>
      <c r="AB570">
        <v>1001</v>
      </c>
      <c r="AC570">
        <v>100</v>
      </c>
      <c r="AD570">
        <v>1</v>
      </c>
      <c r="AE570">
        <v>8000</v>
      </c>
      <c r="AF570">
        <v>9600</v>
      </c>
      <c r="AG570">
        <v>1</v>
      </c>
    </row>
    <row r="571" spans="1:33" ht="38.25" customHeight="1">
      <c r="A571">
        <v>1465</v>
      </c>
      <c r="B571" t="s">
        <v>1959</v>
      </c>
      <c r="C571">
        <v>13</v>
      </c>
      <c r="D571" t="s">
        <v>3096</v>
      </c>
      <c r="E571">
        <v>150</v>
      </c>
      <c r="G571" s="90" t="s">
        <v>3097</v>
      </c>
      <c r="I571">
        <v>59345</v>
      </c>
      <c r="J571" s="80" t="s">
        <v>3065</v>
      </c>
      <c r="K571" t="s">
        <v>767</v>
      </c>
      <c r="L571">
        <v>9007</v>
      </c>
      <c r="M571" t="s">
        <v>2134</v>
      </c>
      <c r="O571">
        <v>0.4</v>
      </c>
      <c r="P571" s="80" t="s">
        <v>3066</v>
      </c>
      <c r="Q571" t="s">
        <v>769</v>
      </c>
      <c r="R571">
        <v>9008</v>
      </c>
      <c r="S571" t="s">
        <v>2332</v>
      </c>
      <c r="U571">
        <v>0.5</v>
      </c>
      <c r="V571">
        <v>70001</v>
      </c>
      <c r="W571">
        <v>3</v>
      </c>
      <c r="X571">
        <v>1</v>
      </c>
      <c r="Y571">
        <v>70002</v>
      </c>
      <c r="Z571">
        <v>3</v>
      </c>
      <c r="AA571">
        <v>1</v>
      </c>
      <c r="AB571">
        <v>1001</v>
      </c>
      <c r="AC571">
        <v>100</v>
      </c>
      <c r="AD571">
        <v>1</v>
      </c>
      <c r="AE571">
        <v>8000</v>
      </c>
      <c r="AF571">
        <v>9650</v>
      </c>
      <c r="AG571">
        <v>1</v>
      </c>
    </row>
    <row r="572" spans="1:33" ht="38.25" customHeight="1">
      <c r="A572">
        <v>1466</v>
      </c>
      <c r="B572" t="s">
        <v>1959</v>
      </c>
      <c r="C572">
        <v>13</v>
      </c>
      <c r="D572" t="s">
        <v>3098</v>
      </c>
      <c r="E572">
        <v>150</v>
      </c>
      <c r="G572" s="90" t="s">
        <v>3099</v>
      </c>
      <c r="I572">
        <v>59470</v>
      </c>
      <c r="J572" s="80" t="s">
        <v>3065</v>
      </c>
      <c r="K572" t="s">
        <v>767</v>
      </c>
      <c r="L572">
        <v>9006</v>
      </c>
      <c r="M572">
        <v>8</v>
      </c>
      <c r="O572">
        <v>0.4</v>
      </c>
      <c r="P572" s="80" t="s">
        <v>3066</v>
      </c>
      <c r="Q572" t="s">
        <v>769</v>
      </c>
      <c r="R572">
        <v>9007</v>
      </c>
      <c r="S572" t="s">
        <v>1952</v>
      </c>
      <c r="U572">
        <v>0.3</v>
      </c>
      <c r="V572">
        <v>70001</v>
      </c>
      <c r="W572">
        <v>3</v>
      </c>
      <c r="X572">
        <v>1</v>
      </c>
      <c r="Y572">
        <v>70002</v>
      </c>
      <c r="Z572">
        <v>3</v>
      </c>
      <c r="AA572">
        <v>1</v>
      </c>
      <c r="AB572">
        <v>1001</v>
      </c>
      <c r="AC572">
        <v>100</v>
      </c>
      <c r="AD572">
        <v>1</v>
      </c>
      <c r="AE572">
        <v>8000</v>
      </c>
      <c r="AF572">
        <v>9700</v>
      </c>
      <c r="AG572">
        <v>1</v>
      </c>
    </row>
    <row r="573" spans="1:33" ht="38.25" customHeight="1">
      <c r="A573">
        <v>1467</v>
      </c>
      <c r="B573" t="s">
        <v>1959</v>
      </c>
      <c r="C573">
        <v>13</v>
      </c>
      <c r="D573" t="s">
        <v>3100</v>
      </c>
      <c r="E573">
        <v>150</v>
      </c>
      <c r="G573" s="90" t="s">
        <v>3101</v>
      </c>
      <c r="I573">
        <v>59595</v>
      </c>
      <c r="J573" s="80" t="s">
        <v>3065</v>
      </c>
      <c r="K573" t="s">
        <v>767</v>
      </c>
      <c r="L573">
        <v>9001</v>
      </c>
      <c r="M573">
        <v>11</v>
      </c>
      <c r="O573">
        <v>0.9</v>
      </c>
      <c r="P573" s="80" t="s">
        <v>3066</v>
      </c>
      <c r="Q573" t="s">
        <v>769</v>
      </c>
      <c r="R573">
        <v>9003</v>
      </c>
      <c r="S573" t="s">
        <v>1867</v>
      </c>
      <c r="U573">
        <v>0.7</v>
      </c>
      <c r="V573">
        <v>70001</v>
      </c>
      <c r="W573">
        <v>3</v>
      </c>
      <c r="X573">
        <v>1</v>
      </c>
      <c r="Y573">
        <v>70002</v>
      </c>
      <c r="Z573">
        <v>3</v>
      </c>
      <c r="AA573">
        <v>1</v>
      </c>
      <c r="AB573">
        <v>1001</v>
      </c>
      <c r="AC573">
        <v>100</v>
      </c>
      <c r="AD573">
        <v>1</v>
      </c>
      <c r="AE573">
        <v>8000</v>
      </c>
      <c r="AF573">
        <v>9700</v>
      </c>
      <c r="AG573">
        <v>1</v>
      </c>
    </row>
    <row r="574" spans="1:33" ht="38.25" customHeight="1">
      <c r="A574">
        <v>1468</v>
      </c>
      <c r="B574" t="s">
        <v>1959</v>
      </c>
      <c r="C574">
        <v>13</v>
      </c>
      <c r="D574" t="s">
        <v>3102</v>
      </c>
      <c r="E574">
        <v>150</v>
      </c>
      <c r="G574" s="90" t="s">
        <v>3103</v>
      </c>
      <c r="I574">
        <v>59720</v>
      </c>
      <c r="J574" s="80" t="s">
        <v>3065</v>
      </c>
      <c r="K574" t="s">
        <v>767</v>
      </c>
      <c r="L574">
        <v>9011</v>
      </c>
      <c r="M574" t="s">
        <v>2187</v>
      </c>
      <c r="O574">
        <v>0.7</v>
      </c>
      <c r="P574" s="80" t="s">
        <v>3066</v>
      </c>
      <c r="Q574" t="s">
        <v>769</v>
      </c>
      <c r="R574">
        <v>9003</v>
      </c>
      <c r="S574" t="s">
        <v>2231</v>
      </c>
      <c r="U574">
        <v>0.7</v>
      </c>
      <c r="V574">
        <v>70001</v>
      </c>
      <c r="W574">
        <v>3</v>
      </c>
      <c r="X574">
        <v>1</v>
      </c>
      <c r="Y574">
        <v>70002</v>
      </c>
      <c r="Z574">
        <v>3</v>
      </c>
      <c r="AA574">
        <v>1</v>
      </c>
      <c r="AB574">
        <v>1001</v>
      </c>
      <c r="AC574">
        <v>100</v>
      </c>
      <c r="AD574">
        <v>1</v>
      </c>
      <c r="AE574">
        <v>8000</v>
      </c>
      <c r="AF574">
        <v>9750</v>
      </c>
      <c r="AG574">
        <v>1</v>
      </c>
    </row>
    <row r="575" spans="1:33" ht="38.25" customHeight="1">
      <c r="A575">
        <v>1469</v>
      </c>
      <c r="B575" t="s">
        <v>1959</v>
      </c>
      <c r="C575">
        <v>13</v>
      </c>
      <c r="D575" t="s">
        <v>3104</v>
      </c>
      <c r="E575">
        <v>150</v>
      </c>
      <c r="G575" s="90" t="s">
        <v>3105</v>
      </c>
      <c r="I575">
        <v>59845</v>
      </c>
      <c r="J575" s="80" t="s">
        <v>3065</v>
      </c>
      <c r="K575" t="s">
        <v>767</v>
      </c>
      <c r="L575">
        <v>9005</v>
      </c>
      <c r="M575" t="s">
        <v>3106</v>
      </c>
      <c r="O575">
        <v>0.5</v>
      </c>
      <c r="P575" s="80" t="s">
        <v>3066</v>
      </c>
      <c r="Q575" t="s">
        <v>769</v>
      </c>
      <c r="R575">
        <v>9008</v>
      </c>
      <c r="S575" t="s">
        <v>2016</v>
      </c>
      <c r="U575">
        <v>0.1</v>
      </c>
      <c r="V575">
        <v>70001</v>
      </c>
      <c r="W575">
        <v>3</v>
      </c>
      <c r="X575">
        <v>1</v>
      </c>
      <c r="Y575">
        <v>70002</v>
      </c>
      <c r="Z575">
        <v>3</v>
      </c>
      <c r="AA575">
        <v>1</v>
      </c>
      <c r="AB575">
        <v>1001</v>
      </c>
      <c r="AC575">
        <v>100</v>
      </c>
      <c r="AD575">
        <v>1</v>
      </c>
      <c r="AE575">
        <v>8000</v>
      </c>
      <c r="AF575">
        <v>9750</v>
      </c>
      <c r="AG575">
        <v>1</v>
      </c>
    </row>
    <row r="576" spans="1:33" ht="38.25" customHeight="1">
      <c r="A576">
        <v>1470</v>
      </c>
      <c r="B576" t="s">
        <v>1959</v>
      </c>
      <c r="C576">
        <v>13</v>
      </c>
      <c r="D576" t="s">
        <v>3107</v>
      </c>
      <c r="E576">
        <v>150</v>
      </c>
      <c r="G576" s="90" t="s">
        <v>3108</v>
      </c>
      <c r="I576">
        <v>59970</v>
      </c>
      <c r="J576" s="80" t="s">
        <v>3065</v>
      </c>
      <c r="K576" t="s">
        <v>767</v>
      </c>
      <c r="L576">
        <v>9008</v>
      </c>
      <c r="M576">
        <v>12</v>
      </c>
      <c r="O576">
        <v>0.1</v>
      </c>
      <c r="P576" s="80" t="s">
        <v>3066</v>
      </c>
      <c r="Q576" t="s">
        <v>769</v>
      </c>
      <c r="R576">
        <v>9003</v>
      </c>
      <c r="S576" t="s">
        <v>3109</v>
      </c>
      <c r="U576">
        <v>0.4</v>
      </c>
      <c r="V576">
        <v>70001</v>
      </c>
      <c r="W576">
        <v>3</v>
      </c>
      <c r="X576">
        <v>1</v>
      </c>
      <c r="Y576">
        <v>70002</v>
      </c>
      <c r="Z576">
        <v>3</v>
      </c>
      <c r="AA576">
        <v>1</v>
      </c>
      <c r="AB576">
        <v>1001</v>
      </c>
      <c r="AC576">
        <v>100</v>
      </c>
      <c r="AD576">
        <v>1</v>
      </c>
      <c r="AE576">
        <v>8000</v>
      </c>
      <c r="AF576">
        <v>9800</v>
      </c>
      <c r="AG576">
        <v>1</v>
      </c>
    </row>
    <row r="577" spans="1:33" ht="38.25" customHeight="1">
      <c r="A577">
        <v>1471</v>
      </c>
      <c r="B577" t="s">
        <v>1959</v>
      </c>
      <c r="C577">
        <v>13</v>
      </c>
      <c r="D577" t="s">
        <v>3110</v>
      </c>
      <c r="E577">
        <v>150</v>
      </c>
      <c r="G577" s="90" t="s">
        <v>3111</v>
      </c>
      <c r="I577">
        <v>60095</v>
      </c>
      <c r="J577" s="80" t="s">
        <v>3065</v>
      </c>
      <c r="K577" t="s">
        <v>767</v>
      </c>
      <c r="L577">
        <v>9011</v>
      </c>
      <c r="M577" t="s">
        <v>1719</v>
      </c>
      <c r="O577">
        <v>0.7</v>
      </c>
      <c r="P577" s="80" t="s">
        <v>3066</v>
      </c>
      <c r="Q577" t="s">
        <v>769</v>
      </c>
      <c r="R577">
        <v>9011</v>
      </c>
      <c r="S577" t="s">
        <v>2468</v>
      </c>
      <c r="U577">
        <v>0.5</v>
      </c>
      <c r="V577">
        <v>70001</v>
      </c>
      <c r="W577">
        <v>3</v>
      </c>
      <c r="X577">
        <v>1</v>
      </c>
      <c r="Y577">
        <v>70002</v>
      </c>
      <c r="Z577">
        <v>3</v>
      </c>
      <c r="AA577">
        <v>1</v>
      </c>
      <c r="AB577">
        <v>1001</v>
      </c>
      <c r="AC577">
        <v>100</v>
      </c>
      <c r="AD577">
        <v>1</v>
      </c>
      <c r="AE577">
        <v>8000</v>
      </c>
      <c r="AF577">
        <v>9800</v>
      </c>
      <c r="AG577">
        <v>1</v>
      </c>
    </row>
    <row r="578" spans="1:33" ht="38.25" customHeight="1">
      <c r="A578">
        <v>1472</v>
      </c>
      <c r="B578" t="s">
        <v>1959</v>
      </c>
      <c r="C578">
        <v>13</v>
      </c>
      <c r="D578" t="s">
        <v>3112</v>
      </c>
      <c r="E578">
        <v>150</v>
      </c>
      <c r="G578" s="90" t="s">
        <v>3113</v>
      </c>
      <c r="I578">
        <v>60220</v>
      </c>
      <c r="J578" s="80" t="s">
        <v>3065</v>
      </c>
      <c r="K578" t="s">
        <v>767</v>
      </c>
      <c r="L578">
        <v>9005</v>
      </c>
      <c r="M578" t="s">
        <v>2698</v>
      </c>
      <c r="O578">
        <v>0.2</v>
      </c>
      <c r="P578" s="80" t="s">
        <v>3066</v>
      </c>
      <c r="Q578" t="s">
        <v>769</v>
      </c>
      <c r="R578">
        <v>9007</v>
      </c>
      <c r="S578" t="s">
        <v>3114</v>
      </c>
      <c r="U578">
        <v>0.5</v>
      </c>
      <c r="V578">
        <v>70001</v>
      </c>
      <c r="W578">
        <v>3</v>
      </c>
      <c r="X578">
        <v>1</v>
      </c>
      <c r="Y578">
        <v>70002</v>
      </c>
      <c r="Z578">
        <v>3</v>
      </c>
      <c r="AA578">
        <v>1</v>
      </c>
      <c r="AB578">
        <v>1001</v>
      </c>
      <c r="AC578">
        <v>100</v>
      </c>
      <c r="AD578">
        <v>1</v>
      </c>
      <c r="AE578">
        <v>8000</v>
      </c>
      <c r="AF578">
        <v>9850</v>
      </c>
      <c r="AG578">
        <v>1</v>
      </c>
    </row>
    <row r="579" spans="1:33" ht="38.25" customHeight="1">
      <c r="A579">
        <v>1473</v>
      </c>
      <c r="B579" t="s">
        <v>1959</v>
      </c>
      <c r="C579">
        <v>13</v>
      </c>
      <c r="D579" t="s">
        <v>3115</v>
      </c>
      <c r="E579">
        <v>150</v>
      </c>
      <c r="G579" s="90" t="s">
        <v>3116</v>
      </c>
      <c r="I579">
        <v>60345</v>
      </c>
      <c r="J579" s="80" t="s">
        <v>3065</v>
      </c>
      <c r="K579" t="s">
        <v>767</v>
      </c>
      <c r="L579">
        <v>9011</v>
      </c>
      <c r="M579" t="s">
        <v>1839</v>
      </c>
      <c r="O579">
        <v>0.1</v>
      </c>
      <c r="P579" s="80" t="s">
        <v>3066</v>
      </c>
      <c r="Q579" t="s">
        <v>769</v>
      </c>
      <c r="R579">
        <v>9010</v>
      </c>
      <c r="S579" t="s">
        <v>3117</v>
      </c>
      <c r="U579">
        <v>0.3</v>
      </c>
      <c r="V579">
        <v>70001</v>
      </c>
      <c r="W579">
        <v>3</v>
      </c>
      <c r="X579">
        <v>1</v>
      </c>
      <c r="Y579">
        <v>70002</v>
      </c>
      <c r="Z579">
        <v>3</v>
      </c>
      <c r="AA579">
        <v>1</v>
      </c>
      <c r="AB579">
        <v>1001</v>
      </c>
      <c r="AC579">
        <v>100</v>
      </c>
      <c r="AD579">
        <v>1</v>
      </c>
      <c r="AE579">
        <v>8000</v>
      </c>
      <c r="AF579">
        <v>9850</v>
      </c>
      <c r="AG579">
        <v>1</v>
      </c>
    </row>
    <row r="580" spans="1:33" ht="38.25" customHeight="1">
      <c r="A580">
        <v>1474</v>
      </c>
      <c r="B580" t="s">
        <v>1959</v>
      </c>
      <c r="C580">
        <v>13</v>
      </c>
      <c r="D580" t="s">
        <v>3118</v>
      </c>
      <c r="E580">
        <v>150</v>
      </c>
      <c r="G580" s="90" t="s">
        <v>3119</v>
      </c>
      <c r="I580">
        <v>60470</v>
      </c>
      <c r="J580" s="80" t="s">
        <v>3065</v>
      </c>
      <c r="K580" t="s">
        <v>767</v>
      </c>
      <c r="L580">
        <v>9005</v>
      </c>
      <c r="M580">
        <v>8</v>
      </c>
      <c r="O580">
        <v>0.3</v>
      </c>
      <c r="P580" s="80" t="s">
        <v>3066</v>
      </c>
      <c r="Q580" t="s">
        <v>769</v>
      </c>
      <c r="R580">
        <v>9007</v>
      </c>
      <c r="S580" t="s">
        <v>2353</v>
      </c>
      <c r="U580">
        <v>0.8</v>
      </c>
      <c r="V580">
        <v>70001</v>
      </c>
      <c r="W580">
        <v>3</v>
      </c>
      <c r="X580">
        <v>1</v>
      </c>
      <c r="Y580">
        <v>70002</v>
      </c>
      <c r="Z580">
        <v>3</v>
      </c>
      <c r="AA580">
        <v>1</v>
      </c>
      <c r="AB580">
        <v>1001</v>
      </c>
      <c r="AC580">
        <v>100</v>
      </c>
      <c r="AD580">
        <v>1</v>
      </c>
      <c r="AE580">
        <v>8000</v>
      </c>
      <c r="AF580">
        <v>9900</v>
      </c>
      <c r="AG580">
        <v>1</v>
      </c>
    </row>
    <row r="581" spans="1:33" ht="38.25" customHeight="1">
      <c r="A581">
        <v>1475</v>
      </c>
      <c r="B581" t="s">
        <v>1959</v>
      </c>
      <c r="C581">
        <v>13</v>
      </c>
      <c r="D581" t="s">
        <v>3120</v>
      </c>
      <c r="E581">
        <v>150</v>
      </c>
      <c r="G581" s="90" t="s">
        <v>3121</v>
      </c>
      <c r="I581">
        <v>60595</v>
      </c>
      <c r="J581" s="80" t="s">
        <v>3065</v>
      </c>
      <c r="K581" t="s">
        <v>767</v>
      </c>
      <c r="L581">
        <v>9002</v>
      </c>
      <c r="M581" t="s">
        <v>2698</v>
      </c>
      <c r="O581">
        <v>0.3</v>
      </c>
      <c r="P581" s="80" t="s">
        <v>3066</v>
      </c>
      <c r="Q581" t="s">
        <v>769</v>
      </c>
      <c r="R581">
        <v>9004</v>
      </c>
      <c r="S581" t="s">
        <v>1897</v>
      </c>
      <c r="U581">
        <v>0.1</v>
      </c>
      <c r="V581">
        <v>70001</v>
      </c>
      <c r="W581">
        <v>3</v>
      </c>
      <c r="X581">
        <v>1</v>
      </c>
      <c r="Y581">
        <v>70002</v>
      </c>
      <c r="Z581">
        <v>3</v>
      </c>
      <c r="AA581">
        <v>1</v>
      </c>
      <c r="AB581">
        <v>1001</v>
      </c>
      <c r="AC581">
        <v>100</v>
      </c>
      <c r="AD581">
        <v>1</v>
      </c>
      <c r="AE581">
        <v>8000</v>
      </c>
      <c r="AF581">
        <v>9900</v>
      </c>
      <c r="AG581">
        <v>1</v>
      </c>
    </row>
    <row r="582" spans="1:33" ht="38.25" customHeight="1">
      <c r="A582">
        <v>1476</v>
      </c>
      <c r="B582" t="s">
        <v>1959</v>
      </c>
      <c r="C582">
        <v>13</v>
      </c>
      <c r="D582" t="s">
        <v>3122</v>
      </c>
      <c r="E582">
        <v>150</v>
      </c>
      <c r="G582" s="90" t="s">
        <v>3123</v>
      </c>
      <c r="I582">
        <v>60720</v>
      </c>
      <c r="J582" s="80" t="s">
        <v>3065</v>
      </c>
      <c r="K582" t="s">
        <v>767</v>
      </c>
      <c r="L582">
        <v>9006</v>
      </c>
      <c r="M582" t="s">
        <v>2468</v>
      </c>
      <c r="O582">
        <v>0.5</v>
      </c>
      <c r="P582" s="80" t="s">
        <v>3066</v>
      </c>
      <c r="Q582" t="s">
        <v>769</v>
      </c>
      <c r="R582">
        <v>9011</v>
      </c>
      <c r="S582" t="s">
        <v>1709</v>
      </c>
      <c r="U582">
        <v>0.2</v>
      </c>
      <c r="V582">
        <v>70001</v>
      </c>
      <c r="W582">
        <v>3</v>
      </c>
      <c r="X582">
        <v>1</v>
      </c>
      <c r="Y582">
        <v>70002</v>
      </c>
      <c r="Z582">
        <v>3</v>
      </c>
      <c r="AA582">
        <v>1</v>
      </c>
      <c r="AB582">
        <v>1001</v>
      </c>
      <c r="AC582">
        <v>100</v>
      </c>
      <c r="AD582">
        <v>1</v>
      </c>
      <c r="AE582">
        <v>8000</v>
      </c>
      <c r="AF582">
        <v>9950</v>
      </c>
      <c r="AG582">
        <v>1</v>
      </c>
    </row>
    <row r="583" spans="1:33" ht="38.25" customHeight="1">
      <c r="A583">
        <v>1477</v>
      </c>
      <c r="B583" t="s">
        <v>1959</v>
      </c>
      <c r="C583">
        <v>13</v>
      </c>
      <c r="D583" t="s">
        <v>3124</v>
      </c>
      <c r="E583">
        <v>150</v>
      </c>
      <c r="G583" s="90" t="s">
        <v>3125</v>
      </c>
      <c r="I583">
        <v>60845</v>
      </c>
      <c r="J583" s="80" t="s">
        <v>3065</v>
      </c>
      <c r="K583" t="s">
        <v>767</v>
      </c>
      <c r="L583">
        <v>9012</v>
      </c>
      <c r="M583">
        <v>9</v>
      </c>
      <c r="O583">
        <v>0.3</v>
      </c>
      <c r="P583" s="80" t="s">
        <v>3066</v>
      </c>
      <c r="Q583" t="s">
        <v>769</v>
      </c>
      <c r="R583">
        <v>9008</v>
      </c>
      <c r="S583">
        <v>8</v>
      </c>
      <c r="U583">
        <v>0.7</v>
      </c>
      <c r="V583">
        <v>70001</v>
      </c>
      <c r="W583">
        <v>3</v>
      </c>
      <c r="X583">
        <v>1</v>
      </c>
      <c r="Y583">
        <v>70002</v>
      </c>
      <c r="Z583">
        <v>3</v>
      </c>
      <c r="AA583">
        <v>1</v>
      </c>
      <c r="AB583">
        <v>1001</v>
      </c>
      <c r="AC583">
        <v>100</v>
      </c>
      <c r="AD583">
        <v>1</v>
      </c>
      <c r="AE583">
        <v>8000</v>
      </c>
      <c r="AF583">
        <v>10000</v>
      </c>
      <c r="AG583">
        <v>1</v>
      </c>
    </row>
    <row r="584" spans="1:33" ht="38.25" customHeight="1">
      <c r="A584">
        <v>1478</v>
      </c>
      <c r="B584" t="s">
        <v>1959</v>
      </c>
      <c r="C584">
        <v>13</v>
      </c>
      <c r="D584" t="s">
        <v>3126</v>
      </c>
      <c r="E584">
        <v>150</v>
      </c>
      <c r="G584" s="90" t="s">
        <v>3127</v>
      </c>
      <c r="I584">
        <v>60970</v>
      </c>
      <c r="J584" s="80" t="s">
        <v>3065</v>
      </c>
      <c r="K584" t="s">
        <v>767</v>
      </c>
      <c r="L584">
        <v>9011</v>
      </c>
      <c r="M584">
        <v>3</v>
      </c>
      <c r="O584">
        <v>0.9</v>
      </c>
      <c r="P584" s="80" t="s">
        <v>3066</v>
      </c>
      <c r="Q584" t="s">
        <v>769</v>
      </c>
      <c r="R584">
        <v>9011</v>
      </c>
      <c r="S584" t="s">
        <v>2465</v>
      </c>
      <c r="U584">
        <v>0.2</v>
      </c>
      <c r="V584">
        <v>70001</v>
      </c>
      <c r="W584">
        <v>3</v>
      </c>
      <c r="X584">
        <v>1</v>
      </c>
      <c r="Y584">
        <v>70002</v>
      </c>
      <c r="Z584">
        <v>3</v>
      </c>
      <c r="AA584">
        <v>1</v>
      </c>
      <c r="AB584">
        <v>1001</v>
      </c>
      <c r="AC584">
        <v>100</v>
      </c>
      <c r="AD584">
        <v>1</v>
      </c>
      <c r="AE584">
        <v>8000</v>
      </c>
      <c r="AF584">
        <v>10000</v>
      </c>
      <c r="AG584">
        <v>1</v>
      </c>
    </row>
    <row r="585" spans="1:33" ht="38.25" customHeight="1">
      <c r="A585">
        <v>1479</v>
      </c>
      <c r="B585" t="s">
        <v>1959</v>
      </c>
      <c r="C585">
        <v>13</v>
      </c>
      <c r="D585" t="s">
        <v>3128</v>
      </c>
      <c r="E585">
        <v>150</v>
      </c>
      <c r="G585" s="90" t="s">
        <v>3129</v>
      </c>
      <c r="I585">
        <v>61095</v>
      </c>
      <c r="J585" s="80" t="s">
        <v>3065</v>
      </c>
      <c r="K585" t="s">
        <v>767</v>
      </c>
      <c r="L585">
        <v>9008</v>
      </c>
      <c r="M585" t="s">
        <v>3130</v>
      </c>
      <c r="O585">
        <v>0.8</v>
      </c>
      <c r="P585" s="80" t="s">
        <v>3066</v>
      </c>
      <c r="Q585" t="s">
        <v>769</v>
      </c>
      <c r="R585">
        <v>9010</v>
      </c>
      <c r="S585">
        <v>9</v>
      </c>
      <c r="U585">
        <v>0.5</v>
      </c>
      <c r="V585">
        <v>70001</v>
      </c>
      <c r="W585">
        <v>3</v>
      </c>
      <c r="X585">
        <v>1</v>
      </c>
      <c r="Y585">
        <v>70002</v>
      </c>
      <c r="Z585">
        <v>3</v>
      </c>
      <c r="AA585">
        <v>1</v>
      </c>
      <c r="AB585">
        <v>1001</v>
      </c>
      <c r="AC585">
        <v>500</v>
      </c>
      <c r="AD585">
        <v>1</v>
      </c>
      <c r="AE585">
        <v>8000</v>
      </c>
      <c r="AF585">
        <v>10050</v>
      </c>
      <c r="AG585">
        <v>1</v>
      </c>
    </row>
    <row r="586" spans="1:33" ht="38.25" customHeight="1">
      <c r="A586">
        <v>1480</v>
      </c>
      <c r="B586" t="s">
        <v>1959</v>
      </c>
      <c r="C586">
        <v>13</v>
      </c>
      <c r="D586" t="s">
        <v>3131</v>
      </c>
      <c r="E586">
        <v>150</v>
      </c>
      <c r="G586" s="90" t="s">
        <v>3132</v>
      </c>
      <c r="I586">
        <v>61220</v>
      </c>
      <c r="J586" s="80" t="s">
        <v>3065</v>
      </c>
      <c r="K586" t="s">
        <v>767</v>
      </c>
      <c r="L586">
        <v>9006</v>
      </c>
      <c r="M586" t="s">
        <v>2390</v>
      </c>
      <c r="O586">
        <v>0.2</v>
      </c>
      <c r="P586" s="80" t="s">
        <v>3066</v>
      </c>
      <c r="Q586" t="s">
        <v>769</v>
      </c>
      <c r="R586">
        <v>9008</v>
      </c>
      <c r="S586">
        <v>12</v>
      </c>
      <c r="U586">
        <v>0.8</v>
      </c>
      <c r="V586">
        <v>70001</v>
      </c>
      <c r="W586">
        <v>3</v>
      </c>
      <c r="X586">
        <v>1</v>
      </c>
      <c r="Y586">
        <v>70002</v>
      </c>
      <c r="Z586">
        <v>3</v>
      </c>
      <c r="AA586">
        <v>1</v>
      </c>
      <c r="AB586">
        <v>1001</v>
      </c>
      <c r="AC586">
        <v>100</v>
      </c>
      <c r="AD586">
        <v>1</v>
      </c>
      <c r="AE586">
        <v>8000</v>
      </c>
      <c r="AF586">
        <v>10050</v>
      </c>
      <c r="AG586">
        <v>1</v>
      </c>
    </row>
    <row r="587" spans="1:33" ht="38.25" customHeight="1">
      <c r="A587">
        <v>1481</v>
      </c>
      <c r="B587" t="s">
        <v>1959</v>
      </c>
      <c r="C587">
        <v>13</v>
      </c>
      <c r="D587" t="s">
        <v>3133</v>
      </c>
      <c r="E587">
        <v>150</v>
      </c>
      <c r="G587" s="90" t="s">
        <v>3134</v>
      </c>
      <c r="I587">
        <v>61345</v>
      </c>
      <c r="J587" s="80" t="s">
        <v>3065</v>
      </c>
      <c r="K587" t="s">
        <v>767</v>
      </c>
      <c r="L587">
        <v>9007</v>
      </c>
      <c r="M587">
        <v>12</v>
      </c>
      <c r="O587">
        <v>0.9</v>
      </c>
      <c r="P587" s="80" t="s">
        <v>3066</v>
      </c>
      <c r="Q587" t="s">
        <v>769</v>
      </c>
      <c r="R587">
        <v>9012</v>
      </c>
      <c r="S587" t="s">
        <v>1824</v>
      </c>
      <c r="U587">
        <v>1</v>
      </c>
      <c r="V587">
        <v>70001</v>
      </c>
      <c r="W587">
        <v>3</v>
      </c>
      <c r="X587">
        <v>1</v>
      </c>
      <c r="Y587">
        <v>70002</v>
      </c>
      <c r="Z587">
        <v>3</v>
      </c>
      <c r="AA587">
        <v>1</v>
      </c>
      <c r="AB587">
        <v>1001</v>
      </c>
      <c r="AC587">
        <v>100</v>
      </c>
      <c r="AD587">
        <v>1</v>
      </c>
      <c r="AE587">
        <v>8000</v>
      </c>
      <c r="AF587">
        <v>10100</v>
      </c>
      <c r="AG587">
        <v>1</v>
      </c>
    </row>
    <row r="588" spans="1:33" ht="38.25" customHeight="1">
      <c r="A588">
        <v>1482</v>
      </c>
      <c r="B588" t="s">
        <v>1959</v>
      </c>
      <c r="C588">
        <v>13</v>
      </c>
      <c r="D588" t="s">
        <v>3135</v>
      </c>
      <c r="E588">
        <v>150</v>
      </c>
      <c r="G588" s="90" t="s">
        <v>3136</v>
      </c>
      <c r="I588">
        <v>61470</v>
      </c>
      <c r="J588" s="80" t="s">
        <v>3065</v>
      </c>
      <c r="K588" t="s">
        <v>767</v>
      </c>
      <c r="L588">
        <v>9011</v>
      </c>
      <c r="M588" t="s">
        <v>1780</v>
      </c>
      <c r="O588">
        <v>0.6</v>
      </c>
      <c r="P588" s="80" t="s">
        <v>3066</v>
      </c>
      <c r="Q588" t="s">
        <v>769</v>
      </c>
      <c r="R588">
        <v>9007</v>
      </c>
      <c r="S588" t="s">
        <v>1863</v>
      </c>
      <c r="U588">
        <v>0.7</v>
      </c>
      <c r="V588">
        <v>70001</v>
      </c>
      <c r="W588">
        <v>3</v>
      </c>
      <c r="X588">
        <v>1</v>
      </c>
      <c r="Y588">
        <v>70002</v>
      </c>
      <c r="Z588">
        <v>3</v>
      </c>
      <c r="AA588">
        <v>1</v>
      </c>
      <c r="AB588">
        <v>1001</v>
      </c>
      <c r="AC588">
        <v>100</v>
      </c>
      <c r="AD588">
        <v>1</v>
      </c>
      <c r="AE588">
        <v>8000</v>
      </c>
      <c r="AF588">
        <v>10100</v>
      </c>
      <c r="AG588">
        <v>1</v>
      </c>
    </row>
    <row r="589" spans="1:33" ht="38.25" customHeight="1">
      <c r="A589">
        <v>1483</v>
      </c>
      <c r="B589" t="s">
        <v>1959</v>
      </c>
      <c r="C589">
        <v>13</v>
      </c>
      <c r="D589" t="s">
        <v>3137</v>
      </c>
      <c r="E589">
        <v>150</v>
      </c>
      <c r="G589" s="90" t="s">
        <v>3138</v>
      </c>
      <c r="I589">
        <v>61595</v>
      </c>
      <c r="J589" s="80" t="s">
        <v>3065</v>
      </c>
      <c r="K589" t="s">
        <v>767</v>
      </c>
      <c r="L589">
        <v>9005</v>
      </c>
      <c r="M589" t="s">
        <v>1734</v>
      </c>
      <c r="O589">
        <v>0.7</v>
      </c>
      <c r="P589" s="80" t="s">
        <v>3066</v>
      </c>
      <c r="Q589" t="s">
        <v>769</v>
      </c>
      <c r="R589">
        <v>9004</v>
      </c>
      <c r="S589">
        <v>11</v>
      </c>
      <c r="U589">
        <v>0.8</v>
      </c>
      <c r="V589">
        <v>70001</v>
      </c>
      <c r="W589">
        <v>3</v>
      </c>
      <c r="X589">
        <v>1</v>
      </c>
      <c r="Y589">
        <v>70002</v>
      </c>
      <c r="Z589">
        <v>3</v>
      </c>
      <c r="AA589">
        <v>1</v>
      </c>
      <c r="AB589">
        <v>1001</v>
      </c>
      <c r="AC589">
        <v>100</v>
      </c>
      <c r="AD589">
        <v>1</v>
      </c>
      <c r="AE589">
        <v>8000</v>
      </c>
      <c r="AF589">
        <v>10150</v>
      </c>
      <c r="AG589">
        <v>1</v>
      </c>
    </row>
    <row r="590" spans="1:33" ht="38.25" customHeight="1">
      <c r="A590">
        <v>1484</v>
      </c>
      <c r="B590" t="s">
        <v>1959</v>
      </c>
      <c r="C590">
        <v>13</v>
      </c>
      <c r="D590" t="s">
        <v>3139</v>
      </c>
      <c r="E590">
        <v>150</v>
      </c>
      <c r="G590" s="90" t="s">
        <v>3140</v>
      </c>
      <c r="I590">
        <v>61720</v>
      </c>
      <c r="J590" s="80" t="s">
        <v>3065</v>
      </c>
      <c r="K590" t="s">
        <v>767</v>
      </c>
      <c r="L590">
        <v>9005</v>
      </c>
      <c r="M590">
        <v>10</v>
      </c>
      <c r="O590">
        <v>0.4</v>
      </c>
      <c r="P590" s="80" t="s">
        <v>3066</v>
      </c>
      <c r="Q590" t="s">
        <v>769</v>
      </c>
      <c r="R590">
        <v>9008</v>
      </c>
      <c r="S590">
        <v>2</v>
      </c>
      <c r="U590">
        <v>0.6</v>
      </c>
      <c r="V590">
        <v>70001</v>
      </c>
      <c r="W590">
        <v>3</v>
      </c>
      <c r="X590">
        <v>1</v>
      </c>
      <c r="Y590">
        <v>70002</v>
      </c>
      <c r="Z590">
        <v>3</v>
      </c>
      <c r="AA590">
        <v>1</v>
      </c>
      <c r="AB590">
        <v>1001</v>
      </c>
      <c r="AC590">
        <v>100</v>
      </c>
      <c r="AD590">
        <v>1</v>
      </c>
      <c r="AE590">
        <v>8000</v>
      </c>
      <c r="AF590">
        <v>10150</v>
      </c>
      <c r="AG590">
        <v>1</v>
      </c>
    </row>
    <row r="591" spans="1:33" ht="38.25" customHeight="1">
      <c r="A591">
        <v>1485</v>
      </c>
      <c r="B591" t="s">
        <v>1959</v>
      </c>
      <c r="C591">
        <v>13</v>
      </c>
      <c r="D591" t="s">
        <v>3141</v>
      </c>
      <c r="E591">
        <v>150</v>
      </c>
      <c r="G591" s="90" t="s">
        <v>3142</v>
      </c>
      <c r="I591">
        <v>61845</v>
      </c>
      <c r="J591" s="80" t="s">
        <v>3065</v>
      </c>
      <c r="K591" t="s">
        <v>767</v>
      </c>
      <c r="L591">
        <v>9006</v>
      </c>
      <c r="M591" t="s">
        <v>2644</v>
      </c>
      <c r="O591">
        <v>0.4</v>
      </c>
      <c r="P591" s="80" t="s">
        <v>3066</v>
      </c>
      <c r="Q591" t="s">
        <v>769</v>
      </c>
      <c r="R591">
        <v>9012</v>
      </c>
      <c r="S591">
        <v>6</v>
      </c>
      <c r="U591">
        <v>0.8</v>
      </c>
      <c r="V591">
        <v>70001</v>
      </c>
      <c r="W591">
        <v>3</v>
      </c>
      <c r="X591">
        <v>1</v>
      </c>
      <c r="Y591">
        <v>70002</v>
      </c>
      <c r="Z591">
        <v>3</v>
      </c>
      <c r="AA591">
        <v>1</v>
      </c>
      <c r="AB591">
        <v>1001</v>
      </c>
      <c r="AC591">
        <v>100</v>
      </c>
      <c r="AD591">
        <v>1</v>
      </c>
      <c r="AE591">
        <v>8000</v>
      </c>
      <c r="AF591">
        <v>10200</v>
      </c>
      <c r="AG591">
        <v>1</v>
      </c>
    </row>
    <row r="592" spans="1:33" ht="38.25" customHeight="1">
      <c r="A592">
        <v>1486</v>
      </c>
      <c r="B592" t="s">
        <v>1959</v>
      </c>
      <c r="C592">
        <v>13</v>
      </c>
      <c r="D592" t="s">
        <v>3143</v>
      </c>
      <c r="E592">
        <v>150</v>
      </c>
      <c r="G592" s="90" t="s">
        <v>3144</v>
      </c>
      <c r="I592">
        <v>61970</v>
      </c>
      <c r="J592" s="80" t="s">
        <v>3065</v>
      </c>
      <c r="K592" t="s">
        <v>767</v>
      </c>
      <c r="L592">
        <v>9001</v>
      </c>
      <c r="M592" t="s">
        <v>2698</v>
      </c>
      <c r="O592">
        <v>0.3</v>
      </c>
      <c r="P592" s="80" t="s">
        <v>3066</v>
      </c>
      <c r="Q592" t="s">
        <v>769</v>
      </c>
      <c r="R592">
        <v>9011</v>
      </c>
      <c r="S592" t="s">
        <v>1914</v>
      </c>
      <c r="U592">
        <v>0.2</v>
      </c>
      <c r="V592">
        <v>70001</v>
      </c>
      <c r="W592">
        <v>3</v>
      </c>
      <c r="X592">
        <v>1</v>
      </c>
      <c r="Y592">
        <v>70002</v>
      </c>
      <c r="Z592">
        <v>3</v>
      </c>
      <c r="AA592">
        <v>1</v>
      </c>
      <c r="AB592">
        <v>1001</v>
      </c>
      <c r="AC592">
        <v>100</v>
      </c>
      <c r="AD592">
        <v>1</v>
      </c>
      <c r="AE592">
        <v>8000</v>
      </c>
      <c r="AF592">
        <v>10200</v>
      </c>
      <c r="AG592">
        <v>1</v>
      </c>
    </row>
    <row r="593" spans="1:33" ht="38.25" customHeight="1">
      <c r="A593">
        <v>1487</v>
      </c>
      <c r="B593" t="s">
        <v>1959</v>
      </c>
      <c r="C593">
        <v>13</v>
      </c>
      <c r="D593" t="s">
        <v>3145</v>
      </c>
      <c r="E593">
        <v>150</v>
      </c>
      <c r="G593" s="90" t="s">
        <v>3146</v>
      </c>
      <c r="I593">
        <v>62095</v>
      </c>
      <c r="J593" s="80" t="s">
        <v>3065</v>
      </c>
      <c r="K593" t="s">
        <v>767</v>
      </c>
      <c r="L593">
        <v>9001</v>
      </c>
      <c r="M593">
        <v>5</v>
      </c>
      <c r="O593">
        <v>0.5</v>
      </c>
      <c r="P593" s="80" t="s">
        <v>3066</v>
      </c>
      <c r="Q593" t="s">
        <v>769</v>
      </c>
      <c r="R593">
        <v>9011</v>
      </c>
      <c r="S593" t="s">
        <v>2360</v>
      </c>
      <c r="U593">
        <v>0.1</v>
      </c>
      <c r="V593">
        <v>70001</v>
      </c>
      <c r="W593">
        <v>3</v>
      </c>
      <c r="X593">
        <v>1</v>
      </c>
      <c r="Y593">
        <v>70002</v>
      </c>
      <c r="Z593">
        <v>3</v>
      </c>
      <c r="AA593">
        <v>1</v>
      </c>
      <c r="AB593">
        <v>1001</v>
      </c>
      <c r="AC593">
        <v>100</v>
      </c>
      <c r="AD593">
        <v>1</v>
      </c>
      <c r="AE593">
        <v>8000</v>
      </c>
      <c r="AF593">
        <v>10250</v>
      </c>
      <c r="AG593">
        <v>1</v>
      </c>
    </row>
    <row r="594" spans="1:33" ht="38.25" customHeight="1">
      <c r="A594">
        <v>1488</v>
      </c>
      <c r="B594" t="s">
        <v>1959</v>
      </c>
      <c r="C594">
        <v>13</v>
      </c>
      <c r="D594" t="s">
        <v>3147</v>
      </c>
      <c r="E594">
        <v>150</v>
      </c>
      <c r="G594" s="90" t="s">
        <v>3148</v>
      </c>
      <c r="I594">
        <v>62220</v>
      </c>
      <c r="J594" s="80" t="s">
        <v>3065</v>
      </c>
      <c r="K594" t="s">
        <v>767</v>
      </c>
      <c r="L594">
        <v>9002</v>
      </c>
      <c r="M594" t="s">
        <v>3149</v>
      </c>
      <c r="O594">
        <v>0.5</v>
      </c>
      <c r="P594" s="80" t="s">
        <v>3066</v>
      </c>
      <c r="Q594" t="s">
        <v>769</v>
      </c>
      <c r="R594">
        <v>9008</v>
      </c>
      <c r="S594" t="s">
        <v>1989</v>
      </c>
      <c r="U594">
        <v>0.6</v>
      </c>
      <c r="V594">
        <v>70001</v>
      </c>
      <c r="W594">
        <v>3</v>
      </c>
      <c r="X594">
        <v>1</v>
      </c>
      <c r="Y594">
        <v>70002</v>
      </c>
      <c r="Z594">
        <v>3</v>
      </c>
      <c r="AA594">
        <v>1</v>
      </c>
      <c r="AB594">
        <v>1001</v>
      </c>
      <c r="AC594">
        <v>100</v>
      </c>
      <c r="AD594">
        <v>1</v>
      </c>
      <c r="AE594">
        <v>8000</v>
      </c>
      <c r="AF594">
        <v>10300</v>
      </c>
      <c r="AG594">
        <v>1</v>
      </c>
    </row>
    <row r="595" spans="1:33" ht="38.25" customHeight="1">
      <c r="A595">
        <v>1489</v>
      </c>
      <c r="B595" t="s">
        <v>1959</v>
      </c>
      <c r="C595">
        <v>13</v>
      </c>
      <c r="D595" t="s">
        <v>3150</v>
      </c>
      <c r="E595">
        <v>150</v>
      </c>
      <c r="G595" s="90" t="s">
        <v>3151</v>
      </c>
      <c r="I595">
        <v>62345</v>
      </c>
      <c r="J595" s="80" t="s">
        <v>3065</v>
      </c>
      <c r="K595" t="s">
        <v>767</v>
      </c>
      <c r="L595">
        <v>9005</v>
      </c>
      <c r="M595" t="s">
        <v>2489</v>
      </c>
      <c r="O595">
        <v>0.6</v>
      </c>
      <c r="P595" s="80" t="s">
        <v>3066</v>
      </c>
      <c r="Q595" t="s">
        <v>769</v>
      </c>
      <c r="R595">
        <v>9012</v>
      </c>
      <c r="S595">
        <v>1</v>
      </c>
      <c r="U595">
        <v>0.6</v>
      </c>
      <c r="V595">
        <v>70001</v>
      </c>
      <c r="W595">
        <v>3</v>
      </c>
      <c r="X595">
        <v>1</v>
      </c>
      <c r="Y595">
        <v>70002</v>
      </c>
      <c r="Z595">
        <v>3</v>
      </c>
      <c r="AA595">
        <v>1</v>
      </c>
      <c r="AB595">
        <v>1001</v>
      </c>
      <c r="AC595">
        <v>100</v>
      </c>
      <c r="AD595">
        <v>1</v>
      </c>
      <c r="AE595">
        <v>8000</v>
      </c>
      <c r="AF595">
        <v>10300</v>
      </c>
      <c r="AG595">
        <v>1</v>
      </c>
    </row>
    <row r="596" spans="1:33" ht="38.25" customHeight="1">
      <c r="A596">
        <v>1490</v>
      </c>
      <c r="B596" t="s">
        <v>1959</v>
      </c>
      <c r="C596">
        <v>13</v>
      </c>
      <c r="D596" t="s">
        <v>3152</v>
      </c>
      <c r="E596">
        <v>150</v>
      </c>
      <c r="G596" s="90" t="s">
        <v>3153</v>
      </c>
      <c r="I596">
        <v>62470</v>
      </c>
      <c r="J596" s="80" t="s">
        <v>3065</v>
      </c>
      <c r="K596" t="s">
        <v>767</v>
      </c>
      <c r="L596">
        <v>9005</v>
      </c>
      <c r="M596" t="s">
        <v>1713</v>
      </c>
      <c r="O596">
        <v>0.6</v>
      </c>
      <c r="P596" s="80" t="s">
        <v>3066</v>
      </c>
      <c r="Q596" t="s">
        <v>769</v>
      </c>
      <c r="R596">
        <v>9012</v>
      </c>
      <c r="S596" t="s">
        <v>1719</v>
      </c>
      <c r="U596">
        <v>0.6</v>
      </c>
      <c r="V596">
        <v>70001</v>
      </c>
      <c r="W596">
        <v>3</v>
      </c>
      <c r="X596">
        <v>1</v>
      </c>
      <c r="Y596">
        <v>70002</v>
      </c>
      <c r="Z596">
        <v>3</v>
      </c>
      <c r="AA596">
        <v>1</v>
      </c>
      <c r="AB596">
        <v>1001</v>
      </c>
      <c r="AC596">
        <v>100</v>
      </c>
      <c r="AD596">
        <v>1</v>
      </c>
      <c r="AE596">
        <v>8000</v>
      </c>
      <c r="AF596">
        <v>10350</v>
      </c>
      <c r="AG596">
        <v>1</v>
      </c>
    </row>
    <row r="597" spans="1:33" ht="38.25" customHeight="1">
      <c r="A597">
        <v>1491</v>
      </c>
      <c r="B597" t="s">
        <v>1959</v>
      </c>
      <c r="C597">
        <v>13</v>
      </c>
      <c r="D597" t="s">
        <v>3154</v>
      </c>
      <c r="E597">
        <v>150</v>
      </c>
      <c r="G597" s="90" t="s">
        <v>3155</v>
      </c>
      <c r="I597">
        <v>62595</v>
      </c>
      <c r="J597" s="80" t="s">
        <v>3065</v>
      </c>
      <c r="K597" t="s">
        <v>767</v>
      </c>
      <c r="L597">
        <v>9007</v>
      </c>
      <c r="M597" t="s">
        <v>1978</v>
      </c>
      <c r="O597">
        <v>0.4</v>
      </c>
      <c r="P597" s="80" t="s">
        <v>3066</v>
      </c>
      <c r="Q597" t="s">
        <v>769</v>
      </c>
      <c r="R597">
        <v>9003</v>
      </c>
      <c r="S597">
        <v>5</v>
      </c>
      <c r="U597">
        <v>0.2</v>
      </c>
      <c r="V597">
        <v>70001</v>
      </c>
      <c r="W597">
        <v>3</v>
      </c>
      <c r="X597">
        <v>1</v>
      </c>
      <c r="Y597">
        <v>70002</v>
      </c>
      <c r="Z597">
        <v>3</v>
      </c>
      <c r="AA597">
        <v>1</v>
      </c>
      <c r="AB597">
        <v>1001</v>
      </c>
      <c r="AC597">
        <v>100</v>
      </c>
      <c r="AD597">
        <v>1</v>
      </c>
      <c r="AE597">
        <v>8000</v>
      </c>
      <c r="AF597">
        <v>10350</v>
      </c>
      <c r="AG597">
        <v>1</v>
      </c>
    </row>
    <row r="598" spans="1:33" ht="38.25" customHeight="1">
      <c r="A598">
        <v>1492</v>
      </c>
      <c r="B598" t="s">
        <v>1959</v>
      </c>
      <c r="C598">
        <v>13</v>
      </c>
      <c r="D598" t="s">
        <v>3156</v>
      </c>
      <c r="E598">
        <v>150</v>
      </c>
      <c r="G598" s="90" t="s">
        <v>3157</v>
      </c>
      <c r="I598">
        <v>62720</v>
      </c>
      <c r="J598" s="80" t="s">
        <v>3065</v>
      </c>
      <c r="K598" t="s">
        <v>767</v>
      </c>
      <c r="L598">
        <v>9007</v>
      </c>
      <c r="M598" t="s">
        <v>1729</v>
      </c>
      <c r="O598">
        <v>0.3</v>
      </c>
      <c r="P598" s="80" t="s">
        <v>3066</v>
      </c>
      <c r="Q598" t="s">
        <v>769</v>
      </c>
      <c r="R598">
        <v>9012</v>
      </c>
      <c r="S598">
        <v>1</v>
      </c>
      <c r="U598">
        <v>0.9</v>
      </c>
      <c r="V598">
        <v>70001</v>
      </c>
      <c r="W598">
        <v>3</v>
      </c>
      <c r="X598">
        <v>1</v>
      </c>
      <c r="Y598">
        <v>70002</v>
      </c>
      <c r="Z598">
        <v>3</v>
      </c>
      <c r="AA598">
        <v>1</v>
      </c>
      <c r="AB598">
        <v>1001</v>
      </c>
      <c r="AC598">
        <v>100</v>
      </c>
      <c r="AD598">
        <v>1</v>
      </c>
      <c r="AE598">
        <v>8000</v>
      </c>
      <c r="AF598">
        <v>10400</v>
      </c>
      <c r="AG598">
        <v>1</v>
      </c>
    </row>
    <row r="599" spans="1:33" ht="38.25" customHeight="1">
      <c r="A599">
        <v>1493</v>
      </c>
      <c r="B599" t="s">
        <v>1959</v>
      </c>
      <c r="C599">
        <v>13</v>
      </c>
      <c r="D599" t="s">
        <v>3158</v>
      </c>
      <c r="E599">
        <v>150</v>
      </c>
      <c r="G599" s="90" t="s">
        <v>3159</v>
      </c>
      <c r="I599">
        <v>62845</v>
      </c>
      <c r="J599" s="80" t="s">
        <v>3065</v>
      </c>
      <c r="K599" t="s">
        <v>767</v>
      </c>
      <c r="L599">
        <v>9012</v>
      </c>
      <c r="M599">
        <v>6</v>
      </c>
      <c r="O599">
        <v>0.9</v>
      </c>
      <c r="P599" s="80" t="s">
        <v>3066</v>
      </c>
      <c r="Q599" t="s">
        <v>769</v>
      </c>
      <c r="R599">
        <v>9003</v>
      </c>
      <c r="S599" t="s">
        <v>2194</v>
      </c>
      <c r="U599">
        <v>0.7</v>
      </c>
      <c r="V599">
        <v>70001</v>
      </c>
      <c r="W599">
        <v>3</v>
      </c>
      <c r="X599">
        <v>1</v>
      </c>
      <c r="Y599">
        <v>70002</v>
      </c>
      <c r="Z599">
        <v>3</v>
      </c>
      <c r="AA599">
        <v>1</v>
      </c>
      <c r="AB599">
        <v>1001</v>
      </c>
      <c r="AC599">
        <v>100</v>
      </c>
      <c r="AD599">
        <v>1</v>
      </c>
      <c r="AE599">
        <v>8000</v>
      </c>
      <c r="AF599">
        <v>10400</v>
      </c>
      <c r="AG599">
        <v>1</v>
      </c>
    </row>
    <row r="600" spans="1:33" ht="38.25" customHeight="1">
      <c r="A600">
        <v>1494</v>
      </c>
      <c r="B600" t="s">
        <v>1959</v>
      </c>
      <c r="C600">
        <v>13</v>
      </c>
      <c r="D600" t="s">
        <v>3160</v>
      </c>
      <c r="E600">
        <v>150</v>
      </c>
      <c r="G600" s="90" t="s">
        <v>3161</v>
      </c>
      <c r="I600">
        <v>62970</v>
      </c>
      <c r="J600" s="80" t="s">
        <v>3065</v>
      </c>
      <c r="K600" t="s">
        <v>767</v>
      </c>
      <c r="L600">
        <v>9006</v>
      </c>
      <c r="M600" t="s">
        <v>1669</v>
      </c>
      <c r="O600">
        <v>0.7</v>
      </c>
      <c r="P600" s="80" t="s">
        <v>3066</v>
      </c>
      <c r="Q600" t="s">
        <v>769</v>
      </c>
      <c r="R600">
        <v>9012</v>
      </c>
      <c r="S600" t="s">
        <v>2476</v>
      </c>
      <c r="U600">
        <v>0.8</v>
      </c>
      <c r="V600">
        <v>70001</v>
      </c>
      <c r="W600">
        <v>3</v>
      </c>
      <c r="X600">
        <v>1</v>
      </c>
      <c r="Y600">
        <v>70002</v>
      </c>
      <c r="Z600">
        <v>3</v>
      </c>
      <c r="AA600">
        <v>1</v>
      </c>
      <c r="AB600">
        <v>1001</v>
      </c>
      <c r="AC600">
        <v>100</v>
      </c>
      <c r="AD600">
        <v>1</v>
      </c>
      <c r="AE600">
        <v>8000</v>
      </c>
      <c r="AF600">
        <v>10450</v>
      </c>
      <c r="AG600">
        <v>1</v>
      </c>
    </row>
    <row r="601" spans="1:33" ht="38.25" customHeight="1">
      <c r="A601">
        <v>1495</v>
      </c>
      <c r="B601" t="s">
        <v>1959</v>
      </c>
      <c r="C601">
        <v>13</v>
      </c>
      <c r="D601" t="s">
        <v>3162</v>
      </c>
      <c r="E601">
        <v>150</v>
      </c>
      <c r="G601" s="90" t="s">
        <v>3163</v>
      </c>
      <c r="I601">
        <v>63095</v>
      </c>
      <c r="J601" s="80" t="s">
        <v>3065</v>
      </c>
      <c r="K601" t="s">
        <v>767</v>
      </c>
      <c r="L601">
        <v>9006</v>
      </c>
      <c r="M601" t="s">
        <v>2296</v>
      </c>
      <c r="O601">
        <v>0.9</v>
      </c>
      <c r="P601" s="80" t="s">
        <v>3066</v>
      </c>
      <c r="Q601" t="s">
        <v>769</v>
      </c>
      <c r="R601">
        <v>9003</v>
      </c>
      <c r="S601" t="s">
        <v>1712</v>
      </c>
      <c r="U601">
        <v>1</v>
      </c>
      <c r="V601">
        <v>70001</v>
      </c>
      <c r="W601">
        <v>3</v>
      </c>
      <c r="X601">
        <v>1</v>
      </c>
      <c r="Y601">
        <v>70002</v>
      </c>
      <c r="Z601">
        <v>3</v>
      </c>
      <c r="AA601">
        <v>1</v>
      </c>
      <c r="AB601">
        <v>1001</v>
      </c>
      <c r="AC601">
        <v>100</v>
      </c>
      <c r="AD601">
        <v>1</v>
      </c>
      <c r="AE601">
        <v>8000</v>
      </c>
      <c r="AF601">
        <v>10450</v>
      </c>
      <c r="AG601">
        <v>1</v>
      </c>
    </row>
    <row r="602" spans="1:33" ht="38.25" customHeight="1">
      <c r="A602">
        <v>1496</v>
      </c>
      <c r="B602" t="s">
        <v>1959</v>
      </c>
      <c r="C602">
        <v>13</v>
      </c>
      <c r="D602" t="s">
        <v>3164</v>
      </c>
      <c r="E602">
        <v>150</v>
      </c>
      <c r="G602" s="90" t="s">
        <v>3165</v>
      </c>
      <c r="I602">
        <v>63220</v>
      </c>
      <c r="J602" s="80" t="s">
        <v>3065</v>
      </c>
      <c r="K602" t="s">
        <v>767</v>
      </c>
      <c r="L602">
        <v>9002</v>
      </c>
      <c r="M602">
        <v>11</v>
      </c>
      <c r="O602">
        <v>0.9</v>
      </c>
      <c r="P602" s="80" t="s">
        <v>3066</v>
      </c>
      <c r="Q602" t="s">
        <v>769</v>
      </c>
      <c r="R602">
        <v>9007</v>
      </c>
      <c r="S602" t="s">
        <v>1858</v>
      </c>
      <c r="U602">
        <v>0.4</v>
      </c>
      <c r="V602">
        <v>70001</v>
      </c>
      <c r="W602">
        <v>3</v>
      </c>
      <c r="X602">
        <v>1</v>
      </c>
      <c r="Y602">
        <v>70002</v>
      </c>
      <c r="Z602">
        <v>3</v>
      </c>
      <c r="AA602">
        <v>1</v>
      </c>
      <c r="AB602">
        <v>1001</v>
      </c>
      <c r="AC602">
        <v>100</v>
      </c>
      <c r="AD602">
        <v>1</v>
      </c>
      <c r="AE602">
        <v>8000</v>
      </c>
      <c r="AF602">
        <v>10500</v>
      </c>
      <c r="AG602">
        <v>1</v>
      </c>
    </row>
    <row r="603" spans="1:33" ht="38.25" customHeight="1">
      <c r="A603">
        <v>1497</v>
      </c>
      <c r="B603" t="s">
        <v>1959</v>
      </c>
      <c r="C603">
        <v>13</v>
      </c>
      <c r="D603" t="s">
        <v>3166</v>
      </c>
      <c r="E603">
        <v>150</v>
      </c>
      <c r="G603" s="90" t="s">
        <v>3167</v>
      </c>
      <c r="I603">
        <v>63345</v>
      </c>
      <c r="J603" s="80" t="s">
        <v>3065</v>
      </c>
      <c r="K603" t="s">
        <v>767</v>
      </c>
      <c r="L603">
        <v>9007</v>
      </c>
      <c r="M603">
        <v>13</v>
      </c>
      <c r="O603">
        <v>0.4</v>
      </c>
      <c r="P603" s="80" t="s">
        <v>3066</v>
      </c>
      <c r="Q603" t="s">
        <v>769</v>
      </c>
      <c r="R603">
        <v>9003</v>
      </c>
      <c r="S603" t="s">
        <v>2155</v>
      </c>
      <c r="U603">
        <v>0.2</v>
      </c>
      <c r="V603">
        <v>70001</v>
      </c>
      <c r="W603">
        <v>3</v>
      </c>
      <c r="X603">
        <v>1</v>
      </c>
      <c r="Y603">
        <v>70002</v>
      </c>
      <c r="Z603">
        <v>3</v>
      </c>
      <c r="AA603">
        <v>1</v>
      </c>
      <c r="AB603">
        <v>1001</v>
      </c>
      <c r="AC603">
        <v>100</v>
      </c>
      <c r="AD603">
        <v>1</v>
      </c>
      <c r="AE603">
        <v>8000</v>
      </c>
      <c r="AF603">
        <v>10500</v>
      </c>
      <c r="AG603">
        <v>1</v>
      </c>
    </row>
    <row r="604" spans="1:33" ht="38.25" customHeight="1">
      <c r="A604">
        <v>1498</v>
      </c>
      <c r="B604" t="s">
        <v>1959</v>
      </c>
      <c r="C604">
        <v>13</v>
      </c>
      <c r="D604" t="s">
        <v>3168</v>
      </c>
      <c r="E604">
        <v>150</v>
      </c>
      <c r="G604" s="90" t="s">
        <v>3169</v>
      </c>
      <c r="I604">
        <v>63470</v>
      </c>
      <c r="J604" s="80" t="s">
        <v>3065</v>
      </c>
      <c r="K604" t="s">
        <v>767</v>
      </c>
      <c r="L604">
        <v>9007</v>
      </c>
      <c r="M604">
        <v>13</v>
      </c>
      <c r="O604">
        <v>0.4</v>
      </c>
      <c r="P604" s="80" t="s">
        <v>3066</v>
      </c>
      <c r="Q604" t="s">
        <v>769</v>
      </c>
      <c r="R604">
        <v>9012</v>
      </c>
      <c r="S604" t="s">
        <v>2023</v>
      </c>
      <c r="U604">
        <v>0.9</v>
      </c>
      <c r="V604">
        <v>70001</v>
      </c>
      <c r="W604">
        <v>3</v>
      </c>
      <c r="X604">
        <v>1</v>
      </c>
      <c r="Y604">
        <v>70002</v>
      </c>
      <c r="Z604">
        <v>3</v>
      </c>
      <c r="AA604">
        <v>1</v>
      </c>
      <c r="AB604">
        <v>1001</v>
      </c>
      <c r="AC604">
        <v>100</v>
      </c>
      <c r="AD604">
        <v>1</v>
      </c>
      <c r="AE604">
        <v>8000</v>
      </c>
      <c r="AF604">
        <v>10550</v>
      </c>
      <c r="AG604">
        <v>1</v>
      </c>
    </row>
    <row r="605" spans="1:33" ht="38.25" customHeight="1">
      <c r="A605">
        <v>1499</v>
      </c>
      <c r="B605" t="s">
        <v>1959</v>
      </c>
      <c r="C605">
        <v>13</v>
      </c>
      <c r="D605" t="s">
        <v>3170</v>
      </c>
      <c r="E605">
        <v>150</v>
      </c>
      <c r="G605" s="90" t="s">
        <v>3171</v>
      </c>
      <c r="I605">
        <v>63595</v>
      </c>
      <c r="J605" s="80" t="s">
        <v>3065</v>
      </c>
      <c r="K605" t="s">
        <v>767</v>
      </c>
      <c r="L605">
        <v>9002</v>
      </c>
      <c r="M605" t="s">
        <v>3172</v>
      </c>
      <c r="O605">
        <v>0.7</v>
      </c>
      <c r="P605" s="80" t="s">
        <v>3066</v>
      </c>
      <c r="Q605" t="s">
        <v>769</v>
      </c>
      <c r="R605">
        <v>9007</v>
      </c>
      <c r="S605" t="s">
        <v>2058</v>
      </c>
      <c r="U605">
        <v>0.1</v>
      </c>
      <c r="V605">
        <v>70001</v>
      </c>
      <c r="W605">
        <v>3</v>
      </c>
      <c r="X605">
        <v>1</v>
      </c>
      <c r="Y605">
        <v>70002</v>
      </c>
      <c r="Z605">
        <v>3</v>
      </c>
      <c r="AA605">
        <v>1</v>
      </c>
      <c r="AB605">
        <v>1001</v>
      </c>
      <c r="AC605">
        <v>100</v>
      </c>
      <c r="AD605">
        <v>1</v>
      </c>
      <c r="AE605">
        <v>8000</v>
      </c>
      <c r="AF605">
        <v>10600</v>
      </c>
      <c r="AG605">
        <v>1</v>
      </c>
    </row>
    <row r="606" spans="1:33" ht="38.25" customHeight="1">
      <c r="A606">
        <v>1500</v>
      </c>
      <c r="B606" t="s">
        <v>1959</v>
      </c>
      <c r="C606">
        <v>14</v>
      </c>
      <c r="D606" t="s">
        <v>3173</v>
      </c>
      <c r="E606">
        <v>150</v>
      </c>
      <c r="G606" s="90" t="s">
        <v>3174</v>
      </c>
      <c r="I606">
        <v>63720</v>
      </c>
      <c r="J606" s="80" t="s">
        <v>3175</v>
      </c>
      <c r="K606" t="s">
        <v>767</v>
      </c>
      <c r="L606">
        <v>9006</v>
      </c>
      <c r="M606">
        <v>7</v>
      </c>
      <c r="O606">
        <v>0.7</v>
      </c>
      <c r="P606" s="80" t="s">
        <v>3176</v>
      </c>
      <c r="Q606" t="s">
        <v>769</v>
      </c>
      <c r="R606">
        <v>9007</v>
      </c>
      <c r="S606" t="s">
        <v>1833</v>
      </c>
      <c r="U606">
        <v>0.5</v>
      </c>
      <c r="V606">
        <v>70001</v>
      </c>
      <c r="W606">
        <v>3</v>
      </c>
      <c r="X606">
        <v>1</v>
      </c>
      <c r="Y606">
        <v>70002</v>
      </c>
      <c r="Z606">
        <v>3</v>
      </c>
      <c r="AA606">
        <v>1</v>
      </c>
      <c r="AB606">
        <v>1001</v>
      </c>
      <c r="AC606">
        <v>100</v>
      </c>
      <c r="AD606">
        <v>1</v>
      </c>
      <c r="AE606">
        <v>8000</v>
      </c>
      <c r="AF606">
        <v>10600</v>
      </c>
      <c r="AG606">
        <v>1</v>
      </c>
    </row>
    <row r="607" spans="1:33" ht="38.25" customHeight="1">
      <c r="A607">
        <v>1501</v>
      </c>
      <c r="B607" t="s">
        <v>1959</v>
      </c>
      <c r="C607">
        <v>14</v>
      </c>
      <c r="D607" t="s">
        <v>3177</v>
      </c>
      <c r="E607">
        <v>150</v>
      </c>
      <c r="G607" s="90" t="s">
        <v>3178</v>
      </c>
      <c r="I607">
        <v>63845</v>
      </c>
      <c r="J607" s="80" t="s">
        <v>3175</v>
      </c>
      <c r="K607" t="s">
        <v>767</v>
      </c>
      <c r="L607">
        <v>9007</v>
      </c>
      <c r="M607" t="s">
        <v>3179</v>
      </c>
      <c r="O607">
        <v>0.9</v>
      </c>
      <c r="P607" s="80" t="s">
        <v>3176</v>
      </c>
      <c r="Q607" t="s">
        <v>769</v>
      </c>
      <c r="R607">
        <v>9012</v>
      </c>
      <c r="S607">
        <v>1</v>
      </c>
      <c r="U607">
        <v>0.8</v>
      </c>
      <c r="V607">
        <v>70001</v>
      </c>
      <c r="W607">
        <v>3</v>
      </c>
      <c r="X607">
        <v>1</v>
      </c>
      <c r="Y607">
        <v>70002</v>
      </c>
      <c r="Z607">
        <v>3</v>
      </c>
      <c r="AA607">
        <v>1</v>
      </c>
      <c r="AB607">
        <v>1001</v>
      </c>
      <c r="AC607">
        <v>100</v>
      </c>
      <c r="AD607">
        <v>1</v>
      </c>
      <c r="AE607">
        <v>8000</v>
      </c>
      <c r="AF607">
        <v>10650</v>
      </c>
      <c r="AG607">
        <v>1</v>
      </c>
    </row>
    <row r="608" spans="1:33" ht="38.25" customHeight="1">
      <c r="A608">
        <v>1502</v>
      </c>
      <c r="B608" t="s">
        <v>1959</v>
      </c>
      <c r="C608">
        <v>14</v>
      </c>
      <c r="D608" t="s">
        <v>3180</v>
      </c>
      <c r="E608">
        <v>150</v>
      </c>
      <c r="G608" s="90" t="s">
        <v>3181</v>
      </c>
      <c r="I608">
        <v>63970</v>
      </c>
      <c r="J608" s="80" t="s">
        <v>3175</v>
      </c>
      <c r="K608" t="s">
        <v>767</v>
      </c>
      <c r="L608">
        <v>9005</v>
      </c>
      <c r="M608" t="s">
        <v>2924</v>
      </c>
      <c r="O608">
        <v>0.9</v>
      </c>
      <c r="P608" s="80" t="s">
        <v>3176</v>
      </c>
      <c r="Q608" t="s">
        <v>769</v>
      </c>
      <c r="R608">
        <v>9007</v>
      </c>
      <c r="S608">
        <v>3</v>
      </c>
      <c r="U608">
        <v>0.1</v>
      </c>
      <c r="V608">
        <v>70001</v>
      </c>
      <c r="W608">
        <v>3</v>
      </c>
      <c r="X608">
        <v>1</v>
      </c>
      <c r="Y608">
        <v>70002</v>
      </c>
      <c r="Z608">
        <v>3</v>
      </c>
      <c r="AA608">
        <v>1</v>
      </c>
      <c r="AB608">
        <v>1001</v>
      </c>
      <c r="AC608">
        <v>100</v>
      </c>
      <c r="AD608">
        <v>1</v>
      </c>
      <c r="AE608">
        <v>8000</v>
      </c>
      <c r="AF608">
        <v>10650</v>
      </c>
      <c r="AG608">
        <v>1</v>
      </c>
    </row>
    <row r="609" spans="1:33" ht="38.25" customHeight="1">
      <c r="A609">
        <v>1503</v>
      </c>
      <c r="B609" t="s">
        <v>1959</v>
      </c>
      <c r="C609">
        <v>14</v>
      </c>
      <c r="D609" t="s">
        <v>3182</v>
      </c>
      <c r="E609">
        <v>150</v>
      </c>
      <c r="G609" s="90" t="s">
        <v>3183</v>
      </c>
      <c r="I609">
        <v>64095</v>
      </c>
      <c r="J609" s="80" t="s">
        <v>3175</v>
      </c>
      <c r="K609" t="s">
        <v>767</v>
      </c>
      <c r="L609">
        <v>9012</v>
      </c>
      <c r="M609" t="s">
        <v>1836</v>
      </c>
      <c r="O609">
        <v>0.9</v>
      </c>
      <c r="P609" s="80" t="s">
        <v>3176</v>
      </c>
      <c r="Q609" t="s">
        <v>769</v>
      </c>
      <c r="R609">
        <v>9007</v>
      </c>
      <c r="S609" t="s">
        <v>1790</v>
      </c>
      <c r="U609">
        <v>0.3</v>
      </c>
      <c r="V609">
        <v>70001</v>
      </c>
      <c r="W609">
        <v>3</v>
      </c>
      <c r="X609">
        <v>1</v>
      </c>
      <c r="Y609">
        <v>70002</v>
      </c>
      <c r="Z609">
        <v>3</v>
      </c>
      <c r="AA609">
        <v>1</v>
      </c>
      <c r="AB609">
        <v>1001</v>
      </c>
      <c r="AC609">
        <v>100</v>
      </c>
      <c r="AD609">
        <v>1</v>
      </c>
      <c r="AE609">
        <v>8000</v>
      </c>
      <c r="AF609">
        <v>10700</v>
      </c>
      <c r="AG609">
        <v>1</v>
      </c>
    </row>
    <row r="610" spans="1:33" ht="38.25" customHeight="1">
      <c r="A610">
        <v>1504</v>
      </c>
      <c r="B610" t="s">
        <v>1959</v>
      </c>
      <c r="C610">
        <v>14</v>
      </c>
      <c r="D610" t="s">
        <v>3184</v>
      </c>
      <c r="E610">
        <v>150</v>
      </c>
      <c r="G610" s="90" t="s">
        <v>3185</v>
      </c>
      <c r="I610">
        <v>64220</v>
      </c>
      <c r="J610" s="80" t="s">
        <v>3175</v>
      </c>
      <c r="K610" t="s">
        <v>767</v>
      </c>
      <c r="L610">
        <v>9012</v>
      </c>
      <c r="M610">
        <v>13</v>
      </c>
      <c r="O610">
        <v>0.6</v>
      </c>
      <c r="P610" s="80" t="s">
        <v>3176</v>
      </c>
      <c r="Q610" t="s">
        <v>769</v>
      </c>
      <c r="R610">
        <v>9011</v>
      </c>
      <c r="S610">
        <v>9</v>
      </c>
      <c r="U610">
        <v>0.2</v>
      </c>
      <c r="V610">
        <v>70001</v>
      </c>
      <c r="W610">
        <v>3</v>
      </c>
      <c r="X610">
        <v>1</v>
      </c>
      <c r="Y610">
        <v>70002</v>
      </c>
      <c r="Z610">
        <v>3</v>
      </c>
      <c r="AA610">
        <v>1</v>
      </c>
      <c r="AB610">
        <v>1001</v>
      </c>
      <c r="AC610">
        <v>100</v>
      </c>
      <c r="AD610">
        <v>1</v>
      </c>
      <c r="AE610">
        <v>8000</v>
      </c>
      <c r="AF610">
        <v>10700</v>
      </c>
      <c r="AG610">
        <v>1</v>
      </c>
    </row>
    <row r="611" spans="1:33" ht="38.25" customHeight="1">
      <c r="A611">
        <v>1505</v>
      </c>
      <c r="B611" t="s">
        <v>1959</v>
      </c>
      <c r="C611">
        <v>14</v>
      </c>
      <c r="D611" t="s">
        <v>3186</v>
      </c>
      <c r="E611">
        <v>150</v>
      </c>
      <c r="G611" s="90" t="s">
        <v>3187</v>
      </c>
      <c r="I611">
        <v>64345</v>
      </c>
      <c r="J611" s="80" t="s">
        <v>3175</v>
      </c>
      <c r="K611" t="s">
        <v>767</v>
      </c>
      <c r="L611">
        <v>9002</v>
      </c>
      <c r="M611">
        <v>1</v>
      </c>
      <c r="O611">
        <v>0.9</v>
      </c>
      <c r="P611" s="80" t="s">
        <v>3176</v>
      </c>
      <c r="Q611" t="s">
        <v>769</v>
      </c>
      <c r="R611">
        <v>9008</v>
      </c>
      <c r="S611" t="s">
        <v>1996</v>
      </c>
      <c r="U611">
        <v>0.8</v>
      </c>
      <c r="V611">
        <v>70001</v>
      </c>
      <c r="W611">
        <v>3</v>
      </c>
      <c r="X611">
        <v>1</v>
      </c>
      <c r="Y611">
        <v>70002</v>
      </c>
      <c r="Z611">
        <v>3</v>
      </c>
      <c r="AA611">
        <v>1</v>
      </c>
      <c r="AB611">
        <v>1001</v>
      </c>
      <c r="AC611">
        <v>100</v>
      </c>
      <c r="AD611">
        <v>1</v>
      </c>
      <c r="AE611">
        <v>8000</v>
      </c>
      <c r="AF611">
        <v>10750</v>
      </c>
      <c r="AG611">
        <v>1</v>
      </c>
    </row>
    <row r="612" spans="1:33" ht="38.25" customHeight="1">
      <c r="A612">
        <v>1506</v>
      </c>
      <c r="B612" t="s">
        <v>1959</v>
      </c>
      <c r="C612">
        <v>14</v>
      </c>
      <c r="D612" t="s">
        <v>3188</v>
      </c>
      <c r="E612">
        <v>150</v>
      </c>
      <c r="G612" s="90" t="s">
        <v>3189</v>
      </c>
      <c r="I612">
        <v>64470</v>
      </c>
      <c r="J612" s="80" t="s">
        <v>3175</v>
      </c>
      <c r="K612" t="s">
        <v>767</v>
      </c>
      <c r="L612">
        <v>9007</v>
      </c>
      <c r="M612" t="s">
        <v>3190</v>
      </c>
      <c r="O612">
        <v>0.2</v>
      </c>
      <c r="P612" s="80" t="s">
        <v>3176</v>
      </c>
      <c r="Q612" t="s">
        <v>769</v>
      </c>
      <c r="R612">
        <v>9003</v>
      </c>
      <c r="S612" t="s">
        <v>2698</v>
      </c>
      <c r="U612">
        <v>0.8</v>
      </c>
      <c r="V612">
        <v>70001</v>
      </c>
      <c r="W612">
        <v>3</v>
      </c>
      <c r="X612">
        <v>1</v>
      </c>
      <c r="Y612">
        <v>70002</v>
      </c>
      <c r="Z612">
        <v>3</v>
      </c>
      <c r="AA612">
        <v>1</v>
      </c>
      <c r="AB612">
        <v>1001</v>
      </c>
      <c r="AC612">
        <v>100</v>
      </c>
      <c r="AD612">
        <v>1</v>
      </c>
      <c r="AE612">
        <v>8000</v>
      </c>
      <c r="AF612">
        <v>10750</v>
      </c>
      <c r="AG612">
        <v>1</v>
      </c>
    </row>
    <row r="613" spans="1:33" ht="38.25" customHeight="1">
      <c r="A613">
        <v>1507</v>
      </c>
      <c r="B613" t="s">
        <v>1959</v>
      </c>
      <c r="C613">
        <v>14</v>
      </c>
      <c r="D613" t="s">
        <v>3191</v>
      </c>
      <c r="E613">
        <v>150</v>
      </c>
      <c r="G613" s="90" t="s">
        <v>3192</v>
      </c>
      <c r="I613">
        <v>64595</v>
      </c>
      <c r="J613" s="80" t="s">
        <v>3175</v>
      </c>
      <c r="K613" t="s">
        <v>767</v>
      </c>
      <c r="L613">
        <v>9001</v>
      </c>
      <c r="M613" t="s">
        <v>1808</v>
      </c>
      <c r="O613">
        <v>0.6</v>
      </c>
      <c r="P613" s="80" t="s">
        <v>3176</v>
      </c>
      <c r="Q613" t="s">
        <v>769</v>
      </c>
      <c r="R613">
        <v>9011</v>
      </c>
      <c r="S613">
        <v>12</v>
      </c>
      <c r="U613">
        <v>0.7</v>
      </c>
      <c r="V613">
        <v>70001</v>
      </c>
      <c r="W613">
        <v>3</v>
      </c>
      <c r="X613">
        <v>1</v>
      </c>
      <c r="Y613">
        <v>70002</v>
      </c>
      <c r="Z613">
        <v>3</v>
      </c>
      <c r="AA613">
        <v>1</v>
      </c>
      <c r="AB613">
        <v>1001</v>
      </c>
      <c r="AC613">
        <v>100</v>
      </c>
      <c r="AD613">
        <v>1</v>
      </c>
      <c r="AE613">
        <v>8000</v>
      </c>
      <c r="AF613">
        <v>10800</v>
      </c>
      <c r="AG613">
        <v>1</v>
      </c>
    </row>
    <row r="614" spans="1:33" ht="38.25" customHeight="1">
      <c r="A614">
        <v>1508</v>
      </c>
      <c r="B614" t="s">
        <v>1959</v>
      </c>
      <c r="C614">
        <v>14</v>
      </c>
      <c r="D614" t="s">
        <v>3193</v>
      </c>
      <c r="E614">
        <v>150</v>
      </c>
      <c r="G614" s="90" t="s">
        <v>3194</v>
      </c>
      <c r="I614">
        <v>64720</v>
      </c>
      <c r="J614" s="80" t="s">
        <v>3175</v>
      </c>
      <c r="K614" t="s">
        <v>767</v>
      </c>
      <c r="L614">
        <v>9011</v>
      </c>
      <c r="M614" t="s">
        <v>3195</v>
      </c>
      <c r="O614">
        <v>0.6</v>
      </c>
      <c r="P614" s="80" t="s">
        <v>3176</v>
      </c>
      <c r="Q614" t="s">
        <v>769</v>
      </c>
      <c r="R614">
        <v>9004</v>
      </c>
      <c r="S614">
        <v>11</v>
      </c>
      <c r="U614">
        <v>0.1</v>
      </c>
      <c r="V614">
        <v>70001</v>
      </c>
      <c r="W614">
        <v>3</v>
      </c>
      <c r="X614">
        <v>1</v>
      </c>
      <c r="Y614">
        <v>70002</v>
      </c>
      <c r="Z614">
        <v>3</v>
      </c>
      <c r="AA614">
        <v>1</v>
      </c>
      <c r="AB614">
        <v>1001</v>
      </c>
      <c r="AC614">
        <v>100</v>
      </c>
      <c r="AD614">
        <v>1</v>
      </c>
      <c r="AE614">
        <v>8000</v>
      </c>
      <c r="AF614">
        <v>10850</v>
      </c>
      <c r="AG614">
        <v>1</v>
      </c>
    </row>
    <row r="615" spans="1:33" ht="38.25" customHeight="1">
      <c r="A615">
        <v>1509</v>
      </c>
      <c r="B615" t="s">
        <v>1959</v>
      </c>
      <c r="C615">
        <v>14</v>
      </c>
      <c r="D615" t="s">
        <v>3196</v>
      </c>
      <c r="E615">
        <v>150</v>
      </c>
      <c r="G615" s="90" t="s">
        <v>3187</v>
      </c>
      <c r="I615">
        <v>64845</v>
      </c>
      <c r="J615" s="80" t="s">
        <v>3175</v>
      </c>
      <c r="K615" t="s">
        <v>767</v>
      </c>
      <c r="L615">
        <v>9012</v>
      </c>
      <c r="M615">
        <v>3</v>
      </c>
      <c r="O615">
        <v>0.3</v>
      </c>
      <c r="P615" s="80" t="s">
        <v>3176</v>
      </c>
      <c r="Q615" t="s">
        <v>769</v>
      </c>
      <c r="R615">
        <v>9004</v>
      </c>
      <c r="S615" t="s">
        <v>1768</v>
      </c>
      <c r="U615">
        <v>0.4</v>
      </c>
      <c r="V615">
        <v>70001</v>
      </c>
      <c r="W615">
        <v>3</v>
      </c>
      <c r="X615">
        <v>1</v>
      </c>
      <c r="Y615">
        <v>70002</v>
      </c>
      <c r="Z615">
        <v>3</v>
      </c>
      <c r="AA615">
        <v>1</v>
      </c>
      <c r="AB615">
        <v>1001</v>
      </c>
      <c r="AC615">
        <v>500</v>
      </c>
      <c r="AD615">
        <v>1</v>
      </c>
      <c r="AE615">
        <v>8000</v>
      </c>
      <c r="AF615">
        <v>10850</v>
      </c>
      <c r="AG615">
        <v>1</v>
      </c>
    </row>
    <row r="616" spans="1:33" ht="38.25" customHeight="1">
      <c r="A616">
        <v>1510</v>
      </c>
      <c r="B616" t="s">
        <v>1959</v>
      </c>
      <c r="C616">
        <v>14</v>
      </c>
      <c r="D616" t="s">
        <v>3197</v>
      </c>
      <c r="E616">
        <v>150</v>
      </c>
      <c r="G616" s="90" t="s">
        <v>3198</v>
      </c>
      <c r="I616">
        <v>64970</v>
      </c>
      <c r="J616" s="80" t="s">
        <v>3175</v>
      </c>
      <c r="K616" t="s">
        <v>767</v>
      </c>
      <c r="L616">
        <v>9006</v>
      </c>
      <c r="M616" t="s">
        <v>2415</v>
      </c>
      <c r="O616">
        <v>0.3</v>
      </c>
      <c r="P616" s="80" t="s">
        <v>3176</v>
      </c>
      <c r="Q616" t="s">
        <v>769</v>
      </c>
      <c r="R616">
        <v>9008</v>
      </c>
      <c r="S616">
        <v>5</v>
      </c>
      <c r="U616">
        <v>0.8</v>
      </c>
      <c r="V616">
        <v>70001</v>
      </c>
      <c r="W616">
        <v>3</v>
      </c>
      <c r="X616">
        <v>1</v>
      </c>
      <c r="Y616">
        <v>70002</v>
      </c>
      <c r="Z616">
        <v>3</v>
      </c>
      <c r="AA616">
        <v>1</v>
      </c>
      <c r="AB616">
        <v>1001</v>
      </c>
      <c r="AC616">
        <v>100</v>
      </c>
      <c r="AD616">
        <v>1</v>
      </c>
      <c r="AE616">
        <v>8000</v>
      </c>
      <c r="AF616">
        <v>10900</v>
      </c>
      <c r="AG616">
        <v>1</v>
      </c>
    </row>
    <row r="617" spans="1:33" ht="38.25" customHeight="1">
      <c r="A617">
        <v>1511</v>
      </c>
      <c r="B617" t="s">
        <v>1959</v>
      </c>
      <c r="C617">
        <v>14</v>
      </c>
      <c r="D617" t="s">
        <v>3199</v>
      </c>
      <c r="E617">
        <v>150</v>
      </c>
      <c r="G617" s="90" t="s">
        <v>3200</v>
      </c>
      <c r="I617">
        <v>65095</v>
      </c>
      <c r="J617" s="80" t="s">
        <v>3175</v>
      </c>
      <c r="K617" t="s">
        <v>767</v>
      </c>
      <c r="L617">
        <v>9011</v>
      </c>
      <c r="M617">
        <v>8</v>
      </c>
      <c r="O617">
        <v>0.3</v>
      </c>
      <c r="P617" s="80" t="s">
        <v>3176</v>
      </c>
      <c r="Q617" t="s">
        <v>769</v>
      </c>
      <c r="R617">
        <v>9008</v>
      </c>
      <c r="S617" t="s">
        <v>2243</v>
      </c>
      <c r="U617">
        <v>1</v>
      </c>
      <c r="V617">
        <v>70001</v>
      </c>
      <c r="W617">
        <v>3</v>
      </c>
      <c r="X617">
        <v>1</v>
      </c>
      <c r="Y617">
        <v>70002</v>
      </c>
      <c r="Z617">
        <v>3</v>
      </c>
      <c r="AA617">
        <v>1</v>
      </c>
      <c r="AB617">
        <v>1001</v>
      </c>
      <c r="AC617">
        <v>100</v>
      </c>
      <c r="AD617">
        <v>1</v>
      </c>
      <c r="AE617">
        <v>8000</v>
      </c>
      <c r="AF617">
        <v>10900</v>
      </c>
      <c r="AG617">
        <v>1</v>
      </c>
    </row>
    <row r="618" spans="1:33" ht="38.25" customHeight="1">
      <c r="A618">
        <v>1512</v>
      </c>
      <c r="B618" t="s">
        <v>1959</v>
      </c>
      <c r="C618">
        <v>14</v>
      </c>
      <c r="D618" t="s">
        <v>3201</v>
      </c>
      <c r="E618">
        <v>150</v>
      </c>
      <c r="G618" s="90" t="s">
        <v>3202</v>
      </c>
      <c r="I618">
        <v>65220</v>
      </c>
      <c r="J618" s="80" t="s">
        <v>3175</v>
      </c>
      <c r="K618" t="s">
        <v>767</v>
      </c>
      <c r="L618">
        <v>9001</v>
      </c>
      <c r="M618" t="s">
        <v>2612</v>
      </c>
      <c r="O618">
        <v>0.5</v>
      </c>
      <c r="P618" s="80" t="s">
        <v>3176</v>
      </c>
      <c r="Q618" t="s">
        <v>769</v>
      </c>
      <c r="R618">
        <v>9004</v>
      </c>
      <c r="S618">
        <v>13</v>
      </c>
      <c r="U618">
        <v>0.1</v>
      </c>
      <c r="V618">
        <v>70001</v>
      </c>
      <c r="W618">
        <v>3</v>
      </c>
      <c r="X618">
        <v>1</v>
      </c>
      <c r="Y618">
        <v>70002</v>
      </c>
      <c r="Z618">
        <v>3</v>
      </c>
      <c r="AA618">
        <v>1</v>
      </c>
      <c r="AB618">
        <v>1001</v>
      </c>
      <c r="AC618">
        <v>100</v>
      </c>
      <c r="AD618">
        <v>1</v>
      </c>
      <c r="AE618">
        <v>8000</v>
      </c>
      <c r="AF618">
        <v>10950</v>
      </c>
      <c r="AG618">
        <v>1</v>
      </c>
    </row>
    <row r="619" spans="1:33" ht="38.25" customHeight="1">
      <c r="A619">
        <v>1513</v>
      </c>
      <c r="B619" t="s">
        <v>1959</v>
      </c>
      <c r="C619">
        <v>14</v>
      </c>
      <c r="D619" t="s">
        <v>3203</v>
      </c>
      <c r="E619">
        <v>150</v>
      </c>
      <c r="G619" s="90" t="s">
        <v>3204</v>
      </c>
      <c r="I619">
        <v>65345</v>
      </c>
      <c r="J619" s="80" t="s">
        <v>3175</v>
      </c>
      <c r="K619" t="s">
        <v>767</v>
      </c>
      <c r="L619">
        <v>9007</v>
      </c>
      <c r="M619" t="s">
        <v>3205</v>
      </c>
      <c r="O619">
        <v>0.5</v>
      </c>
      <c r="P619" s="80" t="s">
        <v>3176</v>
      </c>
      <c r="Q619" t="s">
        <v>769</v>
      </c>
      <c r="R619">
        <v>9007</v>
      </c>
      <c r="S619">
        <v>2</v>
      </c>
      <c r="U619">
        <v>0.5</v>
      </c>
      <c r="V619">
        <v>70001</v>
      </c>
      <c r="W619">
        <v>3</v>
      </c>
      <c r="X619">
        <v>1</v>
      </c>
      <c r="Y619">
        <v>70002</v>
      </c>
      <c r="Z619">
        <v>3</v>
      </c>
      <c r="AA619">
        <v>1</v>
      </c>
      <c r="AB619">
        <v>1001</v>
      </c>
      <c r="AC619">
        <v>100</v>
      </c>
      <c r="AD619">
        <v>1</v>
      </c>
      <c r="AE619">
        <v>8000</v>
      </c>
      <c r="AF619">
        <v>10950</v>
      </c>
      <c r="AG619">
        <v>1</v>
      </c>
    </row>
    <row r="620" spans="1:33" ht="38.25" customHeight="1">
      <c r="A620">
        <v>1514</v>
      </c>
      <c r="B620" t="s">
        <v>1959</v>
      </c>
      <c r="C620">
        <v>14</v>
      </c>
      <c r="D620" t="s">
        <v>3206</v>
      </c>
      <c r="E620">
        <v>150</v>
      </c>
      <c r="G620" s="90" t="s">
        <v>3207</v>
      </c>
      <c r="I620">
        <v>65470</v>
      </c>
      <c r="J620" s="80" t="s">
        <v>3175</v>
      </c>
      <c r="K620" t="s">
        <v>767</v>
      </c>
      <c r="L620">
        <v>9001</v>
      </c>
      <c r="M620" t="s">
        <v>2438</v>
      </c>
      <c r="O620">
        <v>0.2</v>
      </c>
      <c r="P620" s="80" t="s">
        <v>3176</v>
      </c>
      <c r="Q620" t="s">
        <v>769</v>
      </c>
      <c r="R620">
        <v>9007</v>
      </c>
      <c r="S620">
        <v>7</v>
      </c>
      <c r="U620">
        <v>0.7</v>
      </c>
      <c r="V620">
        <v>70001</v>
      </c>
      <c r="W620">
        <v>3</v>
      </c>
      <c r="X620">
        <v>1</v>
      </c>
      <c r="Y620">
        <v>70002</v>
      </c>
      <c r="Z620">
        <v>3</v>
      </c>
      <c r="AA620">
        <v>1</v>
      </c>
      <c r="AB620">
        <v>1001</v>
      </c>
      <c r="AC620">
        <v>100</v>
      </c>
      <c r="AD620">
        <v>1</v>
      </c>
      <c r="AE620">
        <v>8000</v>
      </c>
      <c r="AF620">
        <v>11000</v>
      </c>
      <c r="AG620">
        <v>1</v>
      </c>
    </row>
    <row r="621" spans="1:33" ht="38.25" customHeight="1">
      <c r="A621">
        <v>1515</v>
      </c>
      <c r="B621" t="s">
        <v>1959</v>
      </c>
      <c r="C621">
        <v>14</v>
      </c>
      <c r="D621" t="s">
        <v>3208</v>
      </c>
      <c r="E621">
        <v>150</v>
      </c>
      <c r="G621" s="90" t="s">
        <v>3209</v>
      </c>
      <c r="I621">
        <v>65595</v>
      </c>
      <c r="J621" s="80" t="s">
        <v>3175</v>
      </c>
      <c r="K621" t="s">
        <v>767</v>
      </c>
      <c r="L621">
        <v>9011</v>
      </c>
      <c r="M621">
        <v>3</v>
      </c>
      <c r="O621">
        <v>0.5</v>
      </c>
      <c r="P621" s="80" t="s">
        <v>3176</v>
      </c>
      <c r="Q621" t="s">
        <v>769</v>
      </c>
      <c r="R621">
        <v>9008</v>
      </c>
      <c r="S621" t="s">
        <v>1849</v>
      </c>
      <c r="U621">
        <v>0.4</v>
      </c>
      <c r="V621">
        <v>70001</v>
      </c>
      <c r="W621">
        <v>3</v>
      </c>
      <c r="X621">
        <v>1</v>
      </c>
      <c r="Y621">
        <v>70002</v>
      </c>
      <c r="Z621">
        <v>3</v>
      </c>
      <c r="AA621">
        <v>1</v>
      </c>
      <c r="AB621">
        <v>1001</v>
      </c>
      <c r="AC621">
        <v>100</v>
      </c>
      <c r="AD621">
        <v>1</v>
      </c>
      <c r="AE621">
        <v>8000</v>
      </c>
      <c r="AF621">
        <v>11000</v>
      </c>
      <c r="AG621">
        <v>1</v>
      </c>
    </row>
    <row r="622" spans="1:33" ht="38.25" customHeight="1">
      <c r="A622">
        <v>1516</v>
      </c>
      <c r="B622" t="s">
        <v>1959</v>
      </c>
      <c r="C622">
        <v>14</v>
      </c>
      <c r="D622" t="s">
        <v>3210</v>
      </c>
      <c r="E622">
        <v>150</v>
      </c>
      <c r="G622" s="90" t="s">
        <v>3211</v>
      </c>
      <c r="I622">
        <v>65720</v>
      </c>
      <c r="J622" s="80" t="s">
        <v>3175</v>
      </c>
      <c r="K622" t="s">
        <v>767</v>
      </c>
      <c r="L622">
        <v>9011</v>
      </c>
      <c r="M622" t="s">
        <v>3212</v>
      </c>
      <c r="O622">
        <v>0.2</v>
      </c>
      <c r="P622" s="80" t="s">
        <v>3176</v>
      </c>
      <c r="Q622" t="s">
        <v>769</v>
      </c>
      <c r="R622">
        <v>9003</v>
      </c>
      <c r="S622" t="s">
        <v>1900</v>
      </c>
      <c r="U622">
        <v>0.4</v>
      </c>
      <c r="V622">
        <v>70001</v>
      </c>
      <c r="W622">
        <v>3</v>
      </c>
      <c r="X622">
        <v>1</v>
      </c>
      <c r="Y622">
        <v>70002</v>
      </c>
      <c r="Z622">
        <v>3</v>
      </c>
      <c r="AA622">
        <v>1</v>
      </c>
      <c r="AB622">
        <v>1001</v>
      </c>
      <c r="AC622">
        <v>100</v>
      </c>
      <c r="AD622">
        <v>1</v>
      </c>
      <c r="AE622">
        <v>8000</v>
      </c>
      <c r="AF622">
        <v>11050</v>
      </c>
      <c r="AG622">
        <v>1</v>
      </c>
    </row>
    <row r="623" spans="1:33" ht="38.25" customHeight="1">
      <c r="A623">
        <v>1517</v>
      </c>
      <c r="B623" t="s">
        <v>1959</v>
      </c>
      <c r="C623">
        <v>14</v>
      </c>
      <c r="D623" t="s">
        <v>3213</v>
      </c>
      <c r="E623">
        <v>150</v>
      </c>
      <c r="G623" s="90" t="s">
        <v>3214</v>
      </c>
      <c r="I623">
        <v>65845</v>
      </c>
      <c r="J623" s="80" t="s">
        <v>3175</v>
      </c>
      <c r="K623" t="s">
        <v>767</v>
      </c>
      <c r="L623">
        <v>9011</v>
      </c>
      <c r="M623" t="s">
        <v>1758</v>
      </c>
      <c r="O623">
        <v>0.2</v>
      </c>
      <c r="P623" s="80" t="s">
        <v>3176</v>
      </c>
      <c r="Q623" t="s">
        <v>769</v>
      </c>
      <c r="R623">
        <v>9010</v>
      </c>
      <c r="S623">
        <v>8</v>
      </c>
      <c r="U623">
        <v>1</v>
      </c>
      <c r="V623">
        <v>70001</v>
      </c>
      <c r="W623">
        <v>3</v>
      </c>
      <c r="X623">
        <v>1</v>
      </c>
      <c r="Y623">
        <v>70002</v>
      </c>
      <c r="Z623">
        <v>3</v>
      </c>
      <c r="AA623">
        <v>1</v>
      </c>
      <c r="AB623">
        <v>1001</v>
      </c>
      <c r="AC623">
        <v>100</v>
      </c>
      <c r="AD623">
        <v>1</v>
      </c>
      <c r="AE623">
        <v>8000</v>
      </c>
      <c r="AF623">
        <v>11100</v>
      </c>
      <c r="AG623">
        <v>1</v>
      </c>
    </row>
    <row r="624" spans="1:33" ht="38.25" customHeight="1">
      <c r="A624">
        <v>1518</v>
      </c>
      <c r="B624" t="s">
        <v>1959</v>
      </c>
      <c r="C624">
        <v>14</v>
      </c>
      <c r="D624" t="s">
        <v>3215</v>
      </c>
      <c r="E624">
        <v>150</v>
      </c>
      <c r="G624" s="90" t="s">
        <v>3216</v>
      </c>
      <c r="I624">
        <v>65970</v>
      </c>
      <c r="J624" s="80" t="s">
        <v>3175</v>
      </c>
      <c r="K624" t="s">
        <v>767</v>
      </c>
      <c r="L624">
        <v>9008</v>
      </c>
      <c r="M624">
        <v>6</v>
      </c>
      <c r="O624">
        <v>0.1</v>
      </c>
      <c r="P624" s="80" t="s">
        <v>3176</v>
      </c>
      <c r="Q624" t="s">
        <v>769</v>
      </c>
      <c r="R624">
        <v>9008</v>
      </c>
      <c r="S624" t="s">
        <v>1808</v>
      </c>
      <c r="U624">
        <v>0.5</v>
      </c>
      <c r="V624">
        <v>70001</v>
      </c>
      <c r="W624">
        <v>3</v>
      </c>
      <c r="X624">
        <v>1</v>
      </c>
      <c r="Y624">
        <v>70002</v>
      </c>
      <c r="Z624">
        <v>3</v>
      </c>
      <c r="AA624">
        <v>1</v>
      </c>
      <c r="AB624">
        <v>1001</v>
      </c>
      <c r="AC624">
        <v>100</v>
      </c>
      <c r="AD624">
        <v>1</v>
      </c>
      <c r="AE624">
        <v>8000</v>
      </c>
      <c r="AF624">
        <v>11100</v>
      </c>
      <c r="AG624">
        <v>1</v>
      </c>
    </row>
    <row r="625" spans="1:33" ht="38.25" customHeight="1">
      <c r="A625">
        <v>1519</v>
      </c>
      <c r="B625" t="s">
        <v>1959</v>
      </c>
      <c r="C625">
        <v>14</v>
      </c>
      <c r="D625" t="s">
        <v>3217</v>
      </c>
      <c r="E625">
        <v>150</v>
      </c>
      <c r="G625" s="90" t="s">
        <v>3218</v>
      </c>
      <c r="I625">
        <v>66095</v>
      </c>
      <c r="J625" s="80" t="s">
        <v>3175</v>
      </c>
      <c r="K625" t="s">
        <v>767</v>
      </c>
      <c r="L625">
        <v>9005</v>
      </c>
      <c r="M625" t="s">
        <v>2079</v>
      </c>
      <c r="O625">
        <v>0.7</v>
      </c>
      <c r="P625" s="80" t="s">
        <v>3176</v>
      </c>
      <c r="Q625" t="s">
        <v>769</v>
      </c>
      <c r="R625">
        <v>9012</v>
      </c>
      <c r="S625" t="s">
        <v>2441</v>
      </c>
      <c r="U625">
        <v>0.9</v>
      </c>
      <c r="V625">
        <v>70001</v>
      </c>
      <c r="W625">
        <v>3</v>
      </c>
      <c r="X625">
        <v>1</v>
      </c>
      <c r="Y625">
        <v>70002</v>
      </c>
      <c r="Z625">
        <v>3</v>
      </c>
      <c r="AA625">
        <v>1</v>
      </c>
      <c r="AB625">
        <v>1001</v>
      </c>
      <c r="AC625">
        <v>100</v>
      </c>
      <c r="AD625">
        <v>1</v>
      </c>
      <c r="AE625">
        <v>8000</v>
      </c>
      <c r="AF625">
        <v>11150</v>
      </c>
      <c r="AG625">
        <v>1</v>
      </c>
    </row>
    <row r="626" spans="1:33" ht="38.25" customHeight="1">
      <c r="A626">
        <v>1520</v>
      </c>
      <c r="B626" t="s">
        <v>1959</v>
      </c>
      <c r="C626">
        <v>14</v>
      </c>
      <c r="D626" t="s">
        <v>3219</v>
      </c>
      <c r="E626">
        <v>150</v>
      </c>
      <c r="G626" s="90" t="s">
        <v>3220</v>
      </c>
      <c r="I626">
        <v>66220</v>
      </c>
      <c r="J626" s="80" t="s">
        <v>3175</v>
      </c>
      <c r="K626" t="s">
        <v>767</v>
      </c>
      <c r="L626">
        <v>9012</v>
      </c>
      <c r="M626" t="s">
        <v>2231</v>
      </c>
      <c r="O626">
        <v>0.4</v>
      </c>
      <c r="P626" s="80" t="s">
        <v>3176</v>
      </c>
      <c r="Q626" t="s">
        <v>769</v>
      </c>
      <c r="R626">
        <v>9010</v>
      </c>
      <c r="S626" t="s">
        <v>1924</v>
      </c>
      <c r="U626">
        <v>0.3</v>
      </c>
      <c r="V626">
        <v>70001</v>
      </c>
      <c r="W626">
        <v>3</v>
      </c>
      <c r="X626">
        <v>1</v>
      </c>
      <c r="Y626">
        <v>70002</v>
      </c>
      <c r="Z626">
        <v>3</v>
      </c>
      <c r="AA626">
        <v>1</v>
      </c>
      <c r="AB626">
        <v>1001</v>
      </c>
      <c r="AC626">
        <v>100</v>
      </c>
      <c r="AD626">
        <v>1</v>
      </c>
      <c r="AE626">
        <v>8000</v>
      </c>
      <c r="AF626">
        <v>11150</v>
      </c>
      <c r="AG626">
        <v>1</v>
      </c>
    </row>
    <row r="627" spans="1:33" ht="38.25" customHeight="1">
      <c r="A627">
        <v>1521</v>
      </c>
      <c r="B627" t="s">
        <v>1959</v>
      </c>
      <c r="C627">
        <v>14</v>
      </c>
      <c r="D627" t="s">
        <v>3221</v>
      </c>
      <c r="E627">
        <v>150</v>
      </c>
      <c r="G627" s="90" t="s">
        <v>3222</v>
      </c>
      <c r="I627">
        <v>66345</v>
      </c>
      <c r="J627" s="80" t="s">
        <v>3175</v>
      </c>
      <c r="K627" t="s">
        <v>767</v>
      </c>
      <c r="L627">
        <v>9006</v>
      </c>
      <c r="M627" t="s">
        <v>2561</v>
      </c>
      <c r="O627">
        <v>0.3</v>
      </c>
      <c r="P627" s="80" t="s">
        <v>3176</v>
      </c>
      <c r="Q627" t="s">
        <v>769</v>
      </c>
      <c r="R627">
        <v>9010</v>
      </c>
      <c r="S627" t="s">
        <v>1863</v>
      </c>
      <c r="U627">
        <v>0.7</v>
      </c>
      <c r="V627">
        <v>70001</v>
      </c>
      <c r="W627">
        <v>3</v>
      </c>
      <c r="X627">
        <v>1</v>
      </c>
      <c r="Y627">
        <v>70002</v>
      </c>
      <c r="Z627">
        <v>3</v>
      </c>
      <c r="AA627">
        <v>1</v>
      </c>
      <c r="AB627">
        <v>1001</v>
      </c>
      <c r="AC627">
        <v>100</v>
      </c>
      <c r="AD627">
        <v>1</v>
      </c>
      <c r="AE627">
        <v>8000</v>
      </c>
      <c r="AF627">
        <v>11200</v>
      </c>
      <c r="AG627">
        <v>1</v>
      </c>
    </row>
    <row r="628" spans="1:33" ht="38.25" customHeight="1">
      <c r="A628">
        <v>1522</v>
      </c>
      <c r="B628" t="s">
        <v>1959</v>
      </c>
      <c r="C628">
        <v>14</v>
      </c>
      <c r="D628" t="s">
        <v>3223</v>
      </c>
      <c r="E628">
        <v>150</v>
      </c>
      <c r="G628" s="90" t="s">
        <v>3224</v>
      </c>
      <c r="I628">
        <v>66470</v>
      </c>
      <c r="J628" s="80" t="s">
        <v>3175</v>
      </c>
      <c r="K628" t="s">
        <v>767</v>
      </c>
      <c r="L628">
        <v>9005</v>
      </c>
      <c r="M628">
        <v>12</v>
      </c>
      <c r="O628">
        <v>0.9</v>
      </c>
      <c r="P628" s="80" t="s">
        <v>3176</v>
      </c>
      <c r="Q628" t="s">
        <v>769</v>
      </c>
      <c r="R628">
        <v>9007</v>
      </c>
      <c r="S628" t="s">
        <v>2111</v>
      </c>
      <c r="U628">
        <v>0.6</v>
      </c>
      <c r="V628">
        <v>70001</v>
      </c>
      <c r="W628">
        <v>3</v>
      </c>
      <c r="X628">
        <v>1</v>
      </c>
      <c r="Y628">
        <v>70002</v>
      </c>
      <c r="Z628">
        <v>3</v>
      </c>
      <c r="AA628">
        <v>1</v>
      </c>
      <c r="AB628">
        <v>1001</v>
      </c>
      <c r="AC628">
        <v>100</v>
      </c>
      <c r="AD628">
        <v>1</v>
      </c>
      <c r="AE628">
        <v>8000</v>
      </c>
      <c r="AF628">
        <v>11200</v>
      </c>
      <c r="AG628">
        <v>1</v>
      </c>
    </row>
    <row r="629" spans="1:33" ht="38.25" customHeight="1">
      <c r="A629">
        <v>1523</v>
      </c>
      <c r="B629" t="s">
        <v>1959</v>
      </c>
      <c r="C629">
        <v>14</v>
      </c>
      <c r="D629" t="s">
        <v>3225</v>
      </c>
      <c r="E629">
        <v>150</v>
      </c>
      <c r="G629" s="90" t="s">
        <v>3226</v>
      </c>
      <c r="I629">
        <v>66595</v>
      </c>
      <c r="J629" s="80" t="s">
        <v>3175</v>
      </c>
      <c r="K629" t="s">
        <v>767</v>
      </c>
      <c r="L629">
        <v>9008</v>
      </c>
      <c r="M629">
        <v>5</v>
      </c>
      <c r="O629">
        <v>0.6</v>
      </c>
      <c r="P629" s="80" t="s">
        <v>3176</v>
      </c>
      <c r="Q629" t="s">
        <v>769</v>
      </c>
      <c r="R629">
        <v>9010</v>
      </c>
      <c r="S629">
        <v>3</v>
      </c>
      <c r="U629">
        <v>0.8</v>
      </c>
      <c r="V629">
        <v>70001</v>
      </c>
      <c r="W629">
        <v>3</v>
      </c>
      <c r="X629">
        <v>1</v>
      </c>
      <c r="Y629">
        <v>70002</v>
      </c>
      <c r="Z629">
        <v>3</v>
      </c>
      <c r="AA629">
        <v>1</v>
      </c>
      <c r="AB629">
        <v>1001</v>
      </c>
      <c r="AC629">
        <v>100</v>
      </c>
      <c r="AD629">
        <v>1</v>
      </c>
      <c r="AE629">
        <v>8000</v>
      </c>
      <c r="AF629">
        <v>11250</v>
      </c>
      <c r="AG629">
        <v>1</v>
      </c>
    </row>
    <row r="630" spans="1:33" ht="38.25" customHeight="1">
      <c r="A630">
        <v>1524</v>
      </c>
      <c r="B630" t="s">
        <v>1959</v>
      </c>
      <c r="C630">
        <v>14</v>
      </c>
      <c r="D630" t="s">
        <v>3227</v>
      </c>
      <c r="E630">
        <v>150</v>
      </c>
      <c r="G630" s="90" t="s">
        <v>3228</v>
      </c>
      <c r="I630">
        <v>66720</v>
      </c>
      <c r="J630" s="80" t="s">
        <v>3175</v>
      </c>
      <c r="K630" t="s">
        <v>767</v>
      </c>
      <c r="L630">
        <v>9001</v>
      </c>
      <c r="M630" t="s">
        <v>3229</v>
      </c>
      <c r="O630">
        <v>0.9</v>
      </c>
      <c r="P630" s="80" t="s">
        <v>3176</v>
      </c>
      <c r="Q630" t="s">
        <v>769</v>
      </c>
      <c r="R630">
        <v>9010</v>
      </c>
      <c r="S630">
        <v>11</v>
      </c>
      <c r="U630">
        <v>0.2</v>
      </c>
      <c r="V630">
        <v>70001</v>
      </c>
      <c r="W630">
        <v>3</v>
      </c>
      <c r="X630">
        <v>1</v>
      </c>
      <c r="Y630">
        <v>70002</v>
      </c>
      <c r="Z630">
        <v>3</v>
      </c>
      <c r="AA630">
        <v>1</v>
      </c>
      <c r="AB630">
        <v>1001</v>
      </c>
      <c r="AC630">
        <v>100</v>
      </c>
      <c r="AD630">
        <v>1</v>
      </c>
      <c r="AE630">
        <v>8000</v>
      </c>
      <c r="AF630">
        <v>11250</v>
      </c>
      <c r="AG630">
        <v>1</v>
      </c>
    </row>
    <row r="631" spans="1:33" ht="38.25" customHeight="1">
      <c r="A631">
        <v>1525</v>
      </c>
      <c r="B631" t="s">
        <v>1959</v>
      </c>
      <c r="C631">
        <v>14</v>
      </c>
      <c r="D631" t="s">
        <v>3230</v>
      </c>
      <c r="E631">
        <v>150</v>
      </c>
      <c r="G631" s="90" t="s">
        <v>3231</v>
      </c>
      <c r="I631">
        <v>66845</v>
      </c>
      <c r="J631" s="80" t="s">
        <v>3175</v>
      </c>
      <c r="K631" t="s">
        <v>767</v>
      </c>
      <c r="L631">
        <v>9011</v>
      </c>
      <c r="M631">
        <v>3</v>
      </c>
      <c r="O631">
        <v>0.2</v>
      </c>
      <c r="P631" s="80" t="s">
        <v>3176</v>
      </c>
      <c r="Q631" t="s">
        <v>769</v>
      </c>
      <c r="R631">
        <v>9011</v>
      </c>
      <c r="S631" t="s">
        <v>1904</v>
      </c>
      <c r="U631">
        <v>1</v>
      </c>
      <c r="V631">
        <v>70001</v>
      </c>
      <c r="W631">
        <v>3</v>
      </c>
      <c r="X631">
        <v>1</v>
      </c>
      <c r="Y631">
        <v>70002</v>
      </c>
      <c r="Z631">
        <v>3</v>
      </c>
      <c r="AA631">
        <v>1</v>
      </c>
      <c r="AB631">
        <v>1001</v>
      </c>
      <c r="AC631">
        <v>100</v>
      </c>
      <c r="AD631">
        <v>1</v>
      </c>
      <c r="AE631">
        <v>8000</v>
      </c>
      <c r="AF631">
        <v>11300</v>
      </c>
      <c r="AG631">
        <v>1</v>
      </c>
    </row>
    <row r="632" spans="1:33" ht="38.25" customHeight="1">
      <c r="A632">
        <v>1526</v>
      </c>
      <c r="B632" t="s">
        <v>1959</v>
      </c>
      <c r="C632">
        <v>14</v>
      </c>
      <c r="D632" t="s">
        <v>3232</v>
      </c>
      <c r="E632">
        <v>150</v>
      </c>
      <c r="G632" s="90" t="s">
        <v>3233</v>
      </c>
      <c r="I632">
        <v>66970</v>
      </c>
      <c r="J632" s="80" t="s">
        <v>3175</v>
      </c>
      <c r="K632" t="s">
        <v>767</v>
      </c>
      <c r="L632">
        <v>9008</v>
      </c>
      <c r="M632" t="s">
        <v>1652</v>
      </c>
      <c r="O632">
        <v>0.4</v>
      </c>
      <c r="P632" s="80" t="s">
        <v>3176</v>
      </c>
      <c r="Q632" t="s">
        <v>769</v>
      </c>
      <c r="R632">
        <v>9004</v>
      </c>
      <c r="S632">
        <v>7</v>
      </c>
      <c r="U632">
        <v>0.8</v>
      </c>
      <c r="V632">
        <v>70001</v>
      </c>
      <c r="W632">
        <v>3</v>
      </c>
      <c r="X632">
        <v>1</v>
      </c>
      <c r="Y632">
        <v>70002</v>
      </c>
      <c r="Z632">
        <v>3</v>
      </c>
      <c r="AA632">
        <v>1</v>
      </c>
      <c r="AB632">
        <v>1001</v>
      </c>
      <c r="AC632">
        <v>100</v>
      </c>
      <c r="AD632">
        <v>1</v>
      </c>
      <c r="AE632">
        <v>8000</v>
      </c>
      <c r="AF632">
        <v>11350</v>
      </c>
      <c r="AG632">
        <v>1</v>
      </c>
    </row>
    <row r="633" spans="1:33" ht="38.25" customHeight="1">
      <c r="A633">
        <v>1527</v>
      </c>
      <c r="B633" t="s">
        <v>1959</v>
      </c>
      <c r="C633">
        <v>14</v>
      </c>
      <c r="D633" t="s">
        <v>3234</v>
      </c>
      <c r="E633">
        <v>150</v>
      </c>
      <c r="G633" s="90" t="s">
        <v>3235</v>
      </c>
      <c r="I633">
        <v>67095</v>
      </c>
      <c r="J633" s="80" t="s">
        <v>3175</v>
      </c>
      <c r="K633" t="s">
        <v>767</v>
      </c>
      <c r="L633">
        <v>9011</v>
      </c>
      <c r="M633" t="s">
        <v>3236</v>
      </c>
      <c r="O633">
        <v>0.7</v>
      </c>
      <c r="P633" s="80" t="s">
        <v>3176</v>
      </c>
      <c r="Q633" t="s">
        <v>769</v>
      </c>
      <c r="R633">
        <v>9010</v>
      </c>
      <c r="S633" t="s">
        <v>1729</v>
      </c>
      <c r="U633">
        <v>0.8</v>
      </c>
      <c r="V633">
        <v>70001</v>
      </c>
      <c r="W633">
        <v>3</v>
      </c>
      <c r="X633">
        <v>1</v>
      </c>
      <c r="Y633">
        <v>70002</v>
      </c>
      <c r="Z633">
        <v>3</v>
      </c>
      <c r="AA633">
        <v>1</v>
      </c>
      <c r="AB633">
        <v>1001</v>
      </c>
      <c r="AC633">
        <v>100</v>
      </c>
      <c r="AD633">
        <v>1</v>
      </c>
      <c r="AE633">
        <v>8000</v>
      </c>
      <c r="AF633">
        <v>11350</v>
      </c>
      <c r="AG633">
        <v>1</v>
      </c>
    </row>
    <row r="634" spans="1:33" ht="38.25" customHeight="1">
      <c r="A634">
        <v>1528</v>
      </c>
      <c r="B634" t="s">
        <v>1959</v>
      </c>
      <c r="C634">
        <v>14</v>
      </c>
      <c r="D634" t="s">
        <v>3237</v>
      </c>
      <c r="E634">
        <v>150</v>
      </c>
      <c r="G634" s="90" t="s">
        <v>3238</v>
      </c>
      <c r="I634">
        <v>67220</v>
      </c>
      <c r="J634" s="80" t="s">
        <v>3175</v>
      </c>
      <c r="K634" t="s">
        <v>767</v>
      </c>
      <c r="L634">
        <v>9007</v>
      </c>
      <c r="M634" t="s">
        <v>2264</v>
      </c>
      <c r="O634">
        <v>0.8</v>
      </c>
      <c r="P634" s="80" t="s">
        <v>3176</v>
      </c>
      <c r="Q634" t="s">
        <v>769</v>
      </c>
      <c r="R634">
        <v>9004</v>
      </c>
      <c r="S634">
        <v>5</v>
      </c>
      <c r="U634">
        <v>0.8</v>
      </c>
      <c r="V634">
        <v>70001</v>
      </c>
      <c r="W634">
        <v>3</v>
      </c>
      <c r="X634">
        <v>1</v>
      </c>
      <c r="Y634">
        <v>70002</v>
      </c>
      <c r="Z634">
        <v>3</v>
      </c>
      <c r="AA634">
        <v>1</v>
      </c>
      <c r="AB634">
        <v>1001</v>
      </c>
      <c r="AC634">
        <v>100</v>
      </c>
      <c r="AD634">
        <v>1</v>
      </c>
      <c r="AE634">
        <v>8000</v>
      </c>
      <c r="AF634">
        <v>11400</v>
      </c>
      <c r="AG634">
        <v>1</v>
      </c>
    </row>
    <row r="635" spans="1:33" ht="38.25" customHeight="1">
      <c r="A635">
        <v>1529</v>
      </c>
      <c r="B635" t="s">
        <v>1959</v>
      </c>
      <c r="C635">
        <v>14</v>
      </c>
      <c r="D635" t="s">
        <v>3239</v>
      </c>
      <c r="E635">
        <v>150</v>
      </c>
      <c r="G635" s="90" t="s">
        <v>3240</v>
      </c>
      <c r="I635">
        <v>67345</v>
      </c>
      <c r="J635" s="80" t="s">
        <v>3175</v>
      </c>
      <c r="K635" t="s">
        <v>767</v>
      </c>
      <c r="L635">
        <v>9005</v>
      </c>
      <c r="M635" t="s">
        <v>3034</v>
      </c>
      <c r="O635">
        <v>0.8</v>
      </c>
      <c r="P635" s="80" t="s">
        <v>3176</v>
      </c>
      <c r="Q635" t="s">
        <v>769</v>
      </c>
      <c r="R635">
        <v>9010</v>
      </c>
      <c r="S635">
        <v>12</v>
      </c>
      <c r="U635">
        <v>0.5</v>
      </c>
      <c r="V635">
        <v>70001</v>
      </c>
      <c r="W635">
        <v>3</v>
      </c>
      <c r="X635">
        <v>1</v>
      </c>
      <c r="Y635">
        <v>70002</v>
      </c>
      <c r="Z635">
        <v>3</v>
      </c>
      <c r="AA635">
        <v>1</v>
      </c>
      <c r="AB635">
        <v>1001</v>
      </c>
      <c r="AC635">
        <v>100</v>
      </c>
      <c r="AD635">
        <v>1</v>
      </c>
      <c r="AE635">
        <v>8000</v>
      </c>
      <c r="AF635">
        <v>11400</v>
      </c>
      <c r="AG635">
        <v>1</v>
      </c>
    </row>
    <row r="636" spans="1:33" ht="38.25" customHeight="1">
      <c r="A636">
        <v>1530</v>
      </c>
      <c r="B636" t="s">
        <v>1959</v>
      </c>
      <c r="C636">
        <v>14</v>
      </c>
      <c r="D636" t="s">
        <v>3241</v>
      </c>
      <c r="E636">
        <v>150</v>
      </c>
      <c r="G636" s="90" t="s">
        <v>3242</v>
      </c>
      <c r="I636">
        <v>67470</v>
      </c>
      <c r="J636" s="80" t="s">
        <v>3175</v>
      </c>
      <c r="K636" t="s">
        <v>767</v>
      </c>
      <c r="L636">
        <v>9007</v>
      </c>
      <c r="M636" t="s">
        <v>3243</v>
      </c>
      <c r="O636">
        <v>0.7</v>
      </c>
      <c r="P636" s="80" t="s">
        <v>3176</v>
      </c>
      <c r="Q636" t="s">
        <v>769</v>
      </c>
      <c r="R636">
        <v>9007</v>
      </c>
      <c r="S636" t="s">
        <v>2404</v>
      </c>
      <c r="U636">
        <v>0.4</v>
      </c>
      <c r="V636">
        <v>70001</v>
      </c>
      <c r="W636">
        <v>3</v>
      </c>
      <c r="X636">
        <v>1</v>
      </c>
      <c r="Y636">
        <v>70002</v>
      </c>
      <c r="Z636">
        <v>3</v>
      </c>
      <c r="AA636">
        <v>1</v>
      </c>
      <c r="AB636">
        <v>1001</v>
      </c>
      <c r="AC636">
        <v>100</v>
      </c>
      <c r="AD636">
        <v>1</v>
      </c>
      <c r="AE636">
        <v>8000</v>
      </c>
      <c r="AF636">
        <v>11450</v>
      </c>
      <c r="AG636">
        <v>1</v>
      </c>
    </row>
    <row r="637" spans="1:33" ht="38.25" customHeight="1">
      <c r="A637">
        <v>1531</v>
      </c>
      <c r="B637" t="s">
        <v>1959</v>
      </c>
      <c r="C637">
        <v>14</v>
      </c>
      <c r="D637" t="s">
        <v>3244</v>
      </c>
      <c r="E637">
        <v>150</v>
      </c>
      <c r="G637" s="90" t="s">
        <v>3245</v>
      </c>
      <c r="I637">
        <v>67595</v>
      </c>
      <c r="J637" s="80" t="s">
        <v>3175</v>
      </c>
      <c r="K637" t="s">
        <v>767</v>
      </c>
      <c r="L637">
        <v>9002</v>
      </c>
      <c r="M637" t="s">
        <v>3229</v>
      </c>
      <c r="O637">
        <v>0.2</v>
      </c>
      <c r="P637" s="80" t="s">
        <v>3176</v>
      </c>
      <c r="Q637" t="s">
        <v>769</v>
      </c>
      <c r="R637">
        <v>9004</v>
      </c>
      <c r="S637" t="s">
        <v>2084</v>
      </c>
      <c r="U637">
        <v>0.5</v>
      </c>
      <c r="V637">
        <v>70001</v>
      </c>
      <c r="W637">
        <v>3</v>
      </c>
      <c r="X637">
        <v>1</v>
      </c>
      <c r="Y637">
        <v>70002</v>
      </c>
      <c r="Z637">
        <v>3</v>
      </c>
      <c r="AA637">
        <v>1</v>
      </c>
      <c r="AB637">
        <v>1001</v>
      </c>
      <c r="AC637">
        <v>100</v>
      </c>
      <c r="AD637">
        <v>1</v>
      </c>
      <c r="AE637">
        <v>8000</v>
      </c>
      <c r="AF637">
        <v>11450</v>
      </c>
      <c r="AG637">
        <v>1</v>
      </c>
    </row>
    <row r="638" spans="1:33" ht="38.25" customHeight="1">
      <c r="A638">
        <v>1532</v>
      </c>
      <c r="B638" t="s">
        <v>1959</v>
      </c>
      <c r="C638">
        <v>14</v>
      </c>
      <c r="D638" t="s">
        <v>3246</v>
      </c>
      <c r="E638">
        <v>150</v>
      </c>
      <c r="G638" s="90" t="s">
        <v>3247</v>
      </c>
      <c r="I638">
        <v>67720</v>
      </c>
      <c r="J638" s="80" t="s">
        <v>3175</v>
      </c>
      <c r="K638" t="s">
        <v>767</v>
      </c>
      <c r="L638">
        <v>9007</v>
      </c>
      <c r="M638">
        <v>10</v>
      </c>
      <c r="O638">
        <v>0.8</v>
      </c>
      <c r="P638" s="80" t="s">
        <v>3176</v>
      </c>
      <c r="Q638" t="s">
        <v>769</v>
      </c>
      <c r="R638">
        <v>9004</v>
      </c>
      <c r="S638" t="s">
        <v>1652</v>
      </c>
      <c r="U638">
        <v>0.4</v>
      </c>
      <c r="V638">
        <v>70001</v>
      </c>
      <c r="W638">
        <v>3</v>
      </c>
      <c r="X638">
        <v>1</v>
      </c>
      <c r="Y638">
        <v>70002</v>
      </c>
      <c r="Z638">
        <v>3</v>
      </c>
      <c r="AA638">
        <v>1</v>
      </c>
      <c r="AB638">
        <v>1001</v>
      </c>
      <c r="AC638">
        <v>100</v>
      </c>
      <c r="AD638">
        <v>1</v>
      </c>
      <c r="AE638">
        <v>8000</v>
      </c>
      <c r="AF638">
        <v>11500</v>
      </c>
      <c r="AG638">
        <v>1</v>
      </c>
    </row>
    <row r="639" spans="1:33" ht="38.25" customHeight="1">
      <c r="A639">
        <v>1533</v>
      </c>
      <c r="B639" t="s">
        <v>1959</v>
      </c>
      <c r="C639">
        <v>14</v>
      </c>
      <c r="D639" t="s">
        <v>3248</v>
      </c>
      <c r="E639">
        <v>150</v>
      </c>
      <c r="G639" s="90" t="s">
        <v>3249</v>
      </c>
      <c r="I639">
        <v>67845</v>
      </c>
      <c r="J639" s="80" t="s">
        <v>3175</v>
      </c>
      <c r="K639" t="s">
        <v>767</v>
      </c>
      <c r="L639">
        <v>9007</v>
      </c>
      <c r="M639">
        <v>9</v>
      </c>
      <c r="O639">
        <v>0.9</v>
      </c>
      <c r="P639" s="80" t="s">
        <v>3176</v>
      </c>
      <c r="Q639" t="s">
        <v>769</v>
      </c>
      <c r="R639">
        <v>9004</v>
      </c>
      <c r="S639">
        <v>1</v>
      </c>
      <c r="U639">
        <v>0.6</v>
      </c>
      <c r="V639">
        <v>70001</v>
      </c>
      <c r="W639">
        <v>3</v>
      </c>
      <c r="X639">
        <v>1</v>
      </c>
      <c r="Y639">
        <v>70002</v>
      </c>
      <c r="Z639">
        <v>3</v>
      </c>
      <c r="AA639">
        <v>1</v>
      </c>
      <c r="AB639">
        <v>1001</v>
      </c>
      <c r="AC639">
        <v>100</v>
      </c>
      <c r="AD639">
        <v>1</v>
      </c>
      <c r="AE639">
        <v>8000</v>
      </c>
      <c r="AF639">
        <v>11500</v>
      </c>
      <c r="AG639">
        <v>1</v>
      </c>
    </row>
    <row r="640" spans="1:33" ht="38.25" customHeight="1">
      <c r="A640">
        <v>1534</v>
      </c>
      <c r="B640" t="s">
        <v>1959</v>
      </c>
      <c r="C640">
        <v>14</v>
      </c>
      <c r="D640" t="s">
        <v>3250</v>
      </c>
      <c r="E640">
        <v>150</v>
      </c>
      <c r="G640" s="90" t="s">
        <v>3251</v>
      </c>
      <c r="I640">
        <v>67970</v>
      </c>
      <c r="J640" s="80" t="s">
        <v>3175</v>
      </c>
      <c r="K640" t="s">
        <v>767</v>
      </c>
      <c r="L640">
        <v>9005</v>
      </c>
      <c r="M640" t="s">
        <v>1952</v>
      </c>
      <c r="O640">
        <v>0.1</v>
      </c>
      <c r="P640" s="80" t="s">
        <v>3176</v>
      </c>
      <c r="Q640" t="s">
        <v>769</v>
      </c>
      <c r="R640">
        <v>9008</v>
      </c>
      <c r="S640">
        <v>2</v>
      </c>
      <c r="U640">
        <v>0.3</v>
      </c>
      <c r="V640">
        <v>70001</v>
      </c>
      <c r="W640">
        <v>3</v>
      </c>
      <c r="X640">
        <v>1</v>
      </c>
      <c r="Y640">
        <v>70002</v>
      </c>
      <c r="Z640">
        <v>3</v>
      </c>
      <c r="AA640">
        <v>1</v>
      </c>
      <c r="AB640">
        <v>1001</v>
      </c>
      <c r="AC640">
        <v>100</v>
      </c>
      <c r="AD640">
        <v>1</v>
      </c>
      <c r="AE640">
        <v>8000</v>
      </c>
      <c r="AF640">
        <v>11550</v>
      </c>
      <c r="AG640">
        <v>1</v>
      </c>
    </row>
    <row r="641" spans="1:33" ht="38.25" customHeight="1">
      <c r="A641">
        <v>1535</v>
      </c>
      <c r="B641" t="s">
        <v>1959</v>
      </c>
      <c r="C641">
        <v>14</v>
      </c>
      <c r="D641" t="s">
        <v>3252</v>
      </c>
      <c r="E641">
        <v>150</v>
      </c>
      <c r="G641" s="90" t="s">
        <v>3253</v>
      </c>
      <c r="I641">
        <v>68095</v>
      </c>
      <c r="J641" s="80" t="s">
        <v>3175</v>
      </c>
      <c r="K641" t="s">
        <v>767</v>
      </c>
      <c r="L641">
        <v>9012</v>
      </c>
      <c r="M641">
        <v>7</v>
      </c>
      <c r="O641">
        <v>0.8</v>
      </c>
      <c r="P641" s="80" t="s">
        <v>3176</v>
      </c>
      <c r="Q641" t="s">
        <v>769</v>
      </c>
      <c r="R641">
        <v>9004</v>
      </c>
      <c r="S641">
        <v>13</v>
      </c>
      <c r="U641">
        <v>0.7</v>
      </c>
      <c r="V641">
        <v>70001</v>
      </c>
      <c r="W641">
        <v>3</v>
      </c>
      <c r="X641">
        <v>1</v>
      </c>
      <c r="Y641">
        <v>70002</v>
      </c>
      <c r="Z641">
        <v>3</v>
      </c>
      <c r="AA641">
        <v>1</v>
      </c>
      <c r="AB641">
        <v>1001</v>
      </c>
      <c r="AC641">
        <v>100</v>
      </c>
      <c r="AD641">
        <v>1</v>
      </c>
      <c r="AE641">
        <v>8000</v>
      </c>
      <c r="AF641">
        <v>11600</v>
      </c>
      <c r="AG641">
        <v>1</v>
      </c>
    </row>
    <row r="642" spans="1:33" ht="38.25" customHeight="1">
      <c r="A642">
        <v>1536</v>
      </c>
      <c r="B642" t="s">
        <v>1959</v>
      </c>
      <c r="C642">
        <v>14</v>
      </c>
      <c r="D642" t="s">
        <v>3254</v>
      </c>
      <c r="E642">
        <v>150</v>
      </c>
      <c r="G642" s="90" t="s">
        <v>3255</v>
      </c>
      <c r="I642">
        <v>68220</v>
      </c>
      <c r="J642" s="80" t="s">
        <v>3175</v>
      </c>
      <c r="K642" t="s">
        <v>767</v>
      </c>
      <c r="L642">
        <v>9008</v>
      </c>
      <c r="M642">
        <v>11</v>
      </c>
      <c r="O642">
        <v>0.2</v>
      </c>
      <c r="P642" s="80" t="s">
        <v>3176</v>
      </c>
      <c r="Q642" t="s">
        <v>769</v>
      </c>
      <c r="R642">
        <v>9004</v>
      </c>
      <c r="S642" t="s">
        <v>3256</v>
      </c>
      <c r="U642">
        <v>0.1</v>
      </c>
      <c r="V642">
        <v>70001</v>
      </c>
      <c r="W642">
        <v>3</v>
      </c>
      <c r="X642">
        <v>1</v>
      </c>
      <c r="Y642">
        <v>70002</v>
      </c>
      <c r="Z642">
        <v>3</v>
      </c>
      <c r="AA642">
        <v>1</v>
      </c>
      <c r="AB642">
        <v>1001</v>
      </c>
      <c r="AC642">
        <v>100</v>
      </c>
      <c r="AD642">
        <v>1</v>
      </c>
      <c r="AE642">
        <v>8000</v>
      </c>
      <c r="AF642">
        <v>11600</v>
      </c>
      <c r="AG642">
        <v>1</v>
      </c>
    </row>
    <row r="643" spans="1:33" ht="38.25" customHeight="1">
      <c r="A643">
        <v>1537</v>
      </c>
      <c r="B643" t="s">
        <v>1959</v>
      </c>
      <c r="C643">
        <v>14</v>
      </c>
      <c r="D643" t="s">
        <v>3257</v>
      </c>
      <c r="E643">
        <v>150</v>
      </c>
      <c r="G643" s="90" t="s">
        <v>3258</v>
      </c>
      <c r="I643">
        <v>68345</v>
      </c>
      <c r="J643" s="80" t="s">
        <v>3175</v>
      </c>
      <c r="K643" t="s">
        <v>767</v>
      </c>
      <c r="L643">
        <v>9002</v>
      </c>
      <c r="M643" t="s">
        <v>1690</v>
      </c>
      <c r="O643">
        <v>0.8</v>
      </c>
      <c r="P643" s="80" t="s">
        <v>3176</v>
      </c>
      <c r="Q643" t="s">
        <v>769</v>
      </c>
      <c r="R643">
        <v>9007</v>
      </c>
      <c r="S643" t="s">
        <v>2289</v>
      </c>
      <c r="U643">
        <v>0.6</v>
      </c>
      <c r="V643">
        <v>70001</v>
      </c>
      <c r="W643">
        <v>3</v>
      </c>
      <c r="X643">
        <v>1</v>
      </c>
      <c r="Y643">
        <v>70002</v>
      </c>
      <c r="Z643">
        <v>3</v>
      </c>
      <c r="AA643">
        <v>1</v>
      </c>
      <c r="AB643">
        <v>1001</v>
      </c>
      <c r="AC643">
        <v>100</v>
      </c>
      <c r="AD643">
        <v>1</v>
      </c>
      <c r="AE643">
        <v>8000</v>
      </c>
      <c r="AF643">
        <v>11650</v>
      </c>
      <c r="AG643">
        <v>1</v>
      </c>
    </row>
    <row r="644" spans="1:33" ht="38.25" customHeight="1">
      <c r="A644">
        <v>1538</v>
      </c>
      <c r="B644" t="s">
        <v>1959</v>
      </c>
      <c r="C644">
        <v>14</v>
      </c>
      <c r="D644" t="s">
        <v>3259</v>
      </c>
      <c r="E644">
        <v>150</v>
      </c>
      <c r="G644" s="90" t="s">
        <v>3260</v>
      </c>
      <c r="I644">
        <v>68470</v>
      </c>
      <c r="J644" s="80" t="s">
        <v>3175</v>
      </c>
      <c r="K644" t="s">
        <v>767</v>
      </c>
      <c r="L644">
        <v>9012</v>
      </c>
      <c r="M644" t="s">
        <v>1730</v>
      </c>
      <c r="O644">
        <v>0.5</v>
      </c>
      <c r="P644" s="80" t="s">
        <v>3176</v>
      </c>
      <c r="Q644" t="s">
        <v>769</v>
      </c>
      <c r="R644">
        <v>9012</v>
      </c>
      <c r="S644" t="s">
        <v>1955</v>
      </c>
      <c r="U644">
        <v>0.7</v>
      </c>
      <c r="V644">
        <v>70001</v>
      </c>
      <c r="W644">
        <v>3</v>
      </c>
      <c r="X644">
        <v>1</v>
      </c>
      <c r="Y644">
        <v>70002</v>
      </c>
      <c r="Z644">
        <v>3</v>
      </c>
      <c r="AA644">
        <v>1</v>
      </c>
      <c r="AB644">
        <v>1001</v>
      </c>
      <c r="AC644">
        <v>100</v>
      </c>
      <c r="AD644">
        <v>1</v>
      </c>
      <c r="AE644">
        <v>8000</v>
      </c>
      <c r="AF644">
        <v>11650</v>
      </c>
      <c r="AG644">
        <v>1</v>
      </c>
    </row>
    <row r="645" spans="1:33" ht="38.25" customHeight="1">
      <c r="A645">
        <v>1539</v>
      </c>
      <c r="B645" t="s">
        <v>1959</v>
      </c>
      <c r="C645">
        <v>14</v>
      </c>
      <c r="D645" t="s">
        <v>3261</v>
      </c>
      <c r="E645">
        <v>150</v>
      </c>
      <c r="G645" s="90" t="s">
        <v>3262</v>
      </c>
      <c r="I645">
        <v>68595</v>
      </c>
      <c r="J645" s="80" t="s">
        <v>3175</v>
      </c>
      <c r="K645" t="s">
        <v>767</v>
      </c>
      <c r="L645">
        <v>9002</v>
      </c>
      <c r="M645" t="s">
        <v>1890</v>
      </c>
      <c r="O645">
        <v>0.6</v>
      </c>
      <c r="P645" s="80" t="s">
        <v>3176</v>
      </c>
      <c r="Q645" t="s">
        <v>769</v>
      </c>
      <c r="R645">
        <v>9007</v>
      </c>
      <c r="S645">
        <v>2</v>
      </c>
      <c r="U645">
        <v>0.6</v>
      </c>
      <c r="V645">
        <v>70001</v>
      </c>
      <c r="W645">
        <v>3</v>
      </c>
      <c r="X645">
        <v>1</v>
      </c>
      <c r="Y645">
        <v>70002</v>
      </c>
      <c r="Z645">
        <v>3</v>
      </c>
      <c r="AA645">
        <v>1</v>
      </c>
      <c r="AB645">
        <v>1001</v>
      </c>
      <c r="AC645">
        <v>500</v>
      </c>
      <c r="AD645">
        <v>1</v>
      </c>
      <c r="AE645">
        <v>8000</v>
      </c>
      <c r="AF645">
        <v>11700</v>
      </c>
      <c r="AG645">
        <v>1</v>
      </c>
    </row>
    <row r="646" spans="1:33" ht="38.25" customHeight="1">
      <c r="A646">
        <v>1540</v>
      </c>
      <c r="B646" t="s">
        <v>1959</v>
      </c>
      <c r="C646">
        <v>14</v>
      </c>
      <c r="D646" t="s">
        <v>3263</v>
      </c>
      <c r="E646">
        <v>150</v>
      </c>
      <c r="G646" s="90" t="s">
        <v>3264</v>
      </c>
      <c r="I646">
        <v>68720</v>
      </c>
      <c r="J646" s="80" t="s">
        <v>3175</v>
      </c>
      <c r="K646" t="s">
        <v>767</v>
      </c>
      <c r="L646">
        <v>9005</v>
      </c>
      <c r="M646">
        <v>6</v>
      </c>
      <c r="O646">
        <v>0.6</v>
      </c>
      <c r="P646" s="80" t="s">
        <v>3176</v>
      </c>
      <c r="Q646" t="s">
        <v>769</v>
      </c>
      <c r="R646">
        <v>9007</v>
      </c>
      <c r="S646">
        <v>7</v>
      </c>
      <c r="U646">
        <v>0.6</v>
      </c>
      <c r="V646">
        <v>70001</v>
      </c>
      <c r="W646">
        <v>3</v>
      </c>
      <c r="X646">
        <v>1</v>
      </c>
      <c r="Y646">
        <v>70002</v>
      </c>
      <c r="Z646">
        <v>3</v>
      </c>
      <c r="AA646">
        <v>1</v>
      </c>
      <c r="AB646">
        <v>1001</v>
      </c>
      <c r="AC646">
        <v>100</v>
      </c>
      <c r="AD646">
        <v>1</v>
      </c>
      <c r="AE646">
        <v>8000</v>
      </c>
      <c r="AF646">
        <v>11700</v>
      </c>
      <c r="AG646">
        <v>1</v>
      </c>
    </row>
    <row r="647" spans="1:33" ht="38.25" customHeight="1">
      <c r="A647">
        <v>1541</v>
      </c>
      <c r="B647" t="s">
        <v>1959</v>
      </c>
      <c r="C647">
        <v>14</v>
      </c>
      <c r="D647" t="s">
        <v>3265</v>
      </c>
      <c r="E647">
        <v>150</v>
      </c>
      <c r="G647" s="90" t="s">
        <v>3266</v>
      </c>
      <c r="I647">
        <v>68845</v>
      </c>
      <c r="J647" s="80" t="s">
        <v>3175</v>
      </c>
      <c r="K647" t="s">
        <v>767</v>
      </c>
      <c r="L647">
        <v>9012</v>
      </c>
      <c r="M647" t="s">
        <v>1900</v>
      </c>
      <c r="O647">
        <v>0.9</v>
      </c>
      <c r="P647" s="80" t="s">
        <v>3176</v>
      </c>
      <c r="Q647" t="s">
        <v>769</v>
      </c>
      <c r="R647">
        <v>9003</v>
      </c>
      <c r="S647">
        <v>9</v>
      </c>
      <c r="U647">
        <v>0.4</v>
      </c>
      <c r="V647">
        <v>70001</v>
      </c>
      <c r="W647">
        <v>3</v>
      </c>
      <c r="X647">
        <v>1</v>
      </c>
      <c r="Y647">
        <v>70002</v>
      </c>
      <c r="Z647">
        <v>3</v>
      </c>
      <c r="AA647">
        <v>1</v>
      </c>
      <c r="AB647">
        <v>1001</v>
      </c>
      <c r="AC647">
        <v>100</v>
      </c>
      <c r="AD647">
        <v>1</v>
      </c>
      <c r="AE647">
        <v>8000</v>
      </c>
      <c r="AF647">
        <v>11750</v>
      </c>
      <c r="AG647">
        <v>1</v>
      </c>
    </row>
    <row r="648" spans="1:33" ht="38.25" customHeight="1">
      <c r="A648">
        <v>1542</v>
      </c>
      <c r="B648" t="s">
        <v>1959</v>
      </c>
      <c r="C648">
        <v>14</v>
      </c>
      <c r="D648" t="s">
        <v>3267</v>
      </c>
      <c r="E648">
        <v>150</v>
      </c>
      <c r="G648" s="90" t="s">
        <v>3268</v>
      </c>
      <c r="I648">
        <v>68970</v>
      </c>
      <c r="J648" s="80" t="s">
        <v>3175</v>
      </c>
      <c r="K648" t="s">
        <v>767</v>
      </c>
      <c r="L648">
        <v>9011</v>
      </c>
      <c r="M648" t="s">
        <v>1864</v>
      </c>
      <c r="O648">
        <v>0.7</v>
      </c>
      <c r="P648" s="80" t="s">
        <v>3176</v>
      </c>
      <c r="Q648" t="s">
        <v>769</v>
      </c>
      <c r="R648">
        <v>9003</v>
      </c>
      <c r="S648" t="s">
        <v>1855</v>
      </c>
      <c r="U648">
        <v>0.9</v>
      </c>
      <c r="V648">
        <v>70001</v>
      </c>
      <c r="W648">
        <v>3</v>
      </c>
      <c r="X648">
        <v>1</v>
      </c>
      <c r="Y648">
        <v>70002</v>
      </c>
      <c r="Z648">
        <v>3</v>
      </c>
      <c r="AA648">
        <v>1</v>
      </c>
      <c r="AB648">
        <v>1001</v>
      </c>
      <c r="AC648">
        <v>100</v>
      </c>
      <c r="AD648">
        <v>1</v>
      </c>
      <c r="AE648">
        <v>8000</v>
      </c>
      <c r="AF648">
        <v>11800</v>
      </c>
      <c r="AG648">
        <v>1</v>
      </c>
    </row>
    <row r="649" spans="1:33" ht="38.25" customHeight="1">
      <c r="A649">
        <v>1543</v>
      </c>
      <c r="B649" t="s">
        <v>1959</v>
      </c>
      <c r="C649">
        <v>14</v>
      </c>
      <c r="D649" t="s">
        <v>3269</v>
      </c>
      <c r="E649">
        <v>150</v>
      </c>
      <c r="G649" s="90" t="s">
        <v>3270</v>
      </c>
      <c r="I649">
        <v>69095</v>
      </c>
      <c r="J649" s="80" t="s">
        <v>3175</v>
      </c>
      <c r="K649" t="s">
        <v>767</v>
      </c>
      <c r="L649">
        <v>9002</v>
      </c>
      <c r="M649" t="s">
        <v>3271</v>
      </c>
      <c r="O649">
        <v>0.5</v>
      </c>
      <c r="P649" s="80" t="s">
        <v>3176</v>
      </c>
      <c r="Q649" t="s">
        <v>769</v>
      </c>
      <c r="R649">
        <v>9010</v>
      </c>
      <c r="S649" t="s">
        <v>2331</v>
      </c>
      <c r="U649">
        <v>0.3</v>
      </c>
      <c r="V649">
        <v>70001</v>
      </c>
      <c r="W649">
        <v>3</v>
      </c>
      <c r="X649">
        <v>1</v>
      </c>
      <c r="Y649">
        <v>70002</v>
      </c>
      <c r="Z649">
        <v>3</v>
      </c>
      <c r="AA649">
        <v>1</v>
      </c>
      <c r="AB649">
        <v>1001</v>
      </c>
      <c r="AC649">
        <v>100</v>
      </c>
      <c r="AD649">
        <v>1</v>
      </c>
      <c r="AE649">
        <v>8000</v>
      </c>
      <c r="AF649">
        <v>11800</v>
      </c>
      <c r="AG649">
        <v>1</v>
      </c>
    </row>
    <row r="650" spans="1:33" ht="38.25" customHeight="1">
      <c r="A650">
        <v>1544</v>
      </c>
      <c r="B650" t="s">
        <v>1959</v>
      </c>
      <c r="C650">
        <v>14</v>
      </c>
      <c r="D650" t="s">
        <v>3272</v>
      </c>
      <c r="E650">
        <v>150</v>
      </c>
      <c r="G650" s="90" t="s">
        <v>3273</v>
      </c>
      <c r="I650">
        <v>69220</v>
      </c>
      <c r="J650" s="80" t="s">
        <v>3175</v>
      </c>
      <c r="K650" t="s">
        <v>767</v>
      </c>
      <c r="L650">
        <v>9001</v>
      </c>
      <c r="M650">
        <v>13</v>
      </c>
      <c r="O650">
        <v>0.3</v>
      </c>
      <c r="P650" s="80" t="s">
        <v>3176</v>
      </c>
      <c r="Q650" t="s">
        <v>769</v>
      </c>
      <c r="R650">
        <v>9011</v>
      </c>
      <c r="S650">
        <v>1</v>
      </c>
      <c r="U650">
        <v>0.6</v>
      </c>
      <c r="V650">
        <v>70001</v>
      </c>
      <c r="W650">
        <v>3</v>
      </c>
      <c r="X650">
        <v>1</v>
      </c>
      <c r="Y650">
        <v>70002</v>
      </c>
      <c r="Z650">
        <v>3</v>
      </c>
      <c r="AA650">
        <v>1</v>
      </c>
      <c r="AB650">
        <v>1001</v>
      </c>
      <c r="AC650">
        <v>100</v>
      </c>
      <c r="AD650">
        <v>1</v>
      </c>
      <c r="AE650">
        <v>8000</v>
      </c>
      <c r="AF650">
        <v>11850</v>
      </c>
      <c r="AG650">
        <v>1</v>
      </c>
    </row>
    <row r="651" spans="1:33" ht="38.25" customHeight="1">
      <c r="A651">
        <v>1545</v>
      </c>
      <c r="B651" t="s">
        <v>1959</v>
      </c>
      <c r="C651">
        <v>14</v>
      </c>
      <c r="D651" t="s">
        <v>3274</v>
      </c>
      <c r="E651">
        <v>150</v>
      </c>
      <c r="G651" s="90" t="s">
        <v>3275</v>
      </c>
      <c r="I651">
        <v>69345</v>
      </c>
      <c r="J651" s="80" t="s">
        <v>3175</v>
      </c>
      <c r="K651" t="s">
        <v>767</v>
      </c>
      <c r="L651">
        <v>9012</v>
      </c>
      <c r="M651">
        <v>8</v>
      </c>
      <c r="O651">
        <v>0.8</v>
      </c>
      <c r="P651" s="80" t="s">
        <v>3176</v>
      </c>
      <c r="Q651" t="s">
        <v>769</v>
      </c>
      <c r="R651">
        <v>9004</v>
      </c>
      <c r="S651" t="s">
        <v>1968</v>
      </c>
      <c r="U651">
        <v>0.2</v>
      </c>
      <c r="V651">
        <v>70001</v>
      </c>
      <c r="W651">
        <v>3</v>
      </c>
      <c r="X651">
        <v>1</v>
      </c>
      <c r="Y651">
        <v>70002</v>
      </c>
      <c r="Z651">
        <v>3</v>
      </c>
      <c r="AA651">
        <v>1</v>
      </c>
      <c r="AB651">
        <v>1001</v>
      </c>
      <c r="AC651">
        <v>100</v>
      </c>
      <c r="AD651">
        <v>1</v>
      </c>
      <c r="AE651">
        <v>8000</v>
      </c>
      <c r="AF651">
        <v>11850</v>
      </c>
      <c r="AG651">
        <v>1</v>
      </c>
    </row>
    <row r="652" spans="1:33" ht="38.25" customHeight="1">
      <c r="A652">
        <v>1546</v>
      </c>
      <c r="B652" t="s">
        <v>1959</v>
      </c>
      <c r="C652">
        <v>14</v>
      </c>
      <c r="D652" t="s">
        <v>3276</v>
      </c>
      <c r="E652">
        <v>150</v>
      </c>
      <c r="G652" s="90" t="s">
        <v>3277</v>
      </c>
      <c r="I652">
        <v>69470</v>
      </c>
      <c r="J652" s="80" t="s">
        <v>3175</v>
      </c>
      <c r="K652" t="s">
        <v>767</v>
      </c>
      <c r="L652">
        <v>9006</v>
      </c>
      <c r="M652" t="s">
        <v>2231</v>
      </c>
      <c r="O652">
        <v>0.7</v>
      </c>
      <c r="P652" s="80" t="s">
        <v>3176</v>
      </c>
      <c r="Q652" t="s">
        <v>769</v>
      </c>
      <c r="R652">
        <v>9010</v>
      </c>
      <c r="S652" t="s">
        <v>1982</v>
      </c>
      <c r="U652">
        <v>0.9</v>
      </c>
      <c r="V652">
        <v>70001</v>
      </c>
      <c r="W652">
        <v>3</v>
      </c>
      <c r="X652">
        <v>1</v>
      </c>
      <c r="Y652">
        <v>70002</v>
      </c>
      <c r="Z652">
        <v>3</v>
      </c>
      <c r="AA652">
        <v>1</v>
      </c>
      <c r="AB652">
        <v>1001</v>
      </c>
      <c r="AC652">
        <v>100</v>
      </c>
      <c r="AD652">
        <v>1</v>
      </c>
      <c r="AE652">
        <v>8000</v>
      </c>
      <c r="AF652">
        <v>11900</v>
      </c>
      <c r="AG652">
        <v>1</v>
      </c>
    </row>
    <row r="653" spans="1:33" ht="38.25" customHeight="1">
      <c r="A653">
        <v>1547</v>
      </c>
      <c r="B653" t="s">
        <v>1959</v>
      </c>
      <c r="C653">
        <v>14</v>
      </c>
      <c r="D653" t="s">
        <v>3278</v>
      </c>
      <c r="E653">
        <v>150</v>
      </c>
      <c r="G653" s="90" t="s">
        <v>3279</v>
      </c>
      <c r="I653">
        <v>69595</v>
      </c>
      <c r="J653" s="80" t="s">
        <v>3175</v>
      </c>
      <c r="K653" t="s">
        <v>767</v>
      </c>
      <c r="L653">
        <v>9002</v>
      </c>
      <c r="M653">
        <v>8</v>
      </c>
      <c r="O653">
        <v>0.8</v>
      </c>
      <c r="P653" s="80" t="s">
        <v>3176</v>
      </c>
      <c r="Q653" t="s">
        <v>769</v>
      </c>
      <c r="R653">
        <v>9011</v>
      </c>
      <c r="S653">
        <v>8</v>
      </c>
      <c r="U653">
        <v>0.2</v>
      </c>
      <c r="V653">
        <v>70001</v>
      </c>
      <c r="W653">
        <v>3</v>
      </c>
      <c r="X653">
        <v>1</v>
      </c>
      <c r="Y653">
        <v>70002</v>
      </c>
      <c r="Z653">
        <v>3</v>
      </c>
      <c r="AA653">
        <v>1</v>
      </c>
      <c r="AB653">
        <v>1001</v>
      </c>
      <c r="AC653">
        <v>100</v>
      </c>
      <c r="AD653">
        <v>1</v>
      </c>
      <c r="AE653">
        <v>8000</v>
      </c>
      <c r="AF653">
        <v>11900</v>
      </c>
      <c r="AG653">
        <v>1</v>
      </c>
    </row>
    <row r="654" spans="1:33" ht="38.25" customHeight="1">
      <c r="A654">
        <v>1548</v>
      </c>
      <c r="B654" t="s">
        <v>1959</v>
      </c>
      <c r="C654">
        <v>14</v>
      </c>
      <c r="D654" t="s">
        <v>3280</v>
      </c>
      <c r="E654">
        <v>150</v>
      </c>
      <c r="G654" s="90" t="s">
        <v>3281</v>
      </c>
      <c r="I654">
        <v>69720</v>
      </c>
      <c r="J654" s="80" t="s">
        <v>3175</v>
      </c>
      <c r="K654" t="s">
        <v>767</v>
      </c>
      <c r="L654">
        <v>9011</v>
      </c>
      <c r="M654">
        <v>8</v>
      </c>
      <c r="O654">
        <v>0.9</v>
      </c>
      <c r="P654" s="80" t="s">
        <v>3176</v>
      </c>
      <c r="Q654" t="s">
        <v>769</v>
      </c>
      <c r="R654">
        <v>9004</v>
      </c>
      <c r="S654" t="s">
        <v>3051</v>
      </c>
      <c r="U654">
        <v>0.7</v>
      </c>
      <c r="V654">
        <v>70001</v>
      </c>
      <c r="W654">
        <v>3</v>
      </c>
      <c r="X654">
        <v>1</v>
      </c>
      <c r="Y654">
        <v>70002</v>
      </c>
      <c r="Z654">
        <v>3</v>
      </c>
      <c r="AA654">
        <v>1</v>
      </c>
      <c r="AB654">
        <v>1001</v>
      </c>
      <c r="AC654">
        <v>100</v>
      </c>
      <c r="AD654">
        <v>1</v>
      </c>
      <c r="AE654">
        <v>8000</v>
      </c>
      <c r="AF654">
        <v>11950</v>
      </c>
      <c r="AG654">
        <v>1</v>
      </c>
    </row>
    <row r="655" spans="1:33" ht="38.25" customHeight="1">
      <c r="A655">
        <v>1549</v>
      </c>
      <c r="B655" t="s">
        <v>1959</v>
      </c>
      <c r="C655">
        <v>14</v>
      </c>
      <c r="D655" t="s">
        <v>3282</v>
      </c>
      <c r="E655">
        <v>150</v>
      </c>
      <c r="G655" s="90" t="s">
        <v>3283</v>
      </c>
      <c r="I655">
        <v>69845</v>
      </c>
      <c r="J655" s="80" t="s">
        <v>3175</v>
      </c>
      <c r="K655" t="s">
        <v>767</v>
      </c>
      <c r="L655">
        <v>9005</v>
      </c>
      <c r="M655" t="s">
        <v>2415</v>
      </c>
      <c r="O655">
        <v>0.5</v>
      </c>
      <c r="P655" s="80" t="s">
        <v>3176</v>
      </c>
      <c r="Q655" t="s">
        <v>769</v>
      </c>
      <c r="R655">
        <v>9011</v>
      </c>
      <c r="S655">
        <v>2</v>
      </c>
      <c r="U655">
        <v>0.5</v>
      </c>
      <c r="V655">
        <v>70001</v>
      </c>
      <c r="W655">
        <v>3</v>
      </c>
      <c r="X655">
        <v>1</v>
      </c>
      <c r="Y655">
        <v>70002</v>
      </c>
      <c r="Z655">
        <v>3</v>
      </c>
      <c r="AA655">
        <v>1</v>
      </c>
      <c r="AB655">
        <v>1001</v>
      </c>
      <c r="AC655">
        <v>100</v>
      </c>
      <c r="AD655">
        <v>1</v>
      </c>
      <c r="AE655">
        <v>8000</v>
      </c>
      <c r="AF655">
        <v>12000</v>
      </c>
      <c r="AG655">
        <v>1</v>
      </c>
    </row>
    <row r="656" spans="1:33" ht="38.25" customHeight="1">
      <c r="A656">
        <v>1550</v>
      </c>
      <c r="B656" t="s">
        <v>1959</v>
      </c>
      <c r="C656">
        <v>15</v>
      </c>
      <c r="D656" t="s">
        <v>3284</v>
      </c>
      <c r="E656">
        <v>150</v>
      </c>
      <c r="G656" s="90" t="s">
        <v>3285</v>
      </c>
      <c r="I656">
        <v>69970</v>
      </c>
      <c r="J656" s="80" t="s">
        <v>3286</v>
      </c>
      <c r="K656" t="s">
        <v>767</v>
      </c>
      <c r="L656">
        <v>9012</v>
      </c>
      <c r="M656" t="s">
        <v>3236</v>
      </c>
      <c r="O656">
        <v>0.7</v>
      </c>
      <c r="P656" s="80" t="s">
        <v>3287</v>
      </c>
      <c r="Q656" t="s">
        <v>769</v>
      </c>
      <c r="R656">
        <v>9010</v>
      </c>
      <c r="S656" t="s">
        <v>1855</v>
      </c>
      <c r="U656">
        <v>0.4</v>
      </c>
      <c r="V656">
        <v>70001</v>
      </c>
      <c r="W656">
        <v>3</v>
      </c>
      <c r="X656">
        <v>1</v>
      </c>
      <c r="Y656">
        <v>70002</v>
      </c>
      <c r="Z656">
        <v>3</v>
      </c>
      <c r="AA656">
        <v>1</v>
      </c>
      <c r="AB656">
        <v>1001</v>
      </c>
      <c r="AC656">
        <v>100</v>
      </c>
      <c r="AD656">
        <v>1</v>
      </c>
      <c r="AE656">
        <v>8000</v>
      </c>
      <c r="AF656">
        <v>12000</v>
      </c>
      <c r="AG656">
        <v>1</v>
      </c>
    </row>
    <row r="657" spans="1:33" ht="38.25" customHeight="1">
      <c r="A657">
        <v>1551</v>
      </c>
      <c r="B657" t="s">
        <v>1959</v>
      </c>
      <c r="C657">
        <v>15</v>
      </c>
      <c r="D657" t="s">
        <v>3288</v>
      </c>
      <c r="E657">
        <v>150</v>
      </c>
      <c r="G657" s="90" t="s">
        <v>3289</v>
      </c>
      <c r="I657">
        <v>70095</v>
      </c>
      <c r="J657" s="80" t="s">
        <v>3286</v>
      </c>
      <c r="K657" t="s">
        <v>767</v>
      </c>
      <c r="L657">
        <v>9002</v>
      </c>
      <c r="M657" t="s">
        <v>1824</v>
      </c>
      <c r="O657">
        <v>0.7</v>
      </c>
      <c r="P657" s="80" t="s">
        <v>3287</v>
      </c>
      <c r="Q657" t="s">
        <v>769</v>
      </c>
      <c r="R657">
        <v>9012</v>
      </c>
      <c r="S657" t="s">
        <v>1849</v>
      </c>
      <c r="U657">
        <v>0.8</v>
      </c>
      <c r="V657">
        <v>70001</v>
      </c>
      <c r="W657">
        <v>3</v>
      </c>
      <c r="X657">
        <v>1</v>
      </c>
      <c r="Y657">
        <v>70002</v>
      </c>
      <c r="Z657">
        <v>3</v>
      </c>
      <c r="AA657">
        <v>1</v>
      </c>
      <c r="AB657">
        <v>1001</v>
      </c>
      <c r="AC657">
        <v>100</v>
      </c>
      <c r="AD657">
        <v>1</v>
      </c>
      <c r="AE657">
        <v>8000</v>
      </c>
      <c r="AF657">
        <v>12050</v>
      </c>
      <c r="AG657">
        <v>1</v>
      </c>
    </row>
    <row r="658" spans="1:33" ht="38.25" customHeight="1">
      <c r="A658">
        <v>1552</v>
      </c>
      <c r="B658" t="s">
        <v>1959</v>
      </c>
      <c r="C658">
        <v>15</v>
      </c>
      <c r="D658" t="s">
        <v>3290</v>
      </c>
      <c r="E658">
        <v>150</v>
      </c>
      <c r="G658" s="90" t="s">
        <v>3291</v>
      </c>
      <c r="I658">
        <v>70220</v>
      </c>
      <c r="J658" s="80" t="s">
        <v>3286</v>
      </c>
      <c r="K658" t="s">
        <v>767</v>
      </c>
      <c r="L658">
        <v>9001</v>
      </c>
      <c r="M658" t="s">
        <v>3048</v>
      </c>
      <c r="O658">
        <v>0.5</v>
      </c>
      <c r="P658" s="80" t="s">
        <v>3287</v>
      </c>
      <c r="Q658" t="s">
        <v>769</v>
      </c>
      <c r="R658">
        <v>9004</v>
      </c>
      <c r="S658">
        <v>5</v>
      </c>
      <c r="U658">
        <v>0.6</v>
      </c>
      <c r="V658">
        <v>70001</v>
      </c>
      <c r="W658">
        <v>3</v>
      </c>
      <c r="X658">
        <v>1</v>
      </c>
      <c r="Y658">
        <v>70002</v>
      </c>
      <c r="Z658">
        <v>3</v>
      </c>
      <c r="AA658">
        <v>1</v>
      </c>
      <c r="AB658">
        <v>1001</v>
      </c>
      <c r="AC658">
        <v>100</v>
      </c>
      <c r="AD658">
        <v>1</v>
      </c>
      <c r="AE658">
        <v>8000</v>
      </c>
      <c r="AF658">
        <v>12050</v>
      </c>
      <c r="AG658">
        <v>1</v>
      </c>
    </row>
    <row r="659" spans="1:33" ht="38.25" customHeight="1">
      <c r="A659">
        <v>1553</v>
      </c>
      <c r="B659" t="s">
        <v>1959</v>
      </c>
      <c r="C659">
        <v>15</v>
      </c>
      <c r="D659" t="s">
        <v>3292</v>
      </c>
      <c r="E659">
        <v>150</v>
      </c>
      <c r="G659" s="90" t="s">
        <v>3293</v>
      </c>
      <c r="I659">
        <v>70345</v>
      </c>
      <c r="J659" s="80" t="s">
        <v>3286</v>
      </c>
      <c r="K659" t="s">
        <v>767</v>
      </c>
      <c r="L659">
        <v>9007</v>
      </c>
      <c r="M659" t="s">
        <v>2152</v>
      </c>
      <c r="O659">
        <v>0.3</v>
      </c>
      <c r="P659" s="80" t="s">
        <v>3287</v>
      </c>
      <c r="Q659" t="s">
        <v>769</v>
      </c>
      <c r="R659">
        <v>9007</v>
      </c>
      <c r="S659">
        <v>1</v>
      </c>
      <c r="U659">
        <v>0.6</v>
      </c>
      <c r="V659">
        <v>70001</v>
      </c>
      <c r="W659">
        <v>3</v>
      </c>
      <c r="X659">
        <v>1</v>
      </c>
      <c r="Y659">
        <v>70002</v>
      </c>
      <c r="Z659">
        <v>3</v>
      </c>
      <c r="AA659">
        <v>1</v>
      </c>
      <c r="AB659">
        <v>1001</v>
      </c>
      <c r="AC659">
        <v>100</v>
      </c>
      <c r="AD659">
        <v>1</v>
      </c>
      <c r="AE659">
        <v>8000</v>
      </c>
      <c r="AF659">
        <v>12100</v>
      </c>
      <c r="AG659">
        <v>1</v>
      </c>
    </row>
    <row r="660" spans="1:33" ht="38.25" customHeight="1">
      <c r="A660">
        <v>1554</v>
      </c>
      <c r="B660" t="s">
        <v>1959</v>
      </c>
      <c r="C660">
        <v>15</v>
      </c>
      <c r="D660" t="s">
        <v>3294</v>
      </c>
      <c r="E660">
        <v>150</v>
      </c>
      <c r="G660" s="90" t="s">
        <v>3289</v>
      </c>
      <c r="I660">
        <v>70470</v>
      </c>
      <c r="J660" s="80" t="s">
        <v>3286</v>
      </c>
      <c r="K660" t="s">
        <v>767</v>
      </c>
      <c r="L660">
        <v>9011</v>
      </c>
      <c r="M660">
        <v>2</v>
      </c>
      <c r="O660">
        <v>0.3</v>
      </c>
      <c r="P660" s="80" t="s">
        <v>3287</v>
      </c>
      <c r="Q660" t="s">
        <v>769</v>
      </c>
      <c r="R660">
        <v>9008</v>
      </c>
      <c r="S660">
        <v>4</v>
      </c>
      <c r="U660">
        <v>0.8</v>
      </c>
      <c r="V660">
        <v>70001</v>
      </c>
      <c r="W660">
        <v>3</v>
      </c>
      <c r="X660">
        <v>1</v>
      </c>
      <c r="Y660">
        <v>70002</v>
      </c>
      <c r="Z660">
        <v>3</v>
      </c>
      <c r="AA660">
        <v>1</v>
      </c>
      <c r="AB660">
        <v>1001</v>
      </c>
      <c r="AC660">
        <v>100</v>
      </c>
      <c r="AD660">
        <v>1</v>
      </c>
      <c r="AE660">
        <v>8000</v>
      </c>
      <c r="AF660">
        <v>12100</v>
      </c>
      <c r="AG660">
        <v>1</v>
      </c>
    </row>
    <row r="661" spans="1:33" ht="38.25" customHeight="1">
      <c r="A661">
        <v>1555</v>
      </c>
      <c r="B661" t="s">
        <v>1959</v>
      </c>
      <c r="C661">
        <v>15</v>
      </c>
      <c r="D661" t="s">
        <v>3295</v>
      </c>
      <c r="E661">
        <v>150</v>
      </c>
      <c r="G661" s="90" t="s">
        <v>3296</v>
      </c>
      <c r="I661">
        <v>70595</v>
      </c>
      <c r="J661" s="80" t="s">
        <v>3286</v>
      </c>
      <c r="K661" t="s">
        <v>767</v>
      </c>
      <c r="L661">
        <v>9012</v>
      </c>
      <c r="M661" t="s">
        <v>1893</v>
      </c>
      <c r="O661">
        <v>0.2</v>
      </c>
      <c r="P661" s="80" t="s">
        <v>3287</v>
      </c>
      <c r="Q661" t="s">
        <v>769</v>
      </c>
      <c r="R661">
        <v>9004</v>
      </c>
      <c r="S661" t="s">
        <v>2301</v>
      </c>
      <c r="U661">
        <v>0.9</v>
      </c>
      <c r="V661">
        <v>70001</v>
      </c>
      <c r="W661">
        <v>3</v>
      </c>
      <c r="X661">
        <v>1</v>
      </c>
      <c r="Y661">
        <v>70002</v>
      </c>
      <c r="Z661">
        <v>3</v>
      </c>
      <c r="AA661">
        <v>1</v>
      </c>
      <c r="AB661">
        <v>1001</v>
      </c>
      <c r="AC661">
        <v>100</v>
      </c>
      <c r="AD661">
        <v>1</v>
      </c>
      <c r="AE661">
        <v>8000</v>
      </c>
      <c r="AF661">
        <v>12150</v>
      </c>
      <c r="AG661">
        <v>1</v>
      </c>
    </row>
    <row r="662" spans="1:33" ht="38.25" customHeight="1">
      <c r="A662">
        <v>1556</v>
      </c>
      <c r="B662" t="s">
        <v>1959</v>
      </c>
      <c r="C662">
        <v>15</v>
      </c>
      <c r="D662" t="s">
        <v>3297</v>
      </c>
      <c r="E662">
        <v>150</v>
      </c>
      <c r="G662" s="90" t="s">
        <v>3298</v>
      </c>
      <c r="I662">
        <v>70720</v>
      </c>
      <c r="J662" s="80" t="s">
        <v>3286</v>
      </c>
      <c r="K662" t="s">
        <v>767</v>
      </c>
      <c r="L662">
        <v>9011</v>
      </c>
      <c r="M662">
        <v>1</v>
      </c>
      <c r="O662">
        <v>0.8</v>
      </c>
      <c r="P662" s="80" t="s">
        <v>3287</v>
      </c>
      <c r="Q662" t="s">
        <v>769</v>
      </c>
      <c r="R662">
        <v>9004</v>
      </c>
      <c r="S662" t="s">
        <v>2002</v>
      </c>
      <c r="U662">
        <v>0.6</v>
      </c>
      <c r="V662">
        <v>70001</v>
      </c>
      <c r="W662">
        <v>3</v>
      </c>
      <c r="X662">
        <v>1</v>
      </c>
      <c r="Y662">
        <v>70002</v>
      </c>
      <c r="Z662">
        <v>3</v>
      </c>
      <c r="AA662">
        <v>1</v>
      </c>
      <c r="AB662">
        <v>1001</v>
      </c>
      <c r="AC662">
        <v>100</v>
      </c>
      <c r="AD662">
        <v>1</v>
      </c>
      <c r="AE662">
        <v>8000</v>
      </c>
      <c r="AF662">
        <v>12200</v>
      </c>
      <c r="AG662">
        <v>1</v>
      </c>
    </row>
    <row r="663" spans="1:33" ht="38.25" customHeight="1">
      <c r="A663">
        <v>1557</v>
      </c>
      <c r="B663" t="s">
        <v>1959</v>
      </c>
      <c r="C663">
        <v>15</v>
      </c>
      <c r="D663" t="s">
        <v>3299</v>
      </c>
      <c r="E663">
        <v>150</v>
      </c>
      <c r="G663" s="90" t="s">
        <v>3300</v>
      </c>
      <c r="I663">
        <v>70845</v>
      </c>
      <c r="J663" s="80" t="s">
        <v>3286</v>
      </c>
      <c r="K663" t="s">
        <v>767</v>
      </c>
      <c r="L663">
        <v>9001</v>
      </c>
      <c r="M663">
        <v>3</v>
      </c>
      <c r="O663">
        <v>0.8</v>
      </c>
      <c r="P663" s="80" t="s">
        <v>3287</v>
      </c>
      <c r="Q663" t="s">
        <v>769</v>
      </c>
      <c r="R663">
        <v>9004</v>
      </c>
      <c r="S663">
        <v>5</v>
      </c>
      <c r="U663">
        <v>0.1</v>
      </c>
      <c r="V663">
        <v>70001</v>
      </c>
      <c r="W663">
        <v>3</v>
      </c>
      <c r="X663">
        <v>1</v>
      </c>
      <c r="Y663">
        <v>70002</v>
      </c>
      <c r="Z663">
        <v>3</v>
      </c>
      <c r="AA663">
        <v>1</v>
      </c>
      <c r="AB663">
        <v>1001</v>
      </c>
      <c r="AC663">
        <v>100</v>
      </c>
      <c r="AD663">
        <v>1</v>
      </c>
      <c r="AE663">
        <v>8000</v>
      </c>
      <c r="AF663">
        <v>12200</v>
      </c>
      <c r="AG663">
        <v>1</v>
      </c>
    </row>
    <row r="664" spans="1:33" ht="38.25" customHeight="1">
      <c r="A664">
        <v>1558</v>
      </c>
      <c r="B664" t="s">
        <v>1959</v>
      </c>
      <c r="C664">
        <v>15</v>
      </c>
      <c r="D664" t="s">
        <v>3301</v>
      </c>
      <c r="E664">
        <v>150</v>
      </c>
      <c r="G664" s="90" t="s">
        <v>3302</v>
      </c>
      <c r="I664">
        <v>70970</v>
      </c>
      <c r="J664" s="80" t="s">
        <v>3286</v>
      </c>
      <c r="K664" t="s">
        <v>767</v>
      </c>
      <c r="L664">
        <v>9001</v>
      </c>
      <c r="M664">
        <v>13</v>
      </c>
      <c r="O664">
        <v>0.8</v>
      </c>
      <c r="P664" s="80" t="s">
        <v>3287</v>
      </c>
      <c r="Q664" t="s">
        <v>769</v>
      </c>
      <c r="R664">
        <v>9011</v>
      </c>
      <c r="S664" t="s">
        <v>2468</v>
      </c>
      <c r="U664">
        <v>0.9</v>
      </c>
      <c r="V664">
        <v>70001</v>
      </c>
      <c r="W664">
        <v>3</v>
      </c>
      <c r="X664">
        <v>1</v>
      </c>
      <c r="Y664">
        <v>70002</v>
      </c>
      <c r="Z664">
        <v>3</v>
      </c>
      <c r="AA664">
        <v>1</v>
      </c>
      <c r="AB664">
        <v>1001</v>
      </c>
      <c r="AC664">
        <v>100</v>
      </c>
      <c r="AD664">
        <v>1</v>
      </c>
      <c r="AE664">
        <v>8000</v>
      </c>
      <c r="AF664">
        <v>12250</v>
      </c>
      <c r="AG664">
        <v>1</v>
      </c>
    </row>
    <row r="665" spans="1:33" ht="38.25" customHeight="1">
      <c r="A665">
        <v>1559</v>
      </c>
      <c r="B665" t="s">
        <v>1959</v>
      </c>
      <c r="C665">
        <v>15</v>
      </c>
      <c r="D665" t="s">
        <v>3303</v>
      </c>
      <c r="E665">
        <v>150</v>
      </c>
      <c r="G665" s="90" t="s">
        <v>3304</v>
      </c>
      <c r="I665">
        <v>71095</v>
      </c>
      <c r="J665" s="80" t="s">
        <v>3286</v>
      </c>
      <c r="K665" t="s">
        <v>767</v>
      </c>
      <c r="L665">
        <v>9001</v>
      </c>
      <c r="M665" t="s">
        <v>1652</v>
      </c>
      <c r="O665">
        <v>0.1</v>
      </c>
      <c r="P665" s="80" t="s">
        <v>3287</v>
      </c>
      <c r="Q665" t="s">
        <v>769</v>
      </c>
      <c r="R665">
        <v>9010</v>
      </c>
      <c r="S665" t="s">
        <v>1968</v>
      </c>
      <c r="U665">
        <v>0.2</v>
      </c>
      <c r="V665">
        <v>70001</v>
      </c>
      <c r="W665">
        <v>3</v>
      </c>
      <c r="X665">
        <v>1</v>
      </c>
      <c r="Y665">
        <v>70002</v>
      </c>
      <c r="Z665">
        <v>3</v>
      </c>
      <c r="AA665">
        <v>1</v>
      </c>
      <c r="AB665">
        <v>1001</v>
      </c>
      <c r="AC665">
        <v>100</v>
      </c>
      <c r="AD665">
        <v>1</v>
      </c>
      <c r="AE665">
        <v>8000</v>
      </c>
      <c r="AF665">
        <v>12250</v>
      </c>
      <c r="AG665">
        <v>1</v>
      </c>
    </row>
    <row r="666" spans="1:33" ht="38.25" customHeight="1">
      <c r="A666">
        <v>1560</v>
      </c>
      <c r="B666" t="s">
        <v>1959</v>
      </c>
      <c r="C666">
        <v>15</v>
      </c>
      <c r="D666" t="s">
        <v>3305</v>
      </c>
      <c r="E666">
        <v>150</v>
      </c>
      <c r="G666" s="90" t="s">
        <v>3306</v>
      </c>
      <c r="I666">
        <v>71220</v>
      </c>
      <c r="J666" s="80" t="s">
        <v>3286</v>
      </c>
      <c r="K666" t="s">
        <v>767</v>
      </c>
      <c r="L666">
        <v>9007</v>
      </c>
      <c r="M666" t="s">
        <v>3307</v>
      </c>
      <c r="O666">
        <v>0.7</v>
      </c>
      <c r="P666" s="80" t="s">
        <v>3287</v>
      </c>
      <c r="Q666" t="s">
        <v>769</v>
      </c>
      <c r="R666">
        <v>9008</v>
      </c>
      <c r="S666">
        <v>8</v>
      </c>
      <c r="U666">
        <v>0.9</v>
      </c>
      <c r="V666">
        <v>70001</v>
      </c>
      <c r="W666">
        <v>3</v>
      </c>
      <c r="X666">
        <v>1</v>
      </c>
      <c r="Y666">
        <v>70002</v>
      </c>
      <c r="Z666">
        <v>3</v>
      </c>
      <c r="AA666">
        <v>1</v>
      </c>
      <c r="AB666">
        <v>1001</v>
      </c>
      <c r="AC666">
        <v>100</v>
      </c>
      <c r="AD666">
        <v>1</v>
      </c>
      <c r="AE666">
        <v>8000</v>
      </c>
      <c r="AF666">
        <v>12300</v>
      </c>
      <c r="AG666">
        <v>1</v>
      </c>
    </row>
    <row r="667" spans="1:33" ht="38.25" customHeight="1">
      <c r="A667">
        <v>1561</v>
      </c>
      <c r="B667" t="s">
        <v>1959</v>
      </c>
      <c r="C667">
        <v>15</v>
      </c>
      <c r="D667" t="s">
        <v>3308</v>
      </c>
      <c r="E667">
        <v>150</v>
      </c>
      <c r="G667" s="90" t="s">
        <v>3309</v>
      </c>
      <c r="I667">
        <v>71345</v>
      </c>
      <c r="J667" s="80" t="s">
        <v>3286</v>
      </c>
      <c r="K667" t="s">
        <v>767</v>
      </c>
      <c r="L667">
        <v>9005</v>
      </c>
      <c r="M667" t="s">
        <v>2155</v>
      </c>
      <c r="O667">
        <v>0.2</v>
      </c>
      <c r="P667" s="80" t="s">
        <v>3287</v>
      </c>
      <c r="Q667" t="s">
        <v>769</v>
      </c>
      <c r="R667">
        <v>9011</v>
      </c>
      <c r="S667" t="s">
        <v>2163</v>
      </c>
      <c r="U667">
        <v>0.6</v>
      </c>
      <c r="V667">
        <v>70001</v>
      </c>
      <c r="W667">
        <v>3</v>
      </c>
      <c r="X667">
        <v>1</v>
      </c>
      <c r="Y667">
        <v>70002</v>
      </c>
      <c r="Z667">
        <v>3</v>
      </c>
      <c r="AA667">
        <v>1</v>
      </c>
      <c r="AB667">
        <v>1001</v>
      </c>
      <c r="AC667">
        <v>100</v>
      </c>
      <c r="AD667">
        <v>1</v>
      </c>
      <c r="AE667">
        <v>8000</v>
      </c>
      <c r="AF667">
        <v>12300</v>
      </c>
      <c r="AG667">
        <v>1</v>
      </c>
    </row>
    <row r="668" spans="1:33" ht="38.25" customHeight="1">
      <c r="A668">
        <v>1562</v>
      </c>
      <c r="B668" t="s">
        <v>1959</v>
      </c>
      <c r="C668">
        <v>15</v>
      </c>
      <c r="D668" t="s">
        <v>3310</v>
      </c>
      <c r="E668">
        <v>150</v>
      </c>
      <c r="G668" s="90" t="s">
        <v>3311</v>
      </c>
      <c r="I668">
        <v>71470</v>
      </c>
      <c r="J668" s="80" t="s">
        <v>3286</v>
      </c>
      <c r="K668" t="s">
        <v>767</v>
      </c>
      <c r="L668">
        <v>9011</v>
      </c>
      <c r="M668" t="s">
        <v>2668</v>
      </c>
      <c r="O668">
        <v>0.6</v>
      </c>
      <c r="P668" s="80" t="s">
        <v>3287</v>
      </c>
      <c r="Q668" t="s">
        <v>769</v>
      </c>
      <c r="R668">
        <v>9012</v>
      </c>
      <c r="S668" t="s">
        <v>2476</v>
      </c>
      <c r="U668">
        <v>0.4</v>
      </c>
      <c r="V668">
        <v>70001</v>
      </c>
      <c r="W668">
        <v>3</v>
      </c>
      <c r="X668">
        <v>1</v>
      </c>
      <c r="Y668">
        <v>70002</v>
      </c>
      <c r="Z668">
        <v>3</v>
      </c>
      <c r="AA668">
        <v>1</v>
      </c>
      <c r="AB668">
        <v>1001</v>
      </c>
      <c r="AC668">
        <v>100</v>
      </c>
      <c r="AD668">
        <v>1</v>
      </c>
      <c r="AE668">
        <v>8000</v>
      </c>
      <c r="AF668">
        <v>12350</v>
      </c>
      <c r="AG668">
        <v>1</v>
      </c>
    </row>
    <row r="669" spans="1:33" ht="38.25" customHeight="1">
      <c r="A669">
        <v>1563</v>
      </c>
      <c r="B669" t="s">
        <v>1959</v>
      </c>
      <c r="C669">
        <v>15</v>
      </c>
      <c r="D669" t="s">
        <v>3312</v>
      </c>
      <c r="E669">
        <v>150</v>
      </c>
      <c r="G669" s="90" t="s">
        <v>3313</v>
      </c>
      <c r="I669">
        <v>71595</v>
      </c>
      <c r="J669" s="80" t="s">
        <v>3286</v>
      </c>
      <c r="K669" t="s">
        <v>767</v>
      </c>
      <c r="L669">
        <v>9007</v>
      </c>
      <c r="M669" t="s">
        <v>3130</v>
      </c>
      <c r="O669">
        <v>0.1</v>
      </c>
      <c r="P669" s="80" t="s">
        <v>3287</v>
      </c>
      <c r="Q669" t="s">
        <v>769</v>
      </c>
      <c r="R669">
        <v>9011</v>
      </c>
      <c r="S669">
        <v>12</v>
      </c>
      <c r="U669">
        <v>0.2</v>
      </c>
      <c r="V669">
        <v>70001</v>
      </c>
      <c r="W669">
        <v>3</v>
      </c>
      <c r="X669">
        <v>1</v>
      </c>
      <c r="Y669">
        <v>70002</v>
      </c>
      <c r="Z669">
        <v>3</v>
      </c>
      <c r="AA669">
        <v>1</v>
      </c>
      <c r="AB669">
        <v>1001</v>
      </c>
      <c r="AC669">
        <v>100</v>
      </c>
      <c r="AD669">
        <v>1</v>
      </c>
      <c r="AE669">
        <v>8000</v>
      </c>
      <c r="AF669">
        <v>12350</v>
      </c>
      <c r="AG669">
        <v>1</v>
      </c>
    </row>
    <row r="670" spans="1:33" ht="38.25" customHeight="1">
      <c r="A670">
        <v>1564</v>
      </c>
      <c r="B670" t="s">
        <v>1959</v>
      </c>
      <c r="C670">
        <v>15</v>
      </c>
      <c r="D670" t="s">
        <v>3314</v>
      </c>
      <c r="E670">
        <v>150</v>
      </c>
      <c r="G670" s="90" t="s">
        <v>3315</v>
      </c>
      <c r="I670">
        <v>71720</v>
      </c>
      <c r="J670" s="80" t="s">
        <v>3286</v>
      </c>
      <c r="K670" t="s">
        <v>767</v>
      </c>
      <c r="L670">
        <v>9001</v>
      </c>
      <c r="M670" t="s">
        <v>2279</v>
      </c>
      <c r="O670">
        <v>0.6</v>
      </c>
      <c r="P670" s="80" t="s">
        <v>3287</v>
      </c>
      <c r="Q670" t="s">
        <v>769</v>
      </c>
      <c r="R670">
        <v>9004</v>
      </c>
      <c r="S670" t="s">
        <v>3051</v>
      </c>
      <c r="U670">
        <v>0.6</v>
      </c>
      <c r="V670">
        <v>70001</v>
      </c>
      <c r="W670">
        <v>3</v>
      </c>
      <c r="X670">
        <v>1</v>
      </c>
      <c r="Y670">
        <v>70002</v>
      </c>
      <c r="Z670">
        <v>3</v>
      </c>
      <c r="AA670">
        <v>1</v>
      </c>
      <c r="AB670">
        <v>1001</v>
      </c>
      <c r="AC670">
        <v>100</v>
      </c>
      <c r="AD670">
        <v>1</v>
      </c>
      <c r="AE670">
        <v>8000</v>
      </c>
      <c r="AF670">
        <v>12400</v>
      </c>
      <c r="AG670">
        <v>1</v>
      </c>
    </row>
    <row r="671" spans="1:33" ht="38.25" customHeight="1">
      <c r="A671">
        <v>1565</v>
      </c>
      <c r="B671" t="s">
        <v>1959</v>
      </c>
      <c r="C671">
        <v>15</v>
      </c>
      <c r="D671" t="s">
        <v>3316</v>
      </c>
      <c r="E671">
        <v>150</v>
      </c>
      <c r="G671" s="90" t="s">
        <v>3317</v>
      </c>
      <c r="I671">
        <v>71845</v>
      </c>
      <c r="J671" s="80" t="s">
        <v>3286</v>
      </c>
      <c r="K671" t="s">
        <v>767</v>
      </c>
      <c r="L671">
        <v>9007</v>
      </c>
      <c r="M671" t="s">
        <v>2542</v>
      </c>
      <c r="O671">
        <v>0.8</v>
      </c>
      <c r="P671" s="80" t="s">
        <v>3287</v>
      </c>
      <c r="Q671" t="s">
        <v>769</v>
      </c>
      <c r="R671">
        <v>9010</v>
      </c>
      <c r="S671">
        <v>11</v>
      </c>
      <c r="U671">
        <v>0.2</v>
      </c>
      <c r="V671">
        <v>70001</v>
      </c>
      <c r="W671">
        <v>3</v>
      </c>
      <c r="X671">
        <v>1</v>
      </c>
      <c r="Y671">
        <v>70002</v>
      </c>
      <c r="Z671">
        <v>3</v>
      </c>
      <c r="AA671">
        <v>1</v>
      </c>
      <c r="AB671">
        <v>1001</v>
      </c>
      <c r="AC671">
        <v>100</v>
      </c>
      <c r="AD671">
        <v>1</v>
      </c>
      <c r="AE671">
        <v>8000</v>
      </c>
      <c r="AF671">
        <v>12450</v>
      </c>
      <c r="AG671">
        <v>1</v>
      </c>
    </row>
    <row r="672" spans="1:33" ht="38.25" customHeight="1">
      <c r="A672">
        <v>1566</v>
      </c>
      <c r="B672" t="s">
        <v>1959</v>
      </c>
      <c r="C672">
        <v>15</v>
      </c>
      <c r="D672" t="s">
        <v>3318</v>
      </c>
      <c r="E672">
        <v>150</v>
      </c>
      <c r="G672" s="90" t="s">
        <v>3319</v>
      </c>
      <c r="I672">
        <v>71970</v>
      </c>
      <c r="J672" s="80" t="s">
        <v>3286</v>
      </c>
      <c r="K672" t="s">
        <v>767</v>
      </c>
      <c r="L672">
        <v>9008</v>
      </c>
      <c r="M672">
        <v>12</v>
      </c>
      <c r="O672">
        <v>0.5</v>
      </c>
      <c r="P672" s="80" t="s">
        <v>3287</v>
      </c>
      <c r="Q672" t="s">
        <v>769</v>
      </c>
      <c r="R672">
        <v>9007</v>
      </c>
      <c r="S672" t="s">
        <v>1819</v>
      </c>
      <c r="U672">
        <v>0.3</v>
      </c>
      <c r="V672">
        <v>70001</v>
      </c>
      <c r="W672">
        <v>3</v>
      </c>
      <c r="X672">
        <v>1</v>
      </c>
      <c r="Y672">
        <v>70002</v>
      </c>
      <c r="Z672">
        <v>3</v>
      </c>
      <c r="AA672">
        <v>1</v>
      </c>
      <c r="AB672">
        <v>1001</v>
      </c>
      <c r="AC672">
        <v>100</v>
      </c>
      <c r="AD672">
        <v>1</v>
      </c>
      <c r="AE672">
        <v>8000</v>
      </c>
      <c r="AF672">
        <v>12450</v>
      </c>
      <c r="AG672">
        <v>1</v>
      </c>
    </row>
    <row r="673" spans="1:33" ht="38.25" customHeight="1">
      <c r="A673">
        <v>1567</v>
      </c>
      <c r="B673" t="s">
        <v>1959</v>
      </c>
      <c r="C673">
        <v>15</v>
      </c>
      <c r="D673" t="s">
        <v>3320</v>
      </c>
      <c r="E673">
        <v>150</v>
      </c>
      <c r="G673" s="90" t="s">
        <v>3321</v>
      </c>
      <c r="I673">
        <v>72095</v>
      </c>
      <c r="J673" s="80" t="s">
        <v>3286</v>
      </c>
      <c r="K673" t="s">
        <v>767</v>
      </c>
      <c r="L673">
        <v>9007</v>
      </c>
      <c r="M673" t="s">
        <v>2354</v>
      </c>
      <c r="O673">
        <v>0.4</v>
      </c>
      <c r="P673" s="80" t="s">
        <v>3287</v>
      </c>
      <c r="Q673" t="s">
        <v>769</v>
      </c>
      <c r="R673">
        <v>9010</v>
      </c>
      <c r="S673" t="s">
        <v>2182</v>
      </c>
      <c r="U673">
        <v>0.8</v>
      </c>
      <c r="V673">
        <v>70001</v>
      </c>
      <c r="W673">
        <v>3</v>
      </c>
      <c r="X673">
        <v>1</v>
      </c>
      <c r="Y673">
        <v>70002</v>
      </c>
      <c r="Z673">
        <v>3</v>
      </c>
      <c r="AA673">
        <v>1</v>
      </c>
      <c r="AB673">
        <v>1001</v>
      </c>
      <c r="AC673">
        <v>100</v>
      </c>
      <c r="AD673">
        <v>1</v>
      </c>
      <c r="AE673">
        <v>8000</v>
      </c>
      <c r="AF673">
        <v>12500</v>
      </c>
      <c r="AG673">
        <v>1</v>
      </c>
    </row>
    <row r="674" spans="1:33" ht="38.25" customHeight="1">
      <c r="A674">
        <v>1568</v>
      </c>
      <c r="B674" t="s">
        <v>1959</v>
      </c>
      <c r="C674">
        <v>15</v>
      </c>
      <c r="D674" t="s">
        <v>3322</v>
      </c>
      <c r="E674">
        <v>150</v>
      </c>
      <c r="G674" s="90" t="s">
        <v>3323</v>
      </c>
      <c r="I674">
        <v>72220</v>
      </c>
      <c r="J674" s="80" t="s">
        <v>3286</v>
      </c>
      <c r="K674" t="s">
        <v>767</v>
      </c>
      <c r="L674">
        <v>9002</v>
      </c>
      <c r="M674" t="s">
        <v>1677</v>
      </c>
      <c r="O674">
        <v>0.2</v>
      </c>
      <c r="P674" s="80" t="s">
        <v>3287</v>
      </c>
      <c r="Q674" t="s">
        <v>769</v>
      </c>
      <c r="R674">
        <v>9010</v>
      </c>
      <c r="S674" t="s">
        <v>1652</v>
      </c>
      <c r="U674">
        <v>0.6</v>
      </c>
      <c r="V674">
        <v>70001</v>
      </c>
      <c r="W674">
        <v>3</v>
      </c>
      <c r="X674">
        <v>1</v>
      </c>
      <c r="Y674">
        <v>70002</v>
      </c>
      <c r="Z674">
        <v>3</v>
      </c>
      <c r="AA674">
        <v>1</v>
      </c>
      <c r="AB674">
        <v>1001</v>
      </c>
      <c r="AC674">
        <v>100</v>
      </c>
      <c r="AD674">
        <v>1</v>
      </c>
      <c r="AE674">
        <v>8000</v>
      </c>
      <c r="AF674">
        <v>12500</v>
      </c>
      <c r="AG674">
        <v>1</v>
      </c>
    </row>
    <row r="675" spans="1:33" ht="38.25" customHeight="1">
      <c r="A675">
        <v>1569</v>
      </c>
      <c r="B675" t="s">
        <v>1959</v>
      </c>
      <c r="C675">
        <v>15</v>
      </c>
      <c r="D675" t="s">
        <v>3324</v>
      </c>
      <c r="E675">
        <v>150</v>
      </c>
      <c r="G675" s="90" t="s">
        <v>3325</v>
      </c>
      <c r="I675">
        <v>72345</v>
      </c>
      <c r="J675" s="80" t="s">
        <v>3286</v>
      </c>
      <c r="K675" t="s">
        <v>767</v>
      </c>
      <c r="L675">
        <v>9001</v>
      </c>
      <c r="M675" t="s">
        <v>1972</v>
      </c>
      <c r="O675">
        <v>0.8</v>
      </c>
      <c r="P675" s="80" t="s">
        <v>3287</v>
      </c>
      <c r="Q675" t="s">
        <v>769</v>
      </c>
      <c r="R675">
        <v>9007</v>
      </c>
      <c r="S675">
        <v>1</v>
      </c>
      <c r="U675">
        <v>0.9</v>
      </c>
      <c r="V675">
        <v>70001</v>
      </c>
      <c r="W675">
        <v>3</v>
      </c>
      <c r="X675">
        <v>1</v>
      </c>
      <c r="Y675">
        <v>70002</v>
      </c>
      <c r="Z675">
        <v>3</v>
      </c>
      <c r="AA675">
        <v>1</v>
      </c>
      <c r="AB675">
        <v>1001</v>
      </c>
      <c r="AC675">
        <v>500</v>
      </c>
      <c r="AD675">
        <v>1</v>
      </c>
      <c r="AE675">
        <v>8000</v>
      </c>
      <c r="AF675">
        <v>12550</v>
      </c>
      <c r="AG675">
        <v>1</v>
      </c>
    </row>
    <row r="676" spans="1:33" ht="38.25" customHeight="1">
      <c r="A676">
        <v>1570</v>
      </c>
      <c r="B676" t="s">
        <v>1959</v>
      </c>
      <c r="C676">
        <v>15</v>
      </c>
      <c r="D676" t="s">
        <v>3326</v>
      </c>
      <c r="E676">
        <v>150</v>
      </c>
      <c r="G676" s="90" t="s">
        <v>3327</v>
      </c>
      <c r="I676">
        <v>72470</v>
      </c>
      <c r="J676" s="80" t="s">
        <v>3286</v>
      </c>
      <c r="K676" t="s">
        <v>767</v>
      </c>
      <c r="L676">
        <v>9008</v>
      </c>
      <c r="M676">
        <v>5</v>
      </c>
      <c r="O676">
        <v>0.7</v>
      </c>
      <c r="P676" s="80" t="s">
        <v>3287</v>
      </c>
      <c r="Q676" t="s">
        <v>769</v>
      </c>
      <c r="R676">
        <v>9004</v>
      </c>
      <c r="S676">
        <v>6</v>
      </c>
      <c r="U676">
        <v>0.4</v>
      </c>
      <c r="V676">
        <v>70001</v>
      </c>
      <c r="W676">
        <v>3</v>
      </c>
      <c r="X676">
        <v>1</v>
      </c>
      <c r="Y676">
        <v>70002</v>
      </c>
      <c r="Z676">
        <v>3</v>
      </c>
      <c r="AA676">
        <v>1</v>
      </c>
      <c r="AB676">
        <v>1001</v>
      </c>
      <c r="AC676">
        <v>100</v>
      </c>
      <c r="AD676">
        <v>1</v>
      </c>
      <c r="AE676">
        <v>8000</v>
      </c>
      <c r="AF676">
        <v>12600</v>
      </c>
      <c r="AG676">
        <v>1</v>
      </c>
    </row>
    <row r="677" spans="1:33" ht="38.25" customHeight="1">
      <c r="A677">
        <v>1571</v>
      </c>
      <c r="B677" t="s">
        <v>1959</v>
      </c>
      <c r="C677">
        <v>15</v>
      </c>
      <c r="D677" t="s">
        <v>3328</v>
      </c>
      <c r="E677">
        <v>150</v>
      </c>
      <c r="G677" s="90" t="s">
        <v>3329</v>
      </c>
      <c r="I677">
        <v>72595</v>
      </c>
      <c r="J677" s="80" t="s">
        <v>3286</v>
      </c>
      <c r="K677" t="s">
        <v>767</v>
      </c>
      <c r="L677">
        <v>9012</v>
      </c>
      <c r="M677" t="s">
        <v>1712</v>
      </c>
      <c r="O677">
        <v>0.5</v>
      </c>
      <c r="P677" s="80" t="s">
        <v>3287</v>
      </c>
      <c r="Q677" t="s">
        <v>769</v>
      </c>
      <c r="R677">
        <v>9010</v>
      </c>
      <c r="S677" t="s">
        <v>3330</v>
      </c>
      <c r="U677">
        <v>0.6</v>
      </c>
      <c r="V677">
        <v>70001</v>
      </c>
      <c r="W677">
        <v>3</v>
      </c>
      <c r="X677">
        <v>1</v>
      </c>
      <c r="Y677">
        <v>70002</v>
      </c>
      <c r="Z677">
        <v>3</v>
      </c>
      <c r="AA677">
        <v>1</v>
      </c>
      <c r="AB677">
        <v>1001</v>
      </c>
      <c r="AC677">
        <v>100</v>
      </c>
      <c r="AD677">
        <v>1</v>
      </c>
      <c r="AE677">
        <v>8000</v>
      </c>
      <c r="AF677">
        <v>12600</v>
      </c>
      <c r="AG677">
        <v>1</v>
      </c>
    </row>
    <row r="678" spans="1:33" ht="38.25" customHeight="1">
      <c r="A678">
        <v>1572</v>
      </c>
      <c r="B678" t="s">
        <v>1959</v>
      </c>
      <c r="C678">
        <v>15</v>
      </c>
      <c r="D678" t="s">
        <v>3331</v>
      </c>
      <c r="E678">
        <v>150</v>
      </c>
      <c r="G678" s="90" t="s">
        <v>3332</v>
      </c>
      <c r="I678">
        <v>72720</v>
      </c>
      <c r="J678" s="80" t="s">
        <v>3286</v>
      </c>
      <c r="K678" t="s">
        <v>767</v>
      </c>
      <c r="L678">
        <v>9007</v>
      </c>
      <c r="M678">
        <v>6</v>
      </c>
      <c r="O678">
        <v>0.6</v>
      </c>
      <c r="P678" s="80" t="s">
        <v>3287</v>
      </c>
      <c r="Q678" t="s">
        <v>769</v>
      </c>
      <c r="R678">
        <v>9011</v>
      </c>
      <c r="S678" t="s">
        <v>2149</v>
      </c>
      <c r="U678">
        <v>0.1</v>
      </c>
      <c r="V678">
        <v>70001</v>
      </c>
      <c r="W678">
        <v>3</v>
      </c>
      <c r="X678">
        <v>1</v>
      </c>
      <c r="Y678">
        <v>70002</v>
      </c>
      <c r="Z678">
        <v>3</v>
      </c>
      <c r="AA678">
        <v>1</v>
      </c>
      <c r="AB678">
        <v>1001</v>
      </c>
      <c r="AC678">
        <v>100</v>
      </c>
      <c r="AD678">
        <v>1</v>
      </c>
      <c r="AE678">
        <v>8000</v>
      </c>
      <c r="AF678">
        <v>12650</v>
      </c>
      <c r="AG678">
        <v>1</v>
      </c>
    </row>
    <row r="679" spans="1:33" ht="38.25" customHeight="1">
      <c r="A679">
        <v>1573</v>
      </c>
      <c r="B679" t="s">
        <v>1959</v>
      </c>
      <c r="C679">
        <v>15</v>
      </c>
      <c r="D679" t="s">
        <v>3333</v>
      </c>
      <c r="E679">
        <v>150</v>
      </c>
      <c r="G679" s="90" t="s">
        <v>3334</v>
      </c>
      <c r="I679">
        <v>72845</v>
      </c>
      <c r="J679" s="80" t="s">
        <v>3286</v>
      </c>
      <c r="K679" t="s">
        <v>767</v>
      </c>
      <c r="L679">
        <v>9007</v>
      </c>
      <c r="M679">
        <v>2</v>
      </c>
      <c r="O679">
        <v>0.4</v>
      </c>
      <c r="P679" s="80" t="s">
        <v>3287</v>
      </c>
      <c r="Q679" t="s">
        <v>769</v>
      </c>
      <c r="R679">
        <v>9010</v>
      </c>
      <c r="S679" t="s">
        <v>2353</v>
      </c>
      <c r="U679">
        <v>0.5</v>
      </c>
      <c r="V679">
        <v>70001</v>
      </c>
      <c r="W679">
        <v>3</v>
      </c>
      <c r="X679">
        <v>1</v>
      </c>
      <c r="Y679">
        <v>70002</v>
      </c>
      <c r="Z679">
        <v>3</v>
      </c>
      <c r="AA679">
        <v>1</v>
      </c>
      <c r="AB679">
        <v>1001</v>
      </c>
      <c r="AC679">
        <v>100</v>
      </c>
      <c r="AD679">
        <v>1</v>
      </c>
      <c r="AE679">
        <v>8000</v>
      </c>
      <c r="AF679">
        <v>12650</v>
      </c>
      <c r="AG679">
        <v>1</v>
      </c>
    </row>
    <row r="680" spans="1:33" ht="38.25" customHeight="1">
      <c r="A680">
        <v>1574</v>
      </c>
      <c r="B680" t="s">
        <v>1959</v>
      </c>
      <c r="C680">
        <v>15</v>
      </c>
      <c r="D680" t="s">
        <v>3335</v>
      </c>
      <c r="E680">
        <v>150</v>
      </c>
      <c r="G680" s="90" t="s">
        <v>3336</v>
      </c>
      <c r="I680">
        <v>72970</v>
      </c>
      <c r="J680" s="80" t="s">
        <v>3286</v>
      </c>
      <c r="K680" t="s">
        <v>767</v>
      </c>
      <c r="L680">
        <v>9011</v>
      </c>
      <c r="M680" t="s">
        <v>1762</v>
      </c>
      <c r="O680">
        <v>0.5</v>
      </c>
      <c r="P680" s="80" t="s">
        <v>3287</v>
      </c>
      <c r="Q680" t="s">
        <v>769</v>
      </c>
      <c r="R680">
        <v>9011</v>
      </c>
      <c r="S680">
        <v>5</v>
      </c>
      <c r="U680">
        <v>0.8</v>
      </c>
      <c r="V680">
        <v>70001</v>
      </c>
      <c r="W680">
        <v>3</v>
      </c>
      <c r="X680">
        <v>1</v>
      </c>
      <c r="Y680">
        <v>70002</v>
      </c>
      <c r="Z680">
        <v>3</v>
      </c>
      <c r="AA680">
        <v>1</v>
      </c>
      <c r="AB680">
        <v>1001</v>
      </c>
      <c r="AC680">
        <v>100</v>
      </c>
      <c r="AD680">
        <v>1</v>
      </c>
      <c r="AE680">
        <v>8000</v>
      </c>
      <c r="AF680">
        <v>12700</v>
      </c>
      <c r="AG680">
        <v>1</v>
      </c>
    </row>
    <row r="681" spans="1:33" ht="38.25" customHeight="1">
      <c r="A681">
        <v>1575</v>
      </c>
      <c r="B681" t="s">
        <v>1959</v>
      </c>
      <c r="C681">
        <v>15</v>
      </c>
      <c r="D681" t="s">
        <v>3337</v>
      </c>
      <c r="E681">
        <v>150</v>
      </c>
      <c r="G681" s="90" t="s">
        <v>3338</v>
      </c>
      <c r="I681">
        <v>73095</v>
      </c>
      <c r="J681" s="80" t="s">
        <v>3286</v>
      </c>
      <c r="K681" t="s">
        <v>767</v>
      </c>
      <c r="L681">
        <v>9006</v>
      </c>
      <c r="M681">
        <v>2</v>
      </c>
      <c r="O681">
        <v>0.4</v>
      </c>
      <c r="P681" s="80" t="s">
        <v>3287</v>
      </c>
      <c r="Q681" t="s">
        <v>769</v>
      </c>
      <c r="R681">
        <v>9012</v>
      </c>
      <c r="S681">
        <v>6</v>
      </c>
      <c r="U681">
        <v>0.4</v>
      </c>
      <c r="V681">
        <v>70001</v>
      </c>
      <c r="W681">
        <v>3</v>
      </c>
      <c r="X681">
        <v>1</v>
      </c>
      <c r="Y681">
        <v>70002</v>
      </c>
      <c r="Z681">
        <v>3</v>
      </c>
      <c r="AA681">
        <v>1</v>
      </c>
      <c r="AB681">
        <v>1001</v>
      </c>
      <c r="AC681">
        <v>100</v>
      </c>
      <c r="AD681">
        <v>1</v>
      </c>
      <c r="AE681">
        <v>8000</v>
      </c>
      <c r="AF681">
        <v>12700</v>
      </c>
      <c r="AG681">
        <v>1</v>
      </c>
    </row>
    <row r="682" spans="1:33" ht="38.25" customHeight="1">
      <c r="A682">
        <v>1576</v>
      </c>
      <c r="B682" t="s">
        <v>1959</v>
      </c>
      <c r="C682">
        <v>15</v>
      </c>
      <c r="D682" t="s">
        <v>3339</v>
      </c>
      <c r="E682">
        <v>150</v>
      </c>
      <c r="G682" s="90" t="s">
        <v>3340</v>
      </c>
      <c r="I682">
        <v>73220</v>
      </c>
      <c r="J682" s="80" t="s">
        <v>3286</v>
      </c>
      <c r="K682" t="s">
        <v>767</v>
      </c>
      <c r="L682">
        <v>9008</v>
      </c>
      <c r="M682">
        <v>11</v>
      </c>
      <c r="O682">
        <v>0.7</v>
      </c>
      <c r="P682" s="80" t="s">
        <v>3287</v>
      </c>
      <c r="Q682" t="s">
        <v>769</v>
      </c>
      <c r="R682">
        <v>9004</v>
      </c>
      <c r="S682" t="s">
        <v>2279</v>
      </c>
      <c r="U682">
        <v>0.6</v>
      </c>
      <c r="V682">
        <v>70001</v>
      </c>
      <c r="W682">
        <v>3</v>
      </c>
      <c r="X682">
        <v>1</v>
      </c>
      <c r="Y682">
        <v>70002</v>
      </c>
      <c r="Z682">
        <v>3</v>
      </c>
      <c r="AA682">
        <v>1</v>
      </c>
      <c r="AB682">
        <v>1001</v>
      </c>
      <c r="AC682">
        <v>100</v>
      </c>
      <c r="AD682">
        <v>1</v>
      </c>
      <c r="AE682">
        <v>8000</v>
      </c>
      <c r="AF682">
        <v>12750</v>
      </c>
      <c r="AG682">
        <v>1</v>
      </c>
    </row>
    <row r="683" spans="1:33" ht="38.25" customHeight="1">
      <c r="A683">
        <v>1577</v>
      </c>
      <c r="B683" t="s">
        <v>1959</v>
      </c>
      <c r="C683">
        <v>15</v>
      </c>
      <c r="D683" t="s">
        <v>3341</v>
      </c>
      <c r="E683">
        <v>150</v>
      </c>
      <c r="G683" s="90" t="s">
        <v>3342</v>
      </c>
      <c r="I683">
        <v>73345</v>
      </c>
      <c r="J683" s="80" t="s">
        <v>3286</v>
      </c>
      <c r="K683" t="s">
        <v>767</v>
      </c>
      <c r="L683">
        <v>9007</v>
      </c>
      <c r="M683" t="s">
        <v>1981</v>
      </c>
      <c r="O683">
        <v>0.2</v>
      </c>
      <c r="P683" s="80" t="s">
        <v>3287</v>
      </c>
      <c r="Q683" t="s">
        <v>769</v>
      </c>
      <c r="R683">
        <v>9008</v>
      </c>
      <c r="S683" t="s">
        <v>1820</v>
      </c>
      <c r="U683">
        <v>0.8</v>
      </c>
      <c r="V683">
        <v>70001</v>
      </c>
      <c r="W683">
        <v>3</v>
      </c>
      <c r="X683">
        <v>1</v>
      </c>
      <c r="Y683">
        <v>70002</v>
      </c>
      <c r="Z683">
        <v>3</v>
      </c>
      <c r="AA683">
        <v>1</v>
      </c>
      <c r="AB683">
        <v>1001</v>
      </c>
      <c r="AC683">
        <v>100</v>
      </c>
      <c r="AD683">
        <v>1</v>
      </c>
      <c r="AE683">
        <v>8000</v>
      </c>
      <c r="AF683">
        <v>12800</v>
      </c>
      <c r="AG683">
        <v>1</v>
      </c>
    </row>
    <row r="684" spans="1:33" ht="38.25" customHeight="1">
      <c r="A684">
        <v>1578</v>
      </c>
      <c r="B684" t="s">
        <v>1959</v>
      </c>
      <c r="C684">
        <v>15</v>
      </c>
      <c r="D684" t="s">
        <v>3343</v>
      </c>
      <c r="E684">
        <v>150</v>
      </c>
      <c r="G684" s="90" t="s">
        <v>3344</v>
      </c>
      <c r="I684">
        <v>73470</v>
      </c>
      <c r="J684" s="80" t="s">
        <v>3286</v>
      </c>
      <c r="K684" t="s">
        <v>767</v>
      </c>
      <c r="L684">
        <v>9011</v>
      </c>
      <c r="M684" t="s">
        <v>1753</v>
      </c>
      <c r="O684">
        <v>0.3</v>
      </c>
      <c r="P684" s="80" t="s">
        <v>3287</v>
      </c>
      <c r="Q684" t="s">
        <v>769</v>
      </c>
      <c r="R684">
        <v>9008</v>
      </c>
      <c r="S684" t="s">
        <v>2102</v>
      </c>
      <c r="U684">
        <v>1</v>
      </c>
      <c r="V684">
        <v>70001</v>
      </c>
      <c r="W684">
        <v>3</v>
      </c>
      <c r="X684">
        <v>1</v>
      </c>
      <c r="Y684">
        <v>70002</v>
      </c>
      <c r="Z684">
        <v>3</v>
      </c>
      <c r="AA684">
        <v>1</v>
      </c>
      <c r="AB684">
        <v>1001</v>
      </c>
      <c r="AC684">
        <v>100</v>
      </c>
      <c r="AD684">
        <v>1</v>
      </c>
      <c r="AE684">
        <v>8000</v>
      </c>
      <c r="AF684">
        <v>12800</v>
      </c>
      <c r="AG684">
        <v>1</v>
      </c>
    </row>
    <row r="685" spans="1:33" ht="38.25" customHeight="1">
      <c r="A685">
        <v>1579</v>
      </c>
      <c r="B685" t="s">
        <v>1959</v>
      </c>
      <c r="C685">
        <v>15</v>
      </c>
      <c r="D685" t="s">
        <v>3345</v>
      </c>
      <c r="E685">
        <v>150</v>
      </c>
      <c r="G685" s="90" t="s">
        <v>3346</v>
      </c>
      <c r="I685">
        <v>73595</v>
      </c>
      <c r="J685" s="80" t="s">
        <v>3286</v>
      </c>
      <c r="K685" t="s">
        <v>767</v>
      </c>
      <c r="L685">
        <v>9001</v>
      </c>
      <c r="M685" t="s">
        <v>2349</v>
      </c>
      <c r="O685">
        <v>0.7</v>
      </c>
      <c r="P685" s="80" t="s">
        <v>3287</v>
      </c>
      <c r="Q685" t="s">
        <v>769</v>
      </c>
      <c r="R685">
        <v>9007</v>
      </c>
      <c r="S685">
        <v>4</v>
      </c>
      <c r="U685">
        <v>0.7</v>
      </c>
      <c r="V685">
        <v>70001</v>
      </c>
      <c r="W685">
        <v>3</v>
      </c>
      <c r="X685">
        <v>1</v>
      </c>
      <c r="Y685">
        <v>70002</v>
      </c>
      <c r="Z685">
        <v>3</v>
      </c>
      <c r="AA685">
        <v>1</v>
      </c>
      <c r="AB685">
        <v>1001</v>
      </c>
      <c r="AC685">
        <v>100</v>
      </c>
      <c r="AD685">
        <v>1</v>
      </c>
      <c r="AE685">
        <v>8000</v>
      </c>
      <c r="AF685">
        <v>12850</v>
      </c>
      <c r="AG685">
        <v>1</v>
      </c>
    </row>
    <row r="686" spans="1:33" ht="38.25" customHeight="1">
      <c r="A686">
        <v>1580</v>
      </c>
      <c r="B686" t="s">
        <v>1959</v>
      </c>
      <c r="C686">
        <v>15</v>
      </c>
      <c r="D686" t="s">
        <v>3347</v>
      </c>
      <c r="E686">
        <v>150</v>
      </c>
      <c r="G686" s="90" t="s">
        <v>3348</v>
      </c>
      <c r="I686">
        <v>73720</v>
      </c>
      <c r="J686" s="80" t="s">
        <v>3286</v>
      </c>
      <c r="K686" t="s">
        <v>767</v>
      </c>
      <c r="L686">
        <v>9001</v>
      </c>
      <c r="M686" t="s">
        <v>2050</v>
      </c>
      <c r="O686">
        <v>1</v>
      </c>
      <c r="P686" s="80" t="s">
        <v>3287</v>
      </c>
      <c r="Q686" t="s">
        <v>769</v>
      </c>
      <c r="R686">
        <v>9012</v>
      </c>
      <c r="S686">
        <v>10</v>
      </c>
      <c r="U686">
        <v>0.9</v>
      </c>
      <c r="V686">
        <v>70001</v>
      </c>
      <c r="W686">
        <v>3</v>
      </c>
      <c r="X686">
        <v>1</v>
      </c>
      <c r="Y686">
        <v>70002</v>
      </c>
      <c r="Z686">
        <v>3</v>
      </c>
      <c r="AA686">
        <v>1</v>
      </c>
      <c r="AB686">
        <v>1001</v>
      </c>
      <c r="AC686">
        <v>100</v>
      </c>
      <c r="AD686">
        <v>1</v>
      </c>
      <c r="AE686">
        <v>8000</v>
      </c>
      <c r="AF686">
        <v>12850</v>
      </c>
      <c r="AG686">
        <v>1</v>
      </c>
    </row>
    <row r="687" spans="1:33" ht="38.25" customHeight="1">
      <c r="A687">
        <v>1581</v>
      </c>
      <c r="B687" t="s">
        <v>1959</v>
      </c>
      <c r="C687">
        <v>15</v>
      </c>
      <c r="D687" t="s">
        <v>3349</v>
      </c>
      <c r="E687">
        <v>150</v>
      </c>
      <c r="G687" s="90" t="s">
        <v>3350</v>
      </c>
      <c r="I687">
        <v>73845</v>
      </c>
      <c r="J687" s="80" t="s">
        <v>3286</v>
      </c>
      <c r="K687" t="s">
        <v>767</v>
      </c>
      <c r="L687">
        <v>9001</v>
      </c>
      <c r="M687" t="s">
        <v>2134</v>
      </c>
      <c r="O687">
        <v>0.4</v>
      </c>
      <c r="P687" s="80" t="s">
        <v>3287</v>
      </c>
      <c r="Q687" t="s">
        <v>769</v>
      </c>
      <c r="R687">
        <v>9012</v>
      </c>
      <c r="S687">
        <v>4</v>
      </c>
      <c r="U687">
        <v>0.5</v>
      </c>
      <c r="V687">
        <v>70001</v>
      </c>
      <c r="W687">
        <v>3</v>
      </c>
      <c r="X687">
        <v>1</v>
      </c>
      <c r="Y687">
        <v>70002</v>
      </c>
      <c r="Z687">
        <v>3</v>
      </c>
      <c r="AA687">
        <v>1</v>
      </c>
      <c r="AB687">
        <v>1001</v>
      </c>
      <c r="AC687">
        <v>100</v>
      </c>
      <c r="AD687">
        <v>1</v>
      </c>
      <c r="AE687">
        <v>8000</v>
      </c>
      <c r="AF687">
        <v>12900</v>
      </c>
      <c r="AG687">
        <v>1</v>
      </c>
    </row>
    <row r="688" spans="1:33" ht="38.25" customHeight="1">
      <c r="A688">
        <v>1582</v>
      </c>
      <c r="B688" t="s">
        <v>1959</v>
      </c>
      <c r="C688">
        <v>15</v>
      </c>
      <c r="D688" t="s">
        <v>3351</v>
      </c>
      <c r="E688">
        <v>150</v>
      </c>
      <c r="G688" s="90" t="s">
        <v>3352</v>
      </c>
      <c r="I688">
        <v>73970</v>
      </c>
      <c r="J688" s="80" t="s">
        <v>3286</v>
      </c>
      <c r="K688" t="s">
        <v>767</v>
      </c>
      <c r="L688">
        <v>9002</v>
      </c>
      <c r="M688" t="s">
        <v>1729</v>
      </c>
      <c r="O688">
        <v>0.3</v>
      </c>
      <c r="P688" s="80" t="s">
        <v>3287</v>
      </c>
      <c r="Q688" t="s">
        <v>769</v>
      </c>
      <c r="R688">
        <v>9008</v>
      </c>
      <c r="S688" t="s">
        <v>1904</v>
      </c>
      <c r="U688">
        <v>0.5</v>
      </c>
      <c r="V688">
        <v>70001</v>
      </c>
      <c r="W688">
        <v>3</v>
      </c>
      <c r="X688">
        <v>1</v>
      </c>
      <c r="Y688">
        <v>70002</v>
      </c>
      <c r="Z688">
        <v>3</v>
      </c>
      <c r="AA688">
        <v>1</v>
      </c>
      <c r="AB688">
        <v>1001</v>
      </c>
      <c r="AC688">
        <v>100</v>
      </c>
      <c r="AD688">
        <v>1</v>
      </c>
      <c r="AE688">
        <v>8000</v>
      </c>
      <c r="AF688">
        <v>12900</v>
      </c>
      <c r="AG688">
        <v>1</v>
      </c>
    </row>
    <row r="689" spans="1:33" ht="38.25" customHeight="1">
      <c r="A689">
        <v>1583</v>
      </c>
      <c r="B689" t="s">
        <v>1959</v>
      </c>
      <c r="C689">
        <v>15</v>
      </c>
      <c r="D689" t="s">
        <v>3353</v>
      </c>
      <c r="E689">
        <v>150</v>
      </c>
      <c r="G689" s="90" t="s">
        <v>3354</v>
      </c>
      <c r="I689">
        <v>74095</v>
      </c>
      <c r="J689" s="80" t="s">
        <v>3286</v>
      </c>
      <c r="K689" t="s">
        <v>767</v>
      </c>
      <c r="L689">
        <v>9005</v>
      </c>
      <c r="M689" t="s">
        <v>2080</v>
      </c>
      <c r="O689">
        <v>0.3</v>
      </c>
      <c r="P689" s="80" t="s">
        <v>3287</v>
      </c>
      <c r="Q689" t="s">
        <v>769</v>
      </c>
      <c r="R689">
        <v>9011</v>
      </c>
      <c r="S689" t="s">
        <v>1982</v>
      </c>
      <c r="U689">
        <v>0.5</v>
      </c>
      <c r="V689">
        <v>70001</v>
      </c>
      <c r="W689">
        <v>3</v>
      </c>
      <c r="X689">
        <v>1</v>
      </c>
      <c r="Y689">
        <v>70002</v>
      </c>
      <c r="Z689">
        <v>3</v>
      </c>
      <c r="AA689">
        <v>1</v>
      </c>
      <c r="AB689">
        <v>1001</v>
      </c>
      <c r="AC689">
        <v>100</v>
      </c>
      <c r="AD689">
        <v>1</v>
      </c>
      <c r="AE689">
        <v>8000</v>
      </c>
      <c r="AF689">
        <v>12950</v>
      </c>
      <c r="AG689">
        <v>1</v>
      </c>
    </row>
    <row r="690" spans="1:33" ht="38.25" customHeight="1">
      <c r="A690">
        <v>1584</v>
      </c>
      <c r="B690" t="s">
        <v>1959</v>
      </c>
      <c r="C690">
        <v>15</v>
      </c>
      <c r="D690" t="s">
        <v>3355</v>
      </c>
      <c r="E690">
        <v>150</v>
      </c>
      <c r="G690" s="90" t="s">
        <v>3356</v>
      </c>
      <c r="I690">
        <v>74220</v>
      </c>
      <c r="J690" s="80" t="s">
        <v>3286</v>
      </c>
      <c r="K690" t="s">
        <v>767</v>
      </c>
      <c r="L690">
        <v>9002</v>
      </c>
      <c r="M690" t="s">
        <v>1730</v>
      </c>
      <c r="O690">
        <v>0.7</v>
      </c>
      <c r="P690" s="80" t="s">
        <v>3287</v>
      </c>
      <c r="Q690" t="s">
        <v>769</v>
      </c>
      <c r="R690">
        <v>9004</v>
      </c>
      <c r="S690">
        <v>2</v>
      </c>
      <c r="U690">
        <v>0.8</v>
      </c>
      <c r="V690">
        <v>70001</v>
      </c>
      <c r="W690">
        <v>3</v>
      </c>
      <c r="X690">
        <v>1</v>
      </c>
      <c r="Y690">
        <v>70002</v>
      </c>
      <c r="Z690">
        <v>3</v>
      </c>
      <c r="AA690">
        <v>1</v>
      </c>
      <c r="AB690">
        <v>1001</v>
      </c>
      <c r="AC690">
        <v>100</v>
      </c>
      <c r="AD690">
        <v>1</v>
      </c>
      <c r="AE690">
        <v>8000</v>
      </c>
      <c r="AF690">
        <v>13000</v>
      </c>
      <c r="AG690">
        <v>1</v>
      </c>
    </row>
    <row r="691" spans="1:33" ht="38.25" customHeight="1">
      <c r="A691">
        <v>1585</v>
      </c>
      <c r="B691" t="s">
        <v>1959</v>
      </c>
      <c r="C691">
        <v>15</v>
      </c>
      <c r="D691" t="s">
        <v>3357</v>
      </c>
      <c r="E691">
        <v>150</v>
      </c>
      <c r="G691" s="90" t="s">
        <v>3358</v>
      </c>
      <c r="I691">
        <v>74345</v>
      </c>
      <c r="J691" s="80" t="s">
        <v>3286</v>
      </c>
      <c r="K691" t="s">
        <v>767</v>
      </c>
      <c r="L691">
        <v>9001</v>
      </c>
      <c r="M691" t="s">
        <v>1668</v>
      </c>
      <c r="O691">
        <v>0.3</v>
      </c>
      <c r="P691" s="80" t="s">
        <v>3287</v>
      </c>
      <c r="Q691" t="s">
        <v>769</v>
      </c>
      <c r="R691">
        <v>9007</v>
      </c>
      <c r="S691">
        <v>2</v>
      </c>
      <c r="U691">
        <v>0.8</v>
      </c>
      <c r="V691">
        <v>70001</v>
      </c>
      <c r="W691">
        <v>3</v>
      </c>
      <c r="X691">
        <v>1</v>
      </c>
      <c r="Y691">
        <v>70002</v>
      </c>
      <c r="Z691">
        <v>3</v>
      </c>
      <c r="AA691">
        <v>1</v>
      </c>
      <c r="AB691">
        <v>1001</v>
      </c>
      <c r="AC691">
        <v>100</v>
      </c>
      <c r="AD691">
        <v>1</v>
      </c>
      <c r="AE691">
        <v>8000</v>
      </c>
      <c r="AF691">
        <v>13000</v>
      </c>
      <c r="AG691">
        <v>1</v>
      </c>
    </row>
    <row r="692" spans="1:33" ht="38.25" customHeight="1">
      <c r="A692">
        <v>1586</v>
      </c>
      <c r="B692" t="s">
        <v>1959</v>
      </c>
      <c r="C692">
        <v>15</v>
      </c>
      <c r="D692" t="s">
        <v>3359</v>
      </c>
      <c r="E692">
        <v>150</v>
      </c>
      <c r="G692" s="90" t="s">
        <v>3360</v>
      </c>
      <c r="I692">
        <v>74470</v>
      </c>
      <c r="J692" s="80" t="s">
        <v>3286</v>
      </c>
      <c r="K692" t="s">
        <v>767</v>
      </c>
      <c r="L692">
        <v>9005</v>
      </c>
      <c r="M692" t="s">
        <v>1824</v>
      </c>
      <c r="O692">
        <v>0.6</v>
      </c>
      <c r="P692" s="80" t="s">
        <v>3287</v>
      </c>
      <c r="Q692" t="s">
        <v>769</v>
      </c>
      <c r="R692">
        <v>9011</v>
      </c>
      <c r="S692" t="s">
        <v>1989</v>
      </c>
      <c r="U692">
        <v>0.5</v>
      </c>
      <c r="V692">
        <v>70001</v>
      </c>
      <c r="W692">
        <v>3</v>
      </c>
      <c r="X692">
        <v>1</v>
      </c>
      <c r="Y692">
        <v>70002</v>
      </c>
      <c r="Z692">
        <v>3</v>
      </c>
      <c r="AA692">
        <v>1</v>
      </c>
      <c r="AB692">
        <v>1001</v>
      </c>
      <c r="AC692">
        <v>100</v>
      </c>
      <c r="AD692">
        <v>1</v>
      </c>
      <c r="AE692">
        <v>8000</v>
      </c>
      <c r="AF692">
        <v>13050</v>
      </c>
      <c r="AG692">
        <v>1</v>
      </c>
    </row>
    <row r="693" spans="1:33" ht="38.25" customHeight="1">
      <c r="A693">
        <v>1587</v>
      </c>
      <c r="B693" t="s">
        <v>1959</v>
      </c>
      <c r="C693">
        <v>15</v>
      </c>
      <c r="D693" t="s">
        <v>3361</v>
      </c>
      <c r="E693">
        <v>150</v>
      </c>
      <c r="G693" s="90" t="s">
        <v>3362</v>
      </c>
      <c r="I693">
        <v>74595</v>
      </c>
      <c r="J693" s="80" t="s">
        <v>3286</v>
      </c>
      <c r="K693" t="s">
        <v>767</v>
      </c>
      <c r="L693">
        <v>9011</v>
      </c>
      <c r="M693" t="s">
        <v>1734</v>
      </c>
      <c r="O693">
        <v>0.8</v>
      </c>
      <c r="P693" s="80" t="s">
        <v>3287</v>
      </c>
      <c r="Q693" t="s">
        <v>769</v>
      </c>
      <c r="R693">
        <v>9007</v>
      </c>
      <c r="S693">
        <v>3</v>
      </c>
      <c r="U693">
        <v>0.2</v>
      </c>
      <c r="V693">
        <v>70001</v>
      </c>
      <c r="W693">
        <v>3</v>
      </c>
      <c r="X693">
        <v>1</v>
      </c>
      <c r="Y693">
        <v>70002</v>
      </c>
      <c r="Z693">
        <v>3</v>
      </c>
      <c r="AA693">
        <v>1</v>
      </c>
      <c r="AB693">
        <v>1001</v>
      </c>
      <c r="AC693">
        <v>100</v>
      </c>
      <c r="AD693">
        <v>1</v>
      </c>
      <c r="AE693">
        <v>8000</v>
      </c>
      <c r="AF693">
        <v>13050</v>
      </c>
      <c r="AG693">
        <v>1</v>
      </c>
    </row>
    <row r="694" spans="1:33" ht="38.25" customHeight="1">
      <c r="A694">
        <v>1588</v>
      </c>
      <c r="B694" t="s">
        <v>1959</v>
      </c>
      <c r="C694">
        <v>15</v>
      </c>
      <c r="D694" t="s">
        <v>3363</v>
      </c>
      <c r="E694">
        <v>150</v>
      </c>
      <c r="G694" s="90" t="s">
        <v>3364</v>
      </c>
      <c r="I694">
        <v>74720</v>
      </c>
      <c r="J694" s="80" t="s">
        <v>3286</v>
      </c>
      <c r="K694" t="s">
        <v>767</v>
      </c>
      <c r="L694">
        <v>9005</v>
      </c>
      <c r="M694">
        <v>4</v>
      </c>
      <c r="O694">
        <v>0.7</v>
      </c>
      <c r="P694" s="80" t="s">
        <v>3287</v>
      </c>
      <c r="Q694" t="s">
        <v>769</v>
      </c>
      <c r="R694">
        <v>9003</v>
      </c>
      <c r="S694" t="s">
        <v>1664</v>
      </c>
      <c r="U694">
        <v>0.6</v>
      </c>
      <c r="V694">
        <v>70001</v>
      </c>
      <c r="W694">
        <v>3</v>
      </c>
      <c r="X694">
        <v>1</v>
      </c>
      <c r="Y694">
        <v>70002</v>
      </c>
      <c r="Z694">
        <v>3</v>
      </c>
      <c r="AA694">
        <v>1</v>
      </c>
      <c r="AB694">
        <v>1001</v>
      </c>
      <c r="AC694">
        <v>100</v>
      </c>
      <c r="AD694">
        <v>1</v>
      </c>
      <c r="AE694">
        <v>8000</v>
      </c>
      <c r="AF694">
        <v>13100</v>
      </c>
      <c r="AG694">
        <v>1</v>
      </c>
    </row>
    <row r="695" spans="1:33" ht="38.25" customHeight="1">
      <c r="A695">
        <v>1589</v>
      </c>
      <c r="B695" t="s">
        <v>1959</v>
      </c>
      <c r="C695">
        <v>15</v>
      </c>
      <c r="D695" t="s">
        <v>3365</v>
      </c>
      <c r="E695">
        <v>150</v>
      </c>
      <c r="G695" s="90" t="s">
        <v>3366</v>
      </c>
      <c r="I695">
        <v>74845</v>
      </c>
      <c r="J695" s="80" t="s">
        <v>3286</v>
      </c>
      <c r="K695" t="s">
        <v>767</v>
      </c>
      <c r="L695">
        <v>9008</v>
      </c>
      <c r="M695" t="s">
        <v>2350</v>
      </c>
      <c r="O695">
        <v>0.7</v>
      </c>
      <c r="P695" s="80" t="s">
        <v>3287</v>
      </c>
      <c r="Q695" t="s">
        <v>769</v>
      </c>
      <c r="R695">
        <v>9004</v>
      </c>
      <c r="S695">
        <v>6</v>
      </c>
      <c r="U695">
        <v>1</v>
      </c>
      <c r="V695">
        <v>70001</v>
      </c>
      <c r="W695">
        <v>3</v>
      </c>
      <c r="X695">
        <v>1</v>
      </c>
      <c r="Y695">
        <v>70002</v>
      </c>
      <c r="Z695">
        <v>3</v>
      </c>
      <c r="AA695">
        <v>1</v>
      </c>
      <c r="AB695">
        <v>1001</v>
      </c>
      <c r="AC695">
        <v>100</v>
      </c>
      <c r="AD695">
        <v>1</v>
      </c>
      <c r="AE695">
        <v>8000</v>
      </c>
      <c r="AF695">
        <v>13100</v>
      </c>
      <c r="AG695">
        <v>1</v>
      </c>
    </row>
    <row r="696" spans="1:33" ht="38.25" customHeight="1">
      <c r="A696">
        <v>1590</v>
      </c>
      <c r="B696" t="s">
        <v>1959</v>
      </c>
      <c r="C696">
        <v>15</v>
      </c>
      <c r="D696" t="s">
        <v>3367</v>
      </c>
      <c r="E696">
        <v>150</v>
      </c>
      <c r="G696" s="90" t="s">
        <v>3368</v>
      </c>
      <c r="I696">
        <v>74970</v>
      </c>
      <c r="J696" s="80" t="s">
        <v>3286</v>
      </c>
      <c r="K696" t="s">
        <v>767</v>
      </c>
      <c r="L696">
        <v>9006</v>
      </c>
      <c r="M696" t="s">
        <v>3109</v>
      </c>
      <c r="O696">
        <v>0.7</v>
      </c>
      <c r="P696" s="80" t="s">
        <v>3287</v>
      </c>
      <c r="Q696" t="s">
        <v>769</v>
      </c>
      <c r="R696">
        <v>9011</v>
      </c>
      <c r="S696" t="s">
        <v>3369</v>
      </c>
      <c r="U696">
        <v>0.9</v>
      </c>
      <c r="V696">
        <v>70001</v>
      </c>
      <c r="W696">
        <v>3</v>
      </c>
      <c r="X696">
        <v>1</v>
      </c>
      <c r="Y696">
        <v>70002</v>
      </c>
      <c r="Z696">
        <v>3</v>
      </c>
      <c r="AA696">
        <v>1</v>
      </c>
      <c r="AB696">
        <v>1001</v>
      </c>
      <c r="AC696">
        <v>100</v>
      </c>
      <c r="AD696">
        <v>1</v>
      </c>
      <c r="AE696">
        <v>8000</v>
      </c>
      <c r="AF696">
        <v>13150</v>
      </c>
      <c r="AG696">
        <v>1</v>
      </c>
    </row>
    <row r="697" spans="1:33" ht="38.25" customHeight="1">
      <c r="A697">
        <v>1591</v>
      </c>
      <c r="B697" t="s">
        <v>1959</v>
      </c>
      <c r="C697">
        <v>15</v>
      </c>
      <c r="D697" t="s">
        <v>3370</v>
      </c>
      <c r="E697">
        <v>150</v>
      </c>
      <c r="G697" s="90" t="s">
        <v>3371</v>
      </c>
      <c r="I697">
        <v>75095</v>
      </c>
      <c r="J697" s="80" t="s">
        <v>3286</v>
      </c>
      <c r="K697" t="s">
        <v>767</v>
      </c>
      <c r="L697">
        <v>9006</v>
      </c>
      <c r="M697" t="s">
        <v>2360</v>
      </c>
      <c r="O697">
        <v>0.8</v>
      </c>
      <c r="P697" s="80" t="s">
        <v>3287</v>
      </c>
      <c r="Q697" t="s">
        <v>769</v>
      </c>
      <c r="R697">
        <v>9011</v>
      </c>
      <c r="S697" t="s">
        <v>2483</v>
      </c>
      <c r="U697">
        <v>0.4</v>
      </c>
      <c r="V697">
        <v>70001</v>
      </c>
      <c r="W697">
        <v>3</v>
      </c>
      <c r="X697">
        <v>1</v>
      </c>
      <c r="Y697">
        <v>70002</v>
      </c>
      <c r="Z697">
        <v>3</v>
      </c>
      <c r="AA697">
        <v>1</v>
      </c>
      <c r="AB697">
        <v>1001</v>
      </c>
      <c r="AC697">
        <v>100</v>
      </c>
      <c r="AD697">
        <v>1</v>
      </c>
      <c r="AE697">
        <v>8000</v>
      </c>
      <c r="AF697">
        <v>13200</v>
      </c>
      <c r="AG697">
        <v>1</v>
      </c>
    </row>
    <row r="698" spans="1:33" ht="38.25" customHeight="1">
      <c r="A698">
        <v>1592</v>
      </c>
      <c r="B698" t="s">
        <v>1959</v>
      </c>
      <c r="C698">
        <v>15</v>
      </c>
      <c r="D698" t="s">
        <v>3372</v>
      </c>
      <c r="E698">
        <v>150</v>
      </c>
      <c r="G698" s="90" t="s">
        <v>3373</v>
      </c>
      <c r="I698">
        <v>75220</v>
      </c>
      <c r="J698" s="80" t="s">
        <v>3286</v>
      </c>
      <c r="K698" t="s">
        <v>767</v>
      </c>
      <c r="L698">
        <v>9002</v>
      </c>
      <c r="M698">
        <v>3</v>
      </c>
      <c r="O698">
        <v>0.8</v>
      </c>
      <c r="P698" s="80" t="s">
        <v>3287</v>
      </c>
      <c r="Q698" t="s">
        <v>769</v>
      </c>
      <c r="R698">
        <v>9007</v>
      </c>
      <c r="S698">
        <v>3</v>
      </c>
      <c r="U698">
        <v>0.7</v>
      </c>
      <c r="V698">
        <v>70001</v>
      </c>
      <c r="W698">
        <v>3</v>
      </c>
      <c r="X698">
        <v>1</v>
      </c>
      <c r="Y698">
        <v>70002</v>
      </c>
      <c r="Z698">
        <v>3</v>
      </c>
      <c r="AA698">
        <v>1</v>
      </c>
      <c r="AB698">
        <v>1001</v>
      </c>
      <c r="AC698">
        <v>100</v>
      </c>
      <c r="AD698">
        <v>1</v>
      </c>
      <c r="AE698">
        <v>8000</v>
      </c>
      <c r="AF698">
        <v>13200</v>
      </c>
      <c r="AG698">
        <v>1</v>
      </c>
    </row>
    <row r="699" spans="1:33" ht="38.25" customHeight="1">
      <c r="A699">
        <v>1593</v>
      </c>
      <c r="B699" t="s">
        <v>1959</v>
      </c>
      <c r="C699">
        <v>15</v>
      </c>
      <c r="D699" t="s">
        <v>3374</v>
      </c>
      <c r="E699">
        <v>150</v>
      </c>
      <c r="G699" s="90" t="s">
        <v>3375</v>
      </c>
      <c r="I699">
        <v>75345</v>
      </c>
      <c r="J699" s="80" t="s">
        <v>3286</v>
      </c>
      <c r="K699" t="s">
        <v>767</v>
      </c>
      <c r="L699">
        <v>9001</v>
      </c>
      <c r="M699" t="s">
        <v>1848</v>
      </c>
      <c r="O699">
        <v>0.7</v>
      </c>
      <c r="P699" s="80" t="s">
        <v>3287</v>
      </c>
      <c r="Q699" t="s">
        <v>769</v>
      </c>
      <c r="R699">
        <v>9003</v>
      </c>
      <c r="S699" t="s">
        <v>2612</v>
      </c>
      <c r="U699">
        <v>0.2</v>
      </c>
      <c r="V699">
        <v>70001</v>
      </c>
      <c r="W699">
        <v>3</v>
      </c>
      <c r="X699">
        <v>1</v>
      </c>
      <c r="Y699">
        <v>70002</v>
      </c>
      <c r="Z699">
        <v>3</v>
      </c>
      <c r="AA699">
        <v>1</v>
      </c>
      <c r="AB699">
        <v>1001</v>
      </c>
      <c r="AC699">
        <v>100</v>
      </c>
      <c r="AD699">
        <v>1</v>
      </c>
      <c r="AE699">
        <v>8000</v>
      </c>
      <c r="AF699">
        <v>13250</v>
      </c>
      <c r="AG699">
        <v>1</v>
      </c>
    </row>
    <row r="700" spans="1:33" ht="38.25" customHeight="1">
      <c r="A700">
        <v>1594</v>
      </c>
      <c r="B700" t="s">
        <v>1959</v>
      </c>
      <c r="C700">
        <v>15</v>
      </c>
      <c r="D700" t="s">
        <v>3376</v>
      </c>
      <c r="E700">
        <v>150</v>
      </c>
      <c r="G700" s="90" t="s">
        <v>3377</v>
      </c>
      <c r="I700">
        <v>75470</v>
      </c>
      <c r="J700" s="80" t="s">
        <v>3286</v>
      </c>
      <c r="K700" t="s">
        <v>767</v>
      </c>
      <c r="L700">
        <v>9001</v>
      </c>
      <c r="M700" t="s">
        <v>2008</v>
      </c>
      <c r="O700">
        <v>0.1</v>
      </c>
      <c r="P700" s="80" t="s">
        <v>3287</v>
      </c>
      <c r="Q700" t="s">
        <v>769</v>
      </c>
      <c r="R700">
        <v>9003</v>
      </c>
      <c r="S700">
        <v>9</v>
      </c>
      <c r="U700">
        <v>0.5</v>
      </c>
      <c r="V700">
        <v>70001</v>
      </c>
      <c r="W700">
        <v>3</v>
      </c>
      <c r="X700">
        <v>1</v>
      </c>
      <c r="Y700">
        <v>70002</v>
      </c>
      <c r="Z700">
        <v>3</v>
      </c>
      <c r="AA700">
        <v>1</v>
      </c>
      <c r="AB700">
        <v>1001</v>
      </c>
      <c r="AC700">
        <v>100</v>
      </c>
      <c r="AD700">
        <v>1</v>
      </c>
      <c r="AE700">
        <v>8000</v>
      </c>
      <c r="AF700">
        <v>13250</v>
      </c>
      <c r="AG700">
        <v>1</v>
      </c>
    </row>
    <row r="701" spans="1:33" ht="38.25" customHeight="1">
      <c r="A701">
        <v>1595</v>
      </c>
      <c r="B701" t="s">
        <v>1959</v>
      </c>
      <c r="C701">
        <v>15</v>
      </c>
      <c r="D701" t="s">
        <v>3378</v>
      </c>
      <c r="E701">
        <v>150</v>
      </c>
      <c r="G701" s="90" t="s">
        <v>3379</v>
      </c>
      <c r="I701">
        <v>75595</v>
      </c>
      <c r="J701" s="80" t="s">
        <v>3286</v>
      </c>
      <c r="K701" t="s">
        <v>767</v>
      </c>
      <c r="L701">
        <v>9011</v>
      </c>
      <c r="M701" t="s">
        <v>2314</v>
      </c>
      <c r="O701">
        <v>0.8</v>
      </c>
      <c r="P701" s="80" t="s">
        <v>3287</v>
      </c>
      <c r="Q701" t="s">
        <v>769</v>
      </c>
      <c r="R701">
        <v>9012</v>
      </c>
      <c r="S701">
        <v>1</v>
      </c>
      <c r="U701">
        <v>0.7</v>
      </c>
      <c r="V701">
        <v>70001</v>
      </c>
      <c r="W701">
        <v>3</v>
      </c>
      <c r="X701">
        <v>1</v>
      </c>
      <c r="Y701">
        <v>70002</v>
      </c>
      <c r="Z701">
        <v>3</v>
      </c>
      <c r="AA701">
        <v>1</v>
      </c>
      <c r="AB701">
        <v>1001</v>
      </c>
      <c r="AC701">
        <v>100</v>
      </c>
      <c r="AD701">
        <v>1</v>
      </c>
      <c r="AE701">
        <v>8000</v>
      </c>
      <c r="AF701">
        <v>13300</v>
      </c>
      <c r="AG701">
        <v>1</v>
      </c>
    </row>
    <row r="702" spans="1:33" ht="38.25" customHeight="1">
      <c r="A702">
        <v>1596</v>
      </c>
      <c r="B702" t="s">
        <v>1959</v>
      </c>
      <c r="C702">
        <v>15</v>
      </c>
      <c r="D702" t="s">
        <v>3380</v>
      </c>
      <c r="E702">
        <v>150</v>
      </c>
      <c r="G702" s="90" t="s">
        <v>3381</v>
      </c>
      <c r="I702">
        <v>75720</v>
      </c>
      <c r="J702" s="80" t="s">
        <v>3286</v>
      </c>
      <c r="K702" t="s">
        <v>767</v>
      </c>
      <c r="L702">
        <v>9001</v>
      </c>
      <c r="M702" t="s">
        <v>2521</v>
      </c>
      <c r="O702">
        <v>0.9</v>
      </c>
      <c r="P702" s="80" t="s">
        <v>3287</v>
      </c>
      <c r="Q702" t="s">
        <v>769</v>
      </c>
      <c r="R702">
        <v>9010</v>
      </c>
      <c r="S702" t="s">
        <v>3382</v>
      </c>
      <c r="U702">
        <v>1</v>
      </c>
      <c r="V702">
        <v>70001</v>
      </c>
      <c r="W702">
        <v>3</v>
      </c>
      <c r="X702">
        <v>1</v>
      </c>
      <c r="Y702">
        <v>70002</v>
      </c>
      <c r="Z702">
        <v>3</v>
      </c>
      <c r="AA702">
        <v>1</v>
      </c>
      <c r="AB702">
        <v>1001</v>
      </c>
      <c r="AC702">
        <v>100</v>
      </c>
      <c r="AD702">
        <v>1</v>
      </c>
      <c r="AE702">
        <v>8000</v>
      </c>
      <c r="AF702">
        <v>13350</v>
      </c>
      <c r="AG702">
        <v>1</v>
      </c>
    </row>
    <row r="703" spans="1:33" ht="38.25" customHeight="1">
      <c r="A703">
        <v>1597</v>
      </c>
      <c r="B703" t="s">
        <v>1959</v>
      </c>
      <c r="C703">
        <v>15</v>
      </c>
      <c r="D703" t="s">
        <v>3383</v>
      </c>
      <c r="E703">
        <v>150</v>
      </c>
      <c r="G703" s="90" t="s">
        <v>3384</v>
      </c>
      <c r="I703">
        <v>75845</v>
      </c>
      <c r="J703" s="80" t="s">
        <v>3286</v>
      </c>
      <c r="K703" t="s">
        <v>767</v>
      </c>
      <c r="L703">
        <v>9002</v>
      </c>
      <c r="M703">
        <v>12</v>
      </c>
      <c r="O703">
        <v>0.9</v>
      </c>
      <c r="P703" s="80" t="s">
        <v>3287</v>
      </c>
      <c r="Q703" t="s">
        <v>769</v>
      </c>
      <c r="R703">
        <v>9007</v>
      </c>
      <c r="S703" t="s">
        <v>2641</v>
      </c>
      <c r="U703">
        <v>0.3</v>
      </c>
      <c r="V703">
        <v>70001</v>
      </c>
      <c r="W703">
        <v>3</v>
      </c>
      <c r="X703">
        <v>1</v>
      </c>
      <c r="Y703">
        <v>70002</v>
      </c>
      <c r="Z703">
        <v>3</v>
      </c>
      <c r="AA703">
        <v>1</v>
      </c>
      <c r="AB703">
        <v>1001</v>
      </c>
      <c r="AC703">
        <v>100</v>
      </c>
      <c r="AD703">
        <v>1</v>
      </c>
      <c r="AE703">
        <v>8000</v>
      </c>
      <c r="AF703">
        <v>13350</v>
      </c>
      <c r="AG703">
        <v>1</v>
      </c>
    </row>
    <row r="704" spans="1:33" ht="38.25" customHeight="1">
      <c r="A704">
        <v>1598</v>
      </c>
      <c r="B704" t="s">
        <v>1959</v>
      </c>
      <c r="C704">
        <v>15</v>
      </c>
      <c r="D704" t="s">
        <v>3385</v>
      </c>
      <c r="E704">
        <v>150</v>
      </c>
      <c r="G704" s="90" t="s">
        <v>3386</v>
      </c>
      <c r="I704">
        <v>75970</v>
      </c>
      <c r="J704" s="80" t="s">
        <v>3286</v>
      </c>
      <c r="K704" t="s">
        <v>767</v>
      </c>
      <c r="L704">
        <v>9001</v>
      </c>
      <c r="M704" t="s">
        <v>2526</v>
      </c>
      <c r="O704">
        <v>0.3</v>
      </c>
      <c r="P704" s="80" t="s">
        <v>3287</v>
      </c>
      <c r="Q704" t="s">
        <v>769</v>
      </c>
      <c r="R704">
        <v>9010</v>
      </c>
      <c r="S704" t="s">
        <v>1928</v>
      </c>
      <c r="U704">
        <v>0.8</v>
      </c>
      <c r="V704">
        <v>70001</v>
      </c>
      <c r="W704">
        <v>3</v>
      </c>
      <c r="X704">
        <v>1</v>
      </c>
      <c r="Y704">
        <v>70002</v>
      </c>
      <c r="Z704">
        <v>3</v>
      </c>
      <c r="AA704">
        <v>1</v>
      </c>
      <c r="AB704">
        <v>1001</v>
      </c>
      <c r="AC704">
        <v>100</v>
      </c>
      <c r="AD704">
        <v>1</v>
      </c>
      <c r="AE704">
        <v>8000</v>
      </c>
      <c r="AF704">
        <v>13400</v>
      </c>
      <c r="AG704">
        <v>1</v>
      </c>
    </row>
    <row r="705" spans="1:33" ht="38.25" customHeight="1">
      <c r="A705">
        <v>1599</v>
      </c>
      <c r="B705" t="s">
        <v>1959</v>
      </c>
      <c r="C705">
        <v>15</v>
      </c>
      <c r="D705" t="s">
        <v>3387</v>
      </c>
      <c r="E705">
        <v>150</v>
      </c>
      <c r="G705" s="90" t="s">
        <v>3388</v>
      </c>
      <c r="I705">
        <v>76095</v>
      </c>
      <c r="J705" s="80" t="s">
        <v>3286</v>
      </c>
      <c r="K705" t="s">
        <v>767</v>
      </c>
      <c r="L705">
        <v>9012</v>
      </c>
      <c r="M705">
        <v>10</v>
      </c>
      <c r="O705">
        <v>0.2</v>
      </c>
      <c r="P705" s="80" t="s">
        <v>3287</v>
      </c>
      <c r="Q705" t="s">
        <v>769</v>
      </c>
      <c r="R705">
        <v>9004</v>
      </c>
      <c r="S705" t="s">
        <v>1777</v>
      </c>
      <c r="U705">
        <v>0.4</v>
      </c>
      <c r="V705">
        <v>70001</v>
      </c>
      <c r="W705">
        <v>3</v>
      </c>
      <c r="X705">
        <v>1</v>
      </c>
      <c r="Y705">
        <v>70002</v>
      </c>
      <c r="Z705">
        <v>3</v>
      </c>
      <c r="AA705">
        <v>1</v>
      </c>
      <c r="AB705">
        <v>1001</v>
      </c>
      <c r="AC705">
        <v>500</v>
      </c>
      <c r="AD705">
        <v>1</v>
      </c>
      <c r="AE705">
        <v>8000</v>
      </c>
      <c r="AF705">
        <v>13400</v>
      </c>
      <c r="AG705">
        <v>1</v>
      </c>
    </row>
    <row r="707" spans="1:33">
      <c r="A707" t="s">
        <v>1603</v>
      </c>
      <c r="B707" t="s">
        <v>733</v>
      </c>
      <c r="C707" t="s">
        <v>1604</v>
      </c>
      <c r="D707" t="s">
        <v>1605</v>
      </c>
      <c r="E707" t="s">
        <v>63</v>
      </c>
      <c r="F707" t="s">
        <v>1606</v>
      </c>
      <c r="G707" t="s">
        <v>1607</v>
      </c>
      <c r="H707" t="s">
        <v>1608</v>
      </c>
      <c r="I707" t="s">
        <v>1609</v>
      </c>
      <c r="J707" t="s">
        <v>1610</v>
      </c>
      <c r="K707" t="s">
        <v>1611</v>
      </c>
      <c r="L707" t="s">
        <v>1612</v>
      </c>
      <c r="M707" t="s">
        <v>1613</v>
      </c>
      <c r="N707" t="s">
        <v>1614</v>
      </c>
      <c r="O707" t="s">
        <v>1615</v>
      </c>
      <c r="P707" t="s">
        <v>1616</v>
      </c>
      <c r="Q707" t="s">
        <v>1617</v>
      </c>
      <c r="R707" t="s">
        <v>1618</v>
      </c>
      <c r="S707" t="s">
        <v>1619</v>
      </c>
      <c r="T707" t="s">
        <v>1620</v>
      </c>
      <c r="U707" t="s">
        <v>1621</v>
      </c>
      <c r="V707" t="s">
        <v>1622</v>
      </c>
      <c r="W707" t="s">
        <v>1623</v>
      </c>
      <c r="X707" t="s">
        <v>1624</v>
      </c>
      <c r="Y707" t="s">
        <v>1625</v>
      </c>
      <c r="Z707" t="s">
        <v>1626</v>
      </c>
      <c r="AA707" t="s">
        <v>1627</v>
      </c>
    </row>
    <row r="708" spans="1:33" ht="38.25" customHeight="1">
      <c r="A708">
        <v>600</v>
      </c>
      <c r="B708" t="s">
        <v>3389</v>
      </c>
      <c r="D708" s="80" t="s">
        <v>3390</v>
      </c>
      <c r="E708">
        <v>20</v>
      </c>
      <c r="F708">
        <v>62</v>
      </c>
      <c r="G708" s="90" t="s">
        <v>3391</v>
      </c>
      <c r="H708">
        <v>1</v>
      </c>
      <c r="V708">
        <v>8000</v>
      </c>
      <c r="W708">
        <v>1000</v>
      </c>
      <c r="Y708">
        <v>8003</v>
      </c>
      <c r="Z708">
        <v>1</v>
      </c>
      <c r="AA708">
        <v>0.05</v>
      </c>
      <c r="AB708">
        <v>2008</v>
      </c>
      <c r="AC708">
        <v>15</v>
      </c>
      <c r="AD708">
        <v>1</v>
      </c>
    </row>
    <row r="709" spans="1:33" ht="38.25" customHeight="1">
      <c r="A709">
        <v>600</v>
      </c>
      <c r="B709" t="s">
        <v>3389</v>
      </c>
      <c r="D709" s="80" t="s">
        <v>3392</v>
      </c>
      <c r="E709">
        <v>20</v>
      </c>
      <c r="F709">
        <v>63</v>
      </c>
      <c r="G709" s="90" t="s">
        <v>3393</v>
      </c>
      <c r="H709">
        <v>1</v>
      </c>
      <c r="V709">
        <v>8000</v>
      </c>
      <c r="W709">
        <v>1000</v>
      </c>
      <c r="Y709">
        <v>8003</v>
      </c>
      <c r="Z709">
        <v>1</v>
      </c>
      <c r="AA709">
        <v>0.05</v>
      </c>
      <c r="AB709">
        <v>2008</v>
      </c>
      <c r="AC709">
        <v>15</v>
      </c>
      <c r="AD709">
        <v>1</v>
      </c>
    </row>
    <row r="710" spans="1:33" ht="38.25" customHeight="1">
      <c r="A710">
        <v>600</v>
      </c>
      <c r="B710" t="s">
        <v>3389</v>
      </c>
      <c r="D710" s="80" t="s">
        <v>3394</v>
      </c>
      <c r="E710">
        <v>20</v>
      </c>
      <c r="F710">
        <v>64</v>
      </c>
      <c r="G710" s="90" t="s">
        <v>3395</v>
      </c>
      <c r="H710">
        <v>1</v>
      </c>
      <c r="V710">
        <v>8000</v>
      </c>
      <c r="W710">
        <v>1000</v>
      </c>
      <c r="Y710">
        <v>8003</v>
      </c>
      <c r="Z710">
        <v>1</v>
      </c>
      <c r="AA710">
        <v>0.05</v>
      </c>
      <c r="AB710">
        <v>2008</v>
      </c>
      <c r="AC710">
        <v>15</v>
      </c>
      <c r="AD710">
        <v>1</v>
      </c>
    </row>
    <row r="711" spans="1:33" ht="38.25" customHeight="1">
      <c r="A711">
        <v>600</v>
      </c>
      <c r="B711" t="s">
        <v>3389</v>
      </c>
      <c r="D711" s="80" t="s">
        <v>3396</v>
      </c>
      <c r="E711">
        <v>20</v>
      </c>
      <c r="F711">
        <v>65</v>
      </c>
      <c r="G711" s="90" t="s">
        <v>3397</v>
      </c>
      <c r="H711">
        <v>1</v>
      </c>
      <c r="V711">
        <v>8000</v>
      </c>
      <c r="W711">
        <v>1000</v>
      </c>
      <c r="Y711">
        <v>8003</v>
      </c>
      <c r="Z711">
        <v>1</v>
      </c>
      <c r="AA711">
        <v>0.05</v>
      </c>
      <c r="AB711">
        <v>2008</v>
      </c>
      <c r="AC711">
        <v>15</v>
      </c>
      <c r="AD711">
        <v>1</v>
      </c>
    </row>
    <row r="712" spans="1:33" ht="38.25" customHeight="1">
      <c r="A712">
        <v>600</v>
      </c>
      <c r="B712" t="s">
        <v>3389</v>
      </c>
      <c r="D712" s="80" t="s">
        <v>3398</v>
      </c>
      <c r="E712">
        <v>20</v>
      </c>
      <c r="F712">
        <v>66</v>
      </c>
      <c r="G712" s="90" t="s">
        <v>3399</v>
      </c>
      <c r="H712">
        <v>1</v>
      </c>
      <c r="V712">
        <v>8000</v>
      </c>
      <c r="W712">
        <v>1000</v>
      </c>
      <c r="Y712">
        <v>8003</v>
      </c>
      <c r="Z712">
        <v>1</v>
      </c>
      <c r="AA712">
        <v>0.05</v>
      </c>
      <c r="AB712">
        <v>2008</v>
      </c>
      <c r="AC712">
        <v>15</v>
      </c>
      <c r="AD712">
        <v>1</v>
      </c>
    </row>
    <row r="713" spans="1:33" ht="38.25" customHeight="1">
      <c r="A713">
        <v>600</v>
      </c>
      <c r="B713" t="s">
        <v>3389</v>
      </c>
      <c r="D713" s="80" t="s">
        <v>3400</v>
      </c>
      <c r="E713">
        <v>20</v>
      </c>
      <c r="F713">
        <v>67</v>
      </c>
      <c r="G713" s="90" t="s">
        <v>3401</v>
      </c>
      <c r="H713">
        <v>1</v>
      </c>
      <c r="V713">
        <v>8000</v>
      </c>
      <c r="W713">
        <v>1000</v>
      </c>
      <c r="Y713">
        <v>8003</v>
      </c>
      <c r="Z713">
        <v>1</v>
      </c>
      <c r="AA713">
        <v>0.05</v>
      </c>
      <c r="AB713">
        <v>2008</v>
      </c>
      <c r="AC713">
        <v>15</v>
      </c>
      <c r="AD713">
        <v>1</v>
      </c>
    </row>
    <row r="714" spans="1:33" ht="38.25" customHeight="1">
      <c r="A714">
        <v>600</v>
      </c>
      <c r="B714" t="s">
        <v>3389</v>
      </c>
      <c r="D714" s="80" t="s">
        <v>3402</v>
      </c>
      <c r="E714">
        <v>20</v>
      </c>
      <c r="F714">
        <v>68</v>
      </c>
      <c r="G714" s="90" t="s">
        <v>3403</v>
      </c>
      <c r="H714">
        <v>1</v>
      </c>
      <c r="V714">
        <v>8000</v>
      </c>
      <c r="W714">
        <v>1000</v>
      </c>
      <c r="Y714">
        <v>8003</v>
      </c>
      <c r="Z714">
        <v>1</v>
      </c>
      <c r="AA714">
        <v>0.05</v>
      </c>
      <c r="AB714">
        <v>2008</v>
      </c>
      <c r="AC714">
        <v>15</v>
      </c>
      <c r="AD714">
        <v>1</v>
      </c>
    </row>
    <row r="715" spans="1:33" ht="38.25" customHeight="1">
      <c r="A715">
        <v>600</v>
      </c>
      <c r="B715" t="s">
        <v>3389</v>
      </c>
      <c r="D715" s="80" t="s">
        <v>3404</v>
      </c>
      <c r="E715">
        <v>20</v>
      </c>
      <c r="F715">
        <v>69</v>
      </c>
      <c r="G715" s="90" t="s">
        <v>3405</v>
      </c>
      <c r="H715">
        <v>1</v>
      </c>
      <c r="V715">
        <v>8000</v>
      </c>
      <c r="W715">
        <v>1000</v>
      </c>
      <c r="Y715">
        <v>8003</v>
      </c>
      <c r="Z715">
        <v>1</v>
      </c>
      <c r="AA715">
        <v>0.05</v>
      </c>
      <c r="AB715">
        <v>2008</v>
      </c>
      <c r="AC715">
        <v>15</v>
      </c>
      <c r="AD715">
        <v>1</v>
      </c>
    </row>
    <row r="716" spans="1:33" ht="38.25" customHeight="1">
      <c r="A716">
        <v>601</v>
      </c>
      <c r="B716" t="s">
        <v>3389</v>
      </c>
      <c r="D716" s="80" t="s">
        <v>3406</v>
      </c>
      <c r="E716">
        <v>50</v>
      </c>
      <c r="F716">
        <v>62</v>
      </c>
      <c r="G716" s="90" t="s">
        <v>3391</v>
      </c>
      <c r="H716">
        <v>1</v>
      </c>
      <c r="V716">
        <v>8000</v>
      </c>
      <c r="W716">
        <v>1000</v>
      </c>
      <c r="Y716">
        <v>8003</v>
      </c>
      <c r="Z716">
        <v>1</v>
      </c>
      <c r="AA716">
        <v>0.05</v>
      </c>
      <c r="AB716">
        <v>2008</v>
      </c>
      <c r="AC716">
        <v>23</v>
      </c>
      <c r="AD716">
        <v>1</v>
      </c>
    </row>
    <row r="717" spans="1:33" ht="38.25" customHeight="1">
      <c r="A717">
        <v>601</v>
      </c>
      <c r="B717" t="s">
        <v>3389</v>
      </c>
      <c r="D717" s="80" t="s">
        <v>3407</v>
      </c>
      <c r="E717">
        <v>50</v>
      </c>
      <c r="F717">
        <v>63</v>
      </c>
      <c r="G717" s="90" t="s">
        <v>3393</v>
      </c>
      <c r="H717">
        <v>1</v>
      </c>
      <c r="V717">
        <v>8000</v>
      </c>
      <c r="W717">
        <v>1000</v>
      </c>
      <c r="Y717">
        <v>8003</v>
      </c>
      <c r="Z717">
        <v>1</v>
      </c>
      <c r="AA717">
        <v>0.05</v>
      </c>
      <c r="AB717">
        <v>2008</v>
      </c>
      <c r="AC717">
        <v>23</v>
      </c>
      <c r="AD717">
        <v>1</v>
      </c>
    </row>
    <row r="718" spans="1:33" ht="38.25" customHeight="1">
      <c r="A718">
        <v>601</v>
      </c>
      <c r="B718" t="s">
        <v>3389</v>
      </c>
      <c r="D718" s="80" t="s">
        <v>3408</v>
      </c>
      <c r="E718">
        <v>50</v>
      </c>
      <c r="F718">
        <v>64</v>
      </c>
      <c r="G718" s="90" t="s">
        <v>3395</v>
      </c>
      <c r="H718">
        <v>1</v>
      </c>
      <c r="V718">
        <v>8000</v>
      </c>
      <c r="W718">
        <v>1000</v>
      </c>
      <c r="Y718">
        <v>8003</v>
      </c>
      <c r="Z718">
        <v>1</v>
      </c>
      <c r="AA718">
        <v>0.05</v>
      </c>
      <c r="AB718">
        <v>2008</v>
      </c>
      <c r="AC718">
        <v>23</v>
      </c>
      <c r="AD718">
        <v>1</v>
      </c>
    </row>
    <row r="719" spans="1:33" ht="38.25" customHeight="1">
      <c r="A719">
        <v>601</v>
      </c>
      <c r="B719" t="s">
        <v>3389</v>
      </c>
      <c r="D719" s="80" t="s">
        <v>3409</v>
      </c>
      <c r="E719">
        <v>50</v>
      </c>
      <c r="F719">
        <v>65</v>
      </c>
      <c r="G719" s="90" t="s">
        <v>3397</v>
      </c>
      <c r="H719">
        <v>1</v>
      </c>
      <c r="V719">
        <v>8000</v>
      </c>
      <c r="W719">
        <v>1000</v>
      </c>
      <c r="Y719">
        <v>8003</v>
      </c>
      <c r="Z719">
        <v>1</v>
      </c>
      <c r="AA719">
        <v>0.05</v>
      </c>
      <c r="AB719">
        <v>2008</v>
      </c>
      <c r="AC719">
        <v>23</v>
      </c>
      <c r="AD719">
        <v>1</v>
      </c>
    </row>
    <row r="720" spans="1:33" ht="38.25" customHeight="1">
      <c r="A720">
        <v>601</v>
      </c>
      <c r="B720" t="s">
        <v>3389</v>
      </c>
      <c r="D720" s="80" t="s">
        <v>3410</v>
      </c>
      <c r="E720">
        <v>50</v>
      </c>
      <c r="F720">
        <v>66</v>
      </c>
      <c r="G720" s="90" t="s">
        <v>3399</v>
      </c>
      <c r="H720">
        <v>1</v>
      </c>
      <c r="V720">
        <v>8000</v>
      </c>
      <c r="W720">
        <v>1000</v>
      </c>
      <c r="Y720">
        <v>8003</v>
      </c>
      <c r="Z720">
        <v>1</v>
      </c>
      <c r="AA720">
        <v>0.05</v>
      </c>
      <c r="AB720">
        <v>2008</v>
      </c>
      <c r="AC720">
        <v>23</v>
      </c>
      <c r="AD720">
        <v>1</v>
      </c>
    </row>
    <row r="721" spans="1:30" ht="38.25" customHeight="1">
      <c r="A721">
        <v>601</v>
      </c>
      <c r="B721" t="s">
        <v>3389</v>
      </c>
      <c r="D721" s="80" t="s">
        <v>3411</v>
      </c>
      <c r="E721">
        <v>50</v>
      </c>
      <c r="F721">
        <v>67</v>
      </c>
      <c r="G721" s="90" t="s">
        <v>3401</v>
      </c>
      <c r="H721">
        <v>1</v>
      </c>
      <c r="V721">
        <v>8000</v>
      </c>
      <c r="W721">
        <v>1000</v>
      </c>
      <c r="Y721">
        <v>8003</v>
      </c>
      <c r="Z721">
        <v>1</v>
      </c>
      <c r="AA721">
        <v>0.05</v>
      </c>
      <c r="AB721">
        <v>2008</v>
      </c>
      <c r="AC721">
        <v>23</v>
      </c>
      <c r="AD721">
        <v>1</v>
      </c>
    </row>
    <row r="722" spans="1:30" ht="38.25" customHeight="1">
      <c r="A722">
        <v>601</v>
      </c>
      <c r="B722" t="s">
        <v>3389</v>
      </c>
      <c r="D722" s="80" t="s">
        <v>3412</v>
      </c>
      <c r="E722">
        <v>50</v>
      </c>
      <c r="F722">
        <v>68</v>
      </c>
      <c r="G722" s="90" t="s">
        <v>3403</v>
      </c>
      <c r="H722">
        <v>1</v>
      </c>
      <c r="V722">
        <v>8000</v>
      </c>
      <c r="W722">
        <v>1000</v>
      </c>
      <c r="Y722">
        <v>8003</v>
      </c>
      <c r="Z722">
        <v>1</v>
      </c>
      <c r="AA722">
        <v>0.05</v>
      </c>
      <c r="AB722">
        <v>2008</v>
      </c>
      <c r="AC722">
        <v>23</v>
      </c>
      <c r="AD722">
        <v>1</v>
      </c>
    </row>
    <row r="723" spans="1:30" ht="38.25" customHeight="1">
      <c r="A723">
        <v>601</v>
      </c>
      <c r="B723" t="s">
        <v>3389</v>
      </c>
      <c r="D723" s="80" t="s">
        <v>3413</v>
      </c>
      <c r="E723">
        <v>50</v>
      </c>
      <c r="F723">
        <v>69</v>
      </c>
      <c r="G723" s="90" t="s">
        <v>3405</v>
      </c>
      <c r="H723">
        <v>1</v>
      </c>
      <c r="V723">
        <v>8000</v>
      </c>
      <c r="W723">
        <v>1000</v>
      </c>
      <c r="Y723">
        <v>8003</v>
      </c>
      <c r="Z723">
        <v>1</v>
      </c>
      <c r="AA723">
        <v>0.05</v>
      </c>
      <c r="AB723">
        <v>2008</v>
      </c>
      <c r="AC723">
        <v>23</v>
      </c>
      <c r="AD723">
        <v>1</v>
      </c>
    </row>
    <row r="724" spans="1:30" ht="38.25" customHeight="1">
      <c r="A724">
        <v>602</v>
      </c>
      <c r="B724" t="s">
        <v>3389</v>
      </c>
      <c r="D724" s="80" t="s">
        <v>3414</v>
      </c>
      <c r="E724">
        <v>75</v>
      </c>
      <c r="F724">
        <v>62</v>
      </c>
      <c r="G724" s="90" t="s">
        <v>3391</v>
      </c>
      <c r="H724">
        <v>1</v>
      </c>
      <c r="V724">
        <v>8000</v>
      </c>
      <c r="W724">
        <v>1000</v>
      </c>
      <c r="Y724">
        <v>8003</v>
      </c>
      <c r="Z724">
        <v>1</v>
      </c>
      <c r="AA724">
        <v>0.05</v>
      </c>
      <c r="AB724">
        <v>2008</v>
      </c>
      <c r="AC724">
        <v>31</v>
      </c>
      <c r="AD724">
        <v>1</v>
      </c>
    </row>
    <row r="725" spans="1:30" ht="38.25" customHeight="1">
      <c r="A725">
        <v>602</v>
      </c>
      <c r="B725" t="s">
        <v>3389</v>
      </c>
      <c r="D725" s="80" t="s">
        <v>3415</v>
      </c>
      <c r="E725">
        <v>75</v>
      </c>
      <c r="F725">
        <v>63</v>
      </c>
      <c r="G725" s="90" t="s">
        <v>3393</v>
      </c>
      <c r="H725">
        <v>1</v>
      </c>
      <c r="V725">
        <v>8000</v>
      </c>
      <c r="W725">
        <v>1000</v>
      </c>
      <c r="Y725">
        <v>8003</v>
      </c>
      <c r="Z725">
        <v>1</v>
      </c>
      <c r="AA725">
        <v>0.05</v>
      </c>
      <c r="AB725">
        <v>2008</v>
      </c>
      <c r="AC725">
        <v>31</v>
      </c>
      <c r="AD725">
        <v>1</v>
      </c>
    </row>
    <row r="726" spans="1:30" ht="38.25" customHeight="1">
      <c r="A726">
        <v>602</v>
      </c>
      <c r="B726" t="s">
        <v>3389</v>
      </c>
      <c r="D726" s="80" t="s">
        <v>3416</v>
      </c>
      <c r="E726">
        <v>75</v>
      </c>
      <c r="F726">
        <v>64</v>
      </c>
      <c r="G726" s="90" t="s">
        <v>3395</v>
      </c>
      <c r="H726">
        <v>1</v>
      </c>
      <c r="V726">
        <v>8000</v>
      </c>
      <c r="W726">
        <v>1000</v>
      </c>
      <c r="Y726">
        <v>8003</v>
      </c>
      <c r="Z726">
        <v>1</v>
      </c>
      <c r="AA726">
        <v>0.05</v>
      </c>
      <c r="AB726">
        <v>2008</v>
      </c>
      <c r="AC726">
        <v>31</v>
      </c>
      <c r="AD726">
        <v>1</v>
      </c>
    </row>
    <row r="727" spans="1:30" ht="38.25" customHeight="1">
      <c r="A727">
        <v>602</v>
      </c>
      <c r="B727" t="s">
        <v>3389</v>
      </c>
      <c r="D727" s="80" t="s">
        <v>3417</v>
      </c>
      <c r="E727">
        <v>75</v>
      </c>
      <c r="F727">
        <v>65</v>
      </c>
      <c r="G727" s="90" t="s">
        <v>3397</v>
      </c>
      <c r="H727">
        <v>1</v>
      </c>
      <c r="V727">
        <v>8000</v>
      </c>
      <c r="W727">
        <v>1000</v>
      </c>
      <c r="Y727">
        <v>8003</v>
      </c>
      <c r="Z727">
        <v>1</v>
      </c>
      <c r="AA727">
        <v>0.05</v>
      </c>
      <c r="AB727">
        <v>2008</v>
      </c>
      <c r="AC727">
        <v>31</v>
      </c>
      <c r="AD727">
        <v>1</v>
      </c>
    </row>
    <row r="728" spans="1:30" ht="38.25" customHeight="1">
      <c r="A728">
        <v>602</v>
      </c>
      <c r="B728" t="s">
        <v>3389</v>
      </c>
      <c r="D728" s="80" t="s">
        <v>3418</v>
      </c>
      <c r="E728">
        <v>75</v>
      </c>
      <c r="F728">
        <v>66</v>
      </c>
      <c r="G728" s="90" t="s">
        <v>3399</v>
      </c>
      <c r="H728">
        <v>1</v>
      </c>
      <c r="V728">
        <v>8000</v>
      </c>
      <c r="W728">
        <v>1000</v>
      </c>
      <c r="Y728">
        <v>8003</v>
      </c>
      <c r="Z728">
        <v>1</v>
      </c>
      <c r="AA728">
        <v>0.05</v>
      </c>
      <c r="AB728">
        <v>2008</v>
      </c>
      <c r="AC728">
        <v>31</v>
      </c>
      <c r="AD728">
        <v>1</v>
      </c>
    </row>
    <row r="729" spans="1:30" ht="38.25" customHeight="1">
      <c r="A729">
        <v>602</v>
      </c>
      <c r="B729" t="s">
        <v>3389</v>
      </c>
      <c r="D729" s="80" t="s">
        <v>3419</v>
      </c>
      <c r="E729">
        <v>75</v>
      </c>
      <c r="F729">
        <v>67</v>
      </c>
      <c r="G729" s="90" t="s">
        <v>3401</v>
      </c>
      <c r="H729">
        <v>1</v>
      </c>
      <c r="V729">
        <v>8000</v>
      </c>
      <c r="W729">
        <v>1000</v>
      </c>
      <c r="Y729">
        <v>8003</v>
      </c>
      <c r="Z729">
        <v>1</v>
      </c>
      <c r="AA729">
        <v>0.05</v>
      </c>
      <c r="AB729">
        <v>2008</v>
      </c>
      <c r="AC729">
        <v>31</v>
      </c>
      <c r="AD729">
        <v>1</v>
      </c>
    </row>
    <row r="730" spans="1:30" ht="38.25" customHeight="1">
      <c r="A730">
        <v>602</v>
      </c>
      <c r="B730" t="s">
        <v>3389</v>
      </c>
      <c r="D730" s="80" t="s">
        <v>3420</v>
      </c>
      <c r="E730">
        <v>75</v>
      </c>
      <c r="F730">
        <v>68</v>
      </c>
      <c r="G730" s="90" t="s">
        <v>3403</v>
      </c>
      <c r="H730">
        <v>1</v>
      </c>
      <c r="V730">
        <v>8000</v>
      </c>
      <c r="W730">
        <v>1000</v>
      </c>
      <c r="Y730">
        <v>8003</v>
      </c>
      <c r="Z730">
        <v>1</v>
      </c>
      <c r="AA730">
        <v>0.05</v>
      </c>
      <c r="AB730">
        <v>2008</v>
      </c>
      <c r="AC730">
        <v>31</v>
      </c>
      <c r="AD730">
        <v>1</v>
      </c>
    </row>
    <row r="731" spans="1:30" ht="38.25" customHeight="1">
      <c r="A731">
        <v>602</v>
      </c>
      <c r="B731" t="s">
        <v>3389</v>
      </c>
      <c r="D731" s="80" t="s">
        <v>3421</v>
      </c>
      <c r="E731">
        <v>75</v>
      </c>
      <c r="F731">
        <v>69</v>
      </c>
      <c r="G731" s="90" t="s">
        <v>3405</v>
      </c>
      <c r="H731">
        <v>1</v>
      </c>
      <c r="V731">
        <v>8000</v>
      </c>
      <c r="W731">
        <v>1000</v>
      </c>
      <c r="Y731">
        <v>8003</v>
      </c>
      <c r="Z731">
        <v>1</v>
      </c>
      <c r="AA731">
        <v>0.05</v>
      </c>
      <c r="AB731">
        <v>2008</v>
      </c>
      <c r="AC731">
        <v>31</v>
      </c>
      <c r="AD731">
        <v>1</v>
      </c>
    </row>
    <row r="732" spans="1:30" ht="38.25" customHeight="1">
      <c r="A732">
        <v>603</v>
      </c>
      <c r="B732" t="s">
        <v>3389</v>
      </c>
      <c r="D732" s="80" t="s">
        <v>3422</v>
      </c>
      <c r="E732">
        <v>100</v>
      </c>
      <c r="F732">
        <v>62</v>
      </c>
      <c r="G732" s="90" t="s">
        <v>3391</v>
      </c>
      <c r="H732">
        <v>1</v>
      </c>
      <c r="V732">
        <v>8000</v>
      </c>
      <c r="W732">
        <v>1000</v>
      </c>
      <c r="Y732">
        <v>8003</v>
      </c>
      <c r="Z732">
        <v>1</v>
      </c>
      <c r="AA732">
        <v>0.05</v>
      </c>
      <c r="AB732">
        <v>2008</v>
      </c>
      <c r="AC732">
        <v>40</v>
      </c>
      <c r="AD732">
        <v>1</v>
      </c>
    </row>
    <row r="733" spans="1:30" ht="38.25" customHeight="1">
      <c r="A733">
        <v>603</v>
      </c>
      <c r="B733" t="s">
        <v>3389</v>
      </c>
      <c r="D733" s="80" t="s">
        <v>3423</v>
      </c>
      <c r="E733">
        <v>100</v>
      </c>
      <c r="F733">
        <v>63</v>
      </c>
      <c r="G733" s="90" t="s">
        <v>3393</v>
      </c>
      <c r="H733">
        <v>1</v>
      </c>
      <c r="V733">
        <v>8000</v>
      </c>
      <c r="W733">
        <v>1000</v>
      </c>
      <c r="Y733">
        <v>8003</v>
      </c>
      <c r="Z733">
        <v>1</v>
      </c>
      <c r="AA733">
        <v>0.05</v>
      </c>
      <c r="AB733">
        <v>2008</v>
      </c>
      <c r="AC733">
        <v>40</v>
      </c>
      <c r="AD733">
        <v>1</v>
      </c>
    </row>
    <row r="734" spans="1:30" ht="38.25" customHeight="1">
      <c r="A734">
        <v>603</v>
      </c>
      <c r="B734" t="s">
        <v>3389</v>
      </c>
      <c r="D734" s="80" t="s">
        <v>3424</v>
      </c>
      <c r="E734">
        <v>100</v>
      </c>
      <c r="F734">
        <v>64</v>
      </c>
      <c r="G734" s="90" t="s">
        <v>3395</v>
      </c>
      <c r="H734">
        <v>1</v>
      </c>
      <c r="V734">
        <v>8000</v>
      </c>
      <c r="W734">
        <v>1000</v>
      </c>
      <c r="Y734">
        <v>8003</v>
      </c>
      <c r="Z734">
        <v>1</v>
      </c>
      <c r="AA734">
        <v>0.05</v>
      </c>
      <c r="AB734">
        <v>2008</v>
      </c>
      <c r="AC734">
        <v>40</v>
      </c>
      <c r="AD734">
        <v>1</v>
      </c>
    </row>
    <row r="735" spans="1:30" ht="38.25" customHeight="1">
      <c r="A735">
        <v>603</v>
      </c>
      <c r="B735" t="s">
        <v>3389</v>
      </c>
      <c r="D735" s="80" t="s">
        <v>3425</v>
      </c>
      <c r="E735">
        <v>100</v>
      </c>
      <c r="F735">
        <v>65</v>
      </c>
      <c r="G735" s="90" t="s">
        <v>3397</v>
      </c>
      <c r="H735">
        <v>1</v>
      </c>
      <c r="V735">
        <v>8000</v>
      </c>
      <c r="W735">
        <v>1000</v>
      </c>
      <c r="Y735">
        <v>8003</v>
      </c>
      <c r="Z735">
        <v>1</v>
      </c>
      <c r="AA735">
        <v>0.05</v>
      </c>
      <c r="AB735">
        <v>2008</v>
      </c>
      <c r="AC735">
        <v>40</v>
      </c>
      <c r="AD735">
        <v>1</v>
      </c>
    </row>
    <row r="736" spans="1:30" ht="38.25" customHeight="1">
      <c r="A736">
        <v>603</v>
      </c>
      <c r="B736" t="s">
        <v>3389</v>
      </c>
      <c r="D736" s="80" t="s">
        <v>3426</v>
      </c>
      <c r="E736">
        <v>100</v>
      </c>
      <c r="F736">
        <v>66</v>
      </c>
      <c r="G736" s="90" t="s">
        <v>3399</v>
      </c>
      <c r="H736">
        <v>1</v>
      </c>
      <c r="V736">
        <v>8000</v>
      </c>
      <c r="W736">
        <v>1000</v>
      </c>
      <c r="Y736">
        <v>8003</v>
      </c>
      <c r="Z736">
        <v>1</v>
      </c>
      <c r="AA736">
        <v>0.05</v>
      </c>
      <c r="AB736">
        <v>2008</v>
      </c>
      <c r="AC736">
        <v>40</v>
      </c>
      <c r="AD736">
        <v>1</v>
      </c>
    </row>
    <row r="737" spans="1:33" ht="38.25" customHeight="1">
      <c r="A737">
        <v>603</v>
      </c>
      <c r="B737" t="s">
        <v>3389</v>
      </c>
      <c r="D737" s="80" t="s">
        <v>3427</v>
      </c>
      <c r="E737">
        <v>100</v>
      </c>
      <c r="F737">
        <v>67</v>
      </c>
      <c r="G737" s="90" t="s">
        <v>3401</v>
      </c>
      <c r="H737">
        <v>1</v>
      </c>
      <c r="V737">
        <v>8000</v>
      </c>
      <c r="W737">
        <v>1000</v>
      </c>
      <c r="Y737">
        <v>8003</v>
      </c>
      <c r="Z737">
        <v>1</v>
      </c>
      <c r="AA737">
        <v>0.05</v>
      </c>
      <c r="AB737">
        <v>2008</v>
      </c>
      <c r="AC737">
        <v>40</v>
      </c>
      <c r="AD737">
        <v>1</v>
      </c>
    </row>
    <row r="738" spans="1:33" ht="38.25" customHeight="1">
      <c r="A738">
        <v>603</v>
      </c>
      <c r="B738" t="s">
        <v>3389</v>
      </c>
      <c r="D738" s="80" t="s">
        <v>3428</v>
      </c>
      <c r="E738">
        <v>100</v>
      </c>
      <c r="F738">
        <v>68</v>
      </c>
      <c r="G738" s="90" t="s">
        <v>3403</v>
      </c>
      <c r="H738">
        <v>1</v>
      </c>
      <c r="V738">
        <v>8000</v>
      </c>
      <c r="W738">
        <v>1000</v>
      </c>
      <c r="Y738">
        <v>8003</v>
      </c>
      <c r="Z738">
        <v>1</v>
      </c>
      <c r="AA738">
        <v>0.05</v>
      </c>
      <c r="AB738">
        <v>2008</v>
      </c>
      <c r="AC738">
        <v>40</v>
      </c>
      <c r="AD738">
        <v>1</v>
      </c>
    </row>
    <row r="739" spans="1:33" ht="38.25" customHeight="1">
      <c r="A739">
        <v>603</v>
      </c>
      <c r="B739" t="s">
        <v>3389</v>
      </c>
      <c r="D739" s="80" t="s">
        <v>3429</v>
      </c>
      <c r="E739">
        <v>100</v>
      </c>
      <c r="F739">
        <v>69</v>
      </c>
      <c r="G739" s="90" t="s">
        <v>3405</v>
      </c>
      <c r="H739">
        <v>1</v>
      </c>
      <c r="V739">
        <v>8000</v>
      </c>
      <c r="W739">
        <v>1000</v>
      </c>
      <c r="Y739">
        <v>8003</v>
      </c>
      <c r="Z739">
        <v>1</v>
      </c>
      <c r="AA739">
        <v>0.05</v>
      </c>
      <c r="AB739">
        <v>2008</v>
      </c>
      <c r="AC739">
        <v>40</v>
      </c>
      <c r="AD739">
        <v>1</v>
      </c>
    </row>
    <row r="741" spans="1:33">
      <c r="A741" t="s">
        <v>1603</v>
      </c>
      <c r="B741" t="s">
        <v>733</v>
      </c>
      <c r="C741" t="s">
        <v>1604</v>
      </c>
      <c r="D741" t="s">
        <v>1605</v>
      </c>
      <c r="E741" t="s">
        <v>63</v>
      </c>
      <c r="F741" t="s">
        <v>1606</v>
      </c>
      <c r="G741" t="s">
        <v>1607</v>
      </c>
      <c r="H741" t="s">
        <v>1608</v>
      </c>
      <c r="I741" t="s">
        <v>1609</v>
      </c>
      <c r="J741" t="s">
        <v>1610</v>
      </c>
      <c r="K741" t="s">
        <v>1611</v>
      </c>
      <c r="L741" t="s">
        <v>1612</v>
      </c>
      <c r="M741" t="s">
        <v>1613</v>
      </c>
      <c r="N741" t="s">
        <v>1614</v>
      </c>
      <c r="O741" t="s">
        <v>1615</v>
      </c>
      <c r="P741" t="s">
        <v>1616</v>
      </c>
      <c r="Q741" t="s">
        <v>1617</v>
      </c>
      <c r="R741" t="s">
        <v>1618</v>
      </c>
      <c r="S741" t="s">
        <v>1619</v>
      </c>
      <c r="T741" t="s">
        <v>1620</v>
      </c>
      <c r="U741" t="s">
        <v>1621</v>
      </c>
      <c r="V741" t="s">
        <v>1622</v>
      </c>
      <c r="W741" t="s">
        <v>1623</v>
      </c>
      <c r="X741" t="s">
        <v>1624</v>
      </c>
      <c r="Y741" t="s">
        <v>1625</v>
      </c>
      <c r="Z741" t="s">
        <v>1626</v>
      </c>
      <c r="AA741" t="s">
        <v>1627</v>
      </c>
    </row>
    <row r="742" spans="1:33" ht="102" customHeight="1">
      <c r="A742">
        <v>700</v>
      </c>
      <c r="B742" t="s">
        <v>1602</v>
      </c>
      <c r="D742" s="80" t="s">
        <v>3430</v>
      </c>
      <c r="G742" s="90" t="s">
        <v>3431</v>
      </c>
      <c r="I742">
        <v>1000</v>
      </c>
      <c r="J742" s="80" t="s">
        <v>2049</v>
      </c>
      <c r="K742" t="s">
        <v>767</v>
      </c>
      <c r="L742">
        <v>9009</v>
      </c>
      <c r="M742" t="s">
        <v>2285</v>
      </c>
      <c r="N742">
        <v>0</v>
      </c>
      <c r="O742">
        <v>0.35</v>
      </c>
      <c r="P742" s="80" t="s">
        <v>1965</v>
      </c>
      <c r="Q742" t="s">
        <v>769</v>
      </c>
      <c r="R742">
        <v>9010</v>
      </c>
      <c r="S742" t="s">
        <v>2972</v>
      </c>
      <c r="T742">
        <v>0</v>
      </c>
      <c r="U742">
        <v>0.7</v>
      </c>
      <c r="V742">
        <v>70001</v>
      </c>
      <c r="W742">
        <v>1</v>
      </c>
      <c r="X742">
        <v>1</v>
      </c>
      <c r="Y742">
        <v>70002</v>
      </c>
      <c r="Z742">
        <v>1</v>
      </c>
      <c r="AA742">
        <v>1</v>
      </c>
      <c r="AB742">
        <v>2000</v>
      </c>
      <c r="AC742">
        <v>2</v>
      </c>
      <c r="AD742">
        <v>1</v>
      </c>
      <c r="AE742" t="s">
        <v>3432</v>
      </c>
      <c r="AF742">
        <v>1</v>
      </c>
      <c r="AG742">
        <v>0.5</v>
      </c>
    </row>
    <row r="743" spans="1:33" ht="153" customHeight="1">
      <c r="A743">
        <v>701</v>
      </c>
      <c r="B743" t="s">
        <v>1602</v>
      </c>
      <c r="D743" s="80" t="s">
        <v>3433</v>
      </c>
      <c r="G743" s="90" t="s">
        <v>3434</v>
      </c>
      <c r="I743">
        <v>2000</v>
      </c>
      <c r="J743" s="80" t="s">
        <v>2049</v>
      </c>
      <c r="K743" t="s">
        <v>767</v>
      </c>
      <c r="L743">
        <v>9009</v>
      </c>
      <c r="M743" t="s">
        <v>2285</v>
      </c>
      <c r="N743">
        <v>0</v>
      </c>
      <c r="O743">
        <v>0.4</v>
      </c>
      <c r="P743" s="80" t="s">
        <v>1965</v>
      </c>
      <c r="Q743" t="s">
        <v>769</v>
      </c>
      <c r="R743">
        <v>9010</v>
      </c>
      <c r="S743" t="s">
        <v>2972</v>
      </c>
      <c r="T743">
        <v>0</v>
      </c>
      <c r="U743">
        <v>0.7</v>
      </c>
      <c r="V743">
        <v>70001</v>
      </c>
      <c r="W743">
        <v>2</v>
      </c>
      <c r="X743">
        <v>1</v>
      </c>
      <c r="Y743">
        <v>70002</v>
      </c>
      <c r="Z743">
        <v>2</v>
      </c>
      <c r="AA743">
        <v>1</v>
      </c>
      <c r="AB743">
        <v>2000</v>
      </c>
      <c r="AC743">
        <v>4</v>
      </c>
      <c r="AD743">
        <v>1</v>
      </c>
      <c r="AE743" t="s">
        <v>3432</v>
      </c>
      <c r="AF743">
        <v>2</v>
      </c>
      <c r="AG743">
        <v>0.5</v>
      </c>
    </row>
    <row r="744" spans="1:33" ht="204" customHeight="1">
      <c r="A744">
        <v>702</v>
      </c>
      <c r="B744" t="s">
        <v>1602</v>
      </c>
      <c r="D744" s="80" t="s">
        <v>3435</v>
      </c>
      <c r="G744" s="90" t="s">
        <v>3436</v>
      </c>
      <c r="I744">
        <v>3000</v>
      </c>
      <c r="J744" s="80" t="s">
        <v>2049</v>
      </c>
      <c r="K744" t="s">
        <v>767</v>
      </c>
      <c r="L744">
        <v>9009</v>
      </c>
      <c r="M744" t="s">
        <v>2285</v>
      </c>
      <c r="N744">
        <v>0</v>
      </c>
      <c r="O744">
        <v>0.45</v>
      </c>
      <c r="P744" s="80" t="s">
        <v>1965</v>
      </c>
      <c r="Q744" t="s">
        <v>769</v>
      </c>
      <c r="R744">
        <v>9010</v>
      </c>
      <c r="S744" t="s">
        <v>2972</v>
      </c>
      <c r="T744">
        <v>0</v>
      </c>
      <c r="U744">
        <v>0.7</v>
      </c>
      <c r="V744">
        <v>70001</v>
      </c>
      <c r="W744">
        <v>3</v>
      </c>
      <c r="X744">
        <v>1</v>
      </c>
      <c r="Y744">
        <v>70002</v>
      </c>
      <c r="Z744">
        <v>3</v>
      </c>
      <c r="AA744">
        <v>1</v>
      </c>
      <c r="AB744">
        <v>2000</v>
      </c>
      <c r="AC744">
        <v>6</v>
      </c>
      <c r="AD744">
        <v>1</v>
      </c>
      <c r="AE744" t="s">
        <v>3432</v>
      </c>
      <c r="AF744">
        <v>3</v>
      </c>
      <c r="AG744">
        <v>0.5</v>
      </c>
    </row>
    <row r="745" spans="1:33" ht="255" customHeight="1">
      <c r="A745">
        <v>703</v>
      </c>
      <c r="B745" t="s">
        <v>1602</v>
      </c>
      <c r="D745" s="80" t="s">
        <v>3437</v>
      </c>
      <c r="G745" s="90" t="s">
        <v>3438</v>
      </c>
      <c r="I745">
        <v>4000</v>
      </c>
      <c r="J745" s="80" t="s">
        <v>2049</v>
      </c>
      <c r="K745" t="s">
        <v>767</v>
      </c>
      <c r="L745">
        <v>9009</v>
      </c>
      <c r="M745" t="s">
        <v>2285</v>
      </c>
      <c r="N745">
        <v>0</v>
      </c>
      <c r="O745">
        <v>0.5</v>
      </c>
      <c r="P745" s="80" t="s">
        <v>1965</v>
      </c>
      <c r="Q745" t="s">
        <v>769</v>
      </c>
      <c r="R745">
        <v>9010</v>
      </c>
      <c r="S745" t="s">
        <v>2972</v>
      </c>
      <c r="T745">
        <v>0</v>
      </c>
      <c r="U745">
        <v>0.7</v>
      </c>
      <c r="V745">
        <v>70001</v>
      </c>
      <c r="W745">
        <v>4</v>
      </c>
      <c r="X745">
        <v>1</v>
      </c>
      <c r="Y745">
        <v>70002</v>
      </c>
      <c r="Z745">
        <v>4</v>
      </c>
      <c r="AA745">
        <v>1</v>
      </c>
      <c r="AB745">
        <v>2000</v>
      </c>
      <c r="AC745">
        <v>8</v>
      </c>
      <c r="AD745">
        <v>1</v>
      </c>
      <c r="AE745" t="s">
        <v>3432</v>
      </c>
      <c r="AF745">
        <v>4</v>
      </c>
      <c r="AG745">
        <v>0.5</v>
      </c>
    </row>
    <row r="746" spans="1:33" ht="306" customHeight="1">
      <c r="A746">
        <v>704</v>
      </c>
      <c r="B746" t="s">
        <v>1602</v>
      </c>
      <c r="D746" s="80" t="s">
        <v>3439</v>
      </c>
      <c r="G746" s="90" t="s">
        <v>3440</v>
      </c>
      <c r="I746">
        <v>5000</v>
      </c>
      <c r="J746" s="80" t="s">
        <v>2049</v>
      </c>
      <c r="K746" t="s">
        <v>767</v>
      </c>
      <c r="L746">
        <v>9009</v>
      </c>
      <c r="M746" t="s">
        <v>2285</v>
      </c>
      <c r="N746">
        <v>0</v>
      </c>
      <c r="O746">
        <v>0.55000000000000004</v>
      </c>
      <c r="P746" s="80" t="s">
        <v>1965</v>
      </c>
      <c r="Q746" t="s">
        <v>769</v>
      </c>
      <c r="R746">
        <v>9010</v>
      </c>
      <c r="S746" t="s">
        <v>2972</v>
      </c>
      <c r="T746">
        <v>0</v>
      </c>
      <c r="U746">
        <v>0.7</v>
      </c>
      <c r="V746">
        <v>70001</v>
      </c>
      <c r="W746">
        <v>5</v>
      </c>
      <c r="X746">
        <v>1</v>
      </c>
      <c r="Y746">
        <v>70002</v>
      </c>
      <c r="Z746">
        <v>5</v>
      </c>
      <c r="AA746">
        <v>1</v>
      </c>
      <c r="AB746">
        <v>2000</v>
      </c>
      <c r="AC746">
        <v>10</v>
      </c>
      <c r="AD746">
        <v>1</v>
      </c>
      <c r="AE746" t="s">
        <v>3432</v>
      </c>
      <c r="AF746">
        <v>5</v>
      </c>
      <c r="AG746">
        <v>0.5</v>
      </c>
    </row>
    <row r="747" spans="1:33" ht="357" customHeight="1">
      <c r="A747">
        <v>705</v>
      </c>
      <c r="B747" t="s">
        <v>1602</v>
      </c>
      <c r="D747" s="80" t="s">
        <v>3441</v>
      </c>
      <c r="G747" s="90" t="s">
        <v>3442</v>
      </c>
      <c r="I747">
        <v>6000</v>
      </c>
      <c r="J747" s="80" t="s">
        <v>2049</v>
      </c>
      <c r="K747" t="s">
        <v>767</v>
      </c>
      <c r="L747">
        <v>9009</v>
      </c>
      <c r="M747" t="s">
        <v>2285</v>
      </c>
      <c r="N747">
        <v>0</v>
      </c>
      <c r="O747">
        <v>0.6</v>
      </c>
      <c r="P747" s="80" t="s">
        <v>1965</v>
      </c>
      <c r="Q747" t="s">
        <v>769</v>
      </c>
      <c r="R747">
        <v>9010</v>
      </c>
      <c r="S747" t="s">
        <v>2972</v>
      </c>
      <c r="T747">
        <v>0</v>
      </c>
      <c r="U747">
        <v>0.7</v>
      </c>
      <c r="V747">
        <v>70001</v>
      </c>
      <c r="W747">
        <v>6</v>
      </c>
      <c r="X747">
        <v>1</v>
      </c>
      <c r="Y747">
        <v>70002</v>
      </c>
      <c r="Z747">
        <v>6</v>
      </c>
      <c r="AA747">
        <v>1</v>
      </c>
      <c r="AB747">
        <v>2000</v>
      </c>
      <c r="AC747">
        <v>12</v>
      </c>
      <c r="AD747">
        <v>1</v>
      </c>
      <c r="AE747" t="s">
        <v>3432</v>
      </c>
      <c r="AF747">
        <v>6</v>
      </c>
      <c r="AG747">
        <v>0.5</v>
      </c>
    </row>
    <row r="748" spans="1:33" ht="408" customHeight="1">
      <c r="A748">
        <v>706</v>
      </c>
      <c r="B748" t="s">
        <v>1602</v>
      </c>
      <c r="D748" s="80" t="s">
        <v>3443</v>
      </c>
      <c r="G748" s="90" t="s">
        <v>3444</v>
      </c>
      <c r="I748">
        <v>7000</v>
      </c>
      <c r="J748" s="80" t="s">
        <v>2049</v>
      </c>
      <c r="K748" t="s">
        <v>767</v>
      </c>
      <c r="L748">
        <v>9009</v>
      </c>
      <c r="M748" t="s">
        <v>2285</v>
      </c>
      <c r="N748">
        <v>0</v>
      </c>
      <c r="O748">
        <v>0.65</v>
      </c>
      <c r="P748" s="80" t="s">
        <v>1965</v>
      </c>
      <c r="Q748" t="s">
        <v>769</v>
      </c>
      <c r="R748">
        <v>9010</v>
      </c>
      <c r="S748" t="s">
        <v>2972</v>
      </c>
      <c r="T748">
        <v>0</v>
      </c>
      <c r="U748">
        <v>0.7</v>
      </c>
      <c r="V748">
        <v>70001</v>
      </c>
      <c r="W748">
        <v>7</v>
      </c>
      <c r="X748">
        <v>1</v>
      </c>
      <c r="Y748">
        <v>70002</v>
      </c>
      <c r="Z748">
        <v>7</v>
      </c>
      <c r="AA748">
        <v>1</v>
      </c>
      <c r="AB748">
        <v>2000</v>
      </c>
      <c r="AC748">
        <v>14</v>
      </c>
      <c r="AD748">
        <v>1</v>
      </c>
      <c r="AE748" t="s">
        <v>3432</v>
      </c>
      <c r="AF748">
        <v>7</v>
      </c>
      <c r="AG748">
        <v>0.5</v>
      </c>
    </row>
    <row r="749" spans="1:33" ht="409.5" customHeight="1">
      <c r="A749">
        <v>707</v>
      </c>
      <c r="B749" t="s">
        <v>1602</v>
      </c>
      <c r="D749" s="80" t="s">
        <v>3445</v>
      </c>
      <c r="G749" s="90" t="s">
        <v>3446</v>
      </c>
      <c r="I749">
        <v>8000</v>
      </c>
      <c r="J749" s="80" t="s">
        <v>2049</v>
      </c>
      <c r="K749" t="s">
        <v>767</v>
      </c>
      <c r="L749">
        <v>9009</v>
      </c>
      <c r="M749" t="s">
        <v>2285</v>
      </c>
      <c r="N749">
        <v>0</v>
      </c>
      <c r="O749">
        <v>0.7</v>
      </c>
      <c r="P749" s="80" t="s">
        <v>1965</v>
      </c>
      <c r="Q749" t="s">
        <v>769</v>
      </c>
      <c r="R749">
        <v>9010</v>
      </c>
      <c r="S749" t="s">
        <v>2972</v>
      </c>
      <c r="T749">
        <v>0</v>
      </c>
      <c r="U749">
        <v>0.7</v>
      </c>
      <c r="V749">
        <v>70001</v>
      </c>
      <c r="W749">
        <v>8</v>
      </c>
      <c r="X749">
        <v>1</v>
      </c>
      <c r="Y749">
        <v>70002</v>
      </c>
      <c r="Z749">
        <v>8</v>
      </c>
      <c r="AA749">
        <v>1</v>
      </c>
      <c r="AB749">
        <v>2000</v>
      </c>
      <c r="AC749">
        <v>16</v>
      </c>
      <c r="AD749">
        <v>1</v>
      </c>
      <c r="AE749" t="s">
        <v>3432</v>
      </c>
      <c r="AF749">
        <v>8</v>
      </c>
      <c r="AG749">
        <v>0.5</v>
      </c>
    </row>
    <row r="750" spans="1:33" ht="409.5" customHeight="1">
      <c r="A750">
        <v>708</v>
      </c>
      <c r="B750" t="s">
        <v>1602</v>
      </c>
      <c r="D750" s="80" t="s">
        <v>3447</v>
      </c>
      <c r="G750" s="90" t="s">
        <v>3448</v>
      </c>
      <c r="I750">
        <v>9000</v>
      </c>
      <c r="J750" s="80" t="s">
        <v>2049</v>
      </c>
      <c r="K750" t="s">
        <v>767</v>
      </c>
      <c r="L750">
        <v>9009</v>
      </c>
      <c r="M750" t="s">
        <v>2285</v>
      </c>
      <c r="N750">
        <v>0</v>
      </c>
      <c r="O750">
        <v>0.75</v>
      </c>
      <c r="P750" s="80" t="s">
        <v>1965</v>
      </c>
      <c r="Q750" t="s">
        <v>769</v>
      </c>
      <c r="R750">
        <v>9010</v>
      </c>
      <c r="S750" t="s">
        <v>2972</v>
      </c>
      <c r="T750">
        <v>0</v>
      </c>
      <c r="U750">
        <v>0.7</v>
      </c>
      <c r="V750">
        <v>70001</v>
      </c>
      <c r="W750">
        <v>9</v>
      </c>
      <c r="X750">
        <v>1</v>
      </c>
      <c r="Y750">
        <v>70002</v>
      </c>
      <c r="Z750">
        <v>9</v>
      </c>
      <c r="AA750">
        <v>1</v>
      </c>
      <c r="AB750">
        <v>2000</v>
      </c>
      <c r="AC750">
        <v>18</v>
      </c>
      <c r="AD750">
        <v>1</v>
      </c>
      <c r="AE750" t="s">
        <v>3432</v>
      </c>
      <c r="AF750">
        <v>9</v>
      </c>
      <c r="AG750">
        <v>0.5</v>
      </c>
    </row>
    <row r="751" spans="1:33" ht="409.5" customHeight="1">
      <c r="A751">
        <v>709</v>
      </c>
      <c r="B751" t="s">
        <v>1602</v>
      </c>
      <c r="D751" s="80" t="s">
        <v>3449</v>
      </c>
      <c r="G751" s="90" t="s">
        <v>3450</v>
      </c>
      <c r="I751">
        <v>10000</v>
      </c>
      <c r="J751" s="80" t="s">
        <v>2049</v>
      </c>
      <c r="K751" t="s">
        <v>767</v>
      </c>
      <c r="L751">
        <v>9009</v>
      </c>
      <c r="M751" t="s">
        <v>2285</v>
      </c>
      <c r="N751">
        <v>0</v>
      </c>
      <c r="O751">
        <v>0.8</v>
      </c>
      <c r="P751" s="80" t="s">
        <v>1965</v>
      </c>
      <c r="Q751" t="s">
        <v>769</v>
      </c>
      <c r="R751">
        <v>9010</v>
      </c>
      <c r="S751" t="s">
        <v>2972</v>
      </c>
      <c r="T751">
        <v>0</v>
      </c>
      <c r="U751">
        <v>0.7</v>
      </c>
      <c r="V751">
        <v>70001</v>
      </c>
      <c r="W751">
        <v>10</v>
      </c>
      <c r="X751">
        <v>1</v>
      </c>
      <c r="Y751">
        <v>70002</v>
      </c>
      <c r="Z751">
        <v>10</v>
      </c>
      <c r="AA751">
        <v>1</v>
      </c>
      <c r="AB751">
        <v>2000</v>
      </c>
      <c r="AC751">
        <v>20</v>
      </c>
      <c r="AD751">
        <v>1</v>
      </c>
      <c r="AE751" t="s">
        <v>3432</v>
      </c>
      <c r="AF751">
        <v>10</v>
      </c>
      <c r="AG751">
        <v>0.5</v>
      </c>
    </row>
    <row r="752" spans="1:33" ht="409.5" customHeight="1">
      <c r="A752">
        <v>710</v>
      </c>
      <c r="B752" t="s">
        <v>1602</v>
      </c>
      <c r="D752" s="80" t="s">
        <v>3451</v>
      </c>
      <c r="G752" s="90" t="s">
        <v>3452</v>
      </c>
      <c r="I752">
        <v>11000</v>
      </c>
      <c r="J752" s="80" t="s">
        <v>2049</v>
      </c>
      <c r="K752" t="s">
        <v>767</v>
      </c>
      <c r="L752">
        <v>9009</v>
      </c>
      <c r="M752" t="s">
        <v>2285</v>
      </c>
      <c r="N752">
        <v>0</v>
      </c>
      <c r="O752">
        <v>0.85</v>
      </c>
      <c r="P752" s="80" t="s">
        <v>1965</v>
      </c>
      <c r="Q752" t="s">
        <v>769</v>
      </c>
      <c r="R752">
        <v>9010</v>
      </c>
      <c r="S752" t="s">
        <v>2972</v>
      </c>
      <c r="T752">
        <v>0</v>
      </c>
      <c r="U752">
        <v>0.7</v>
      </c>
      <c r="V752">
        <v>70001</v>
      </c>
      <c r="W752">
        <v>11</v>
      </c>
      <c r="X752">
        <v>1</v>
      </c>
      <c r="Y752">
        <v>70002</v>
      </c>
      <c r="Z752">
        <v>11</v>
      </c>
      <c r="AA752">
        <v>1</v>
      </c>
      <c r="AB752">
        <v>2000</v>
      </c>
      <c r="AC752">
        <v>22</v>
      </c>
      <c r="AD752">
        <v>1</v>
      </c>
      <c r="AE752" t="s">
        <v>3432</v>
      </c>
      <c r="AF752">
        <v>11</v>
      </c>
      <c r="AG752">
        <v>0.5</v>
      </c>
    </row>
    <row r="753" spans="1:33" ht="409.5" customHeight="1">
      <c r="A753">
        <v>711</v>
      </c>
      <c r="B753" t="s">
        <v>1602</v>
      </c>
      <c r="D753" s="80" t="s">
        <v>3453</v>
      </c>
      <c r="G753" s="90" t="s">
        <v>3454</v>
      </c>
      <c r="I753">
        <v>12000</v>
      </c>
      <c r="J753" s="80" t="s">
        <v>2049</v>
      </c>
      <c r="K753" t="s">
        <v>767</v>
      </c>
      <c r="L753">
        <v>9009</v>
      </c>
      <c r="M753" t="s">
        <v>2285</v>
      </c>
      <c r="N753">
        <v>0</v>
      </c>
      <c r="O753">
        <v>0.9</v>
      </c>
      <c r="P753" s="80" t="s">
        <v>1965</v>
      </c>
      <c r="Q753" t="s">
        <v>769</v>
      </c>
      <c r="R753">
        <v>9010</v>
      </c>
      <c r="S753" t="s">
        <v>2972</v>
      </c>
      <c r="T753">
        <v>0</v>
      </c>
      <c r="U753">
        <v>0.7</v>
      </c>
      <c r="V753">
        <v>70001</v>
      </c>
      <c r="W753">
        <v>12</v>
      </c>
      <c r="X753">
        <v>1</v>
      </c>
      <c r="Y753">
        <v>70002</v>
      </c>
      <c r="Z753">
        <v>12</v>
      </c>
      <c r="AA753">
        <v>1</v>
      </c>
      <c r="AB753">
        <v>2000</v>
      </c>
      <c r="AC753">
        <v>24</v>
      </c>
      <c r="AD753">
        <v>1</v>
      </c>
      <c r="AE753" t="s">
        <v>3432</v>
      </c>
      <c r="AF753">
        <v>12</v>
      </c>
      <c r="AG753">
        <v>0.5</v>
      </c>
    </row>
    <row r="754" spans="1:33" ht="409.5" customHeight="1">
      <c r="A754">
        <v>712</v>
      </c>
      <c r="B754" t="s">
        <v>1602</v>
      </c>
      <c r="D754" s="80" t="s">
        <v>3455</v>
      </c>
      <c r="G754" s="90" t="s">
        <v>3456</v>
      </c>
      <c r="I754">
        <v>13000</v>
      </c>
      <c r="J754" s="80" t="s">
        <v>2049</v>
      </c>
      <c r="K754" t="s">
        <v>767</v>
      </c>
      <c r="L754">
        <v>9009</v>
      </c>
      <c r="M754" t="s">
        <v>2285</v>
      </c>
      <c r="N754">
        <v>0</v>
      </c>
      <c r="O754">
        <v>0.95</v>
      </c>
      <c r="P754" s="80" t="s">
        <v>1965</v>
      </c>
      <c r="Q754" t="s">
        <v>769</v>
      </c>
      <c r="R754">
        <v>9010</v>
      </c>
      <c r="S754" t="s">
        <v>2972</v>
      </c>
      <c r="T754">
        <v>0</v>
      </c>
      <c r="U754">
        <v>0.7</v>
      </c>
      <c r="V754">
        <v>70001</v>
      </c>
      <c r="W754">
        <v>13</v>
      </c>
      <c r="X754">
        <v>1</v>
      </c>
      <c r="Y754">
        <v>70002</v>
      </c>
      <c r="Z754">
        <v>13</v>
      </c>
      <c r="AA754">
        <v>1</v>
      </c>
      <c r="AB754">
        <v>2000</v>
      </c>
      <c r="AC754">
        <v>26</v>
      </c>
      <c r="AD754">
        <v>1</v>
      </c>
      <c r="AE754" t="s">
        <v>3432</v>
      </c>
      <c r="AF754">
        <v>13</v>
      </c>
      <c r="AG754">
        <v>0.5</v>
      </c>
    </row>
    <row r="755" spans="1:33" ht="409.5" customHeight="1">
      <c r="A755">
        <v>713</v>
      </c>
      <c r="B755" t="s">
        <v>1602</v>
      </c>
      <c r="D755" s="80" t="s">
        <v>3457</v>
      </c>
      <c r="G755" s="90" t="s">
        <v>3458</v>
      </c>
      <c r="I755">
        <v>14000</v>
      </c>
      <c r="J755" s="80" t="s">
        <v>2049</v>
      </c>
      <c r="K755" t="s">
        <v>767</v>
      </c>
      <c r="L755">
        <v>9009</v>
      </c>
      <c r="M755" t="s">
        <v>2285</v>
      </c>
      <c r="N755">
        <v>0</v>
      </c>
      <c r="O755">
        <v>1</v>
      </c>
      <c r="P755" s="80" t="s">
        <v>1965</v>
      </c>
      <c r="Q755" t="s">
        <v>769</v>
      </c>
      <c r="R755">
        <v>9010</v>
      </c>
      <c r="S755" t="s">
        <v>2972</v>
      </c>
      <c r="T755">
        <v>0</v>
      </c>
      <c r="U755">
        <v>0.7</v>
      </c>
      <c r="V755">
        <v>70001</v>
      </c>
      <c r="W755">
        <v>14</v>
      </c>
      <c r="X755">
        <v>1</v>
      </c>
      <c r="Y755">
        <v>70002</v>
      </c>
      <c r="Z755">
        <v>14</v>
      </c>
      <c r="AA755">
        <v>1</v>
      </c>
      <c r="AB755">
        <v>2000</v>
      </c>
      <c r="AC755">
        <v>28</v>
      </c>
      <c r="AD755">
        <v>1</v>
      </c>
      <c r="AE755" t="s">
        <v>3432</v>
      </c>
      <c r="AF755">
        <v>14</v>
      </c>
      <c r="AG755">
        <v>0.5</v>
      </c>
    </row>
    <row r="756" spans="1:33" ht="409.5" customHeight="1">
      <c r="A756">
        <v>714</v>
      </c>
      <c r="B756" t="s">
        <v>1602</v>
      </c>
      <c r="D756" s="80" t="s">
        <v>3459</v>
      </c>
      <c r="G756" s="90" t="s">
        <v>3460</v>
      </c>
      <c r="I756">
        <v>15000</v>
      </c>
      <c r="J756" s="80" t="s">
        <v>2049</v>
      </c>
      <c r="K756" t="s">
        <v>767</v>
      </c>
      <c r="L756">
        <v>9009</v>
      </c>
      <c r="M756" t="s">
        <v>2285</v>
      </c>
      <c r="N756">
        <v>0</v>
      </c>
      <c r="O756">
        <v>1</v>
      </c>
      <c r="P756" s="80" t="s">
        <v>1965</v>
      </c>
      <c r="Q756" t="s">
        <v>769</v>
      </c>
      <c r="R756">
        <v>9010</v>
      </c>
      <c r="S756" t="s">
        <v>2972</v>
      </c>
      <c r="T756">
        <v>0</v>
      </c>
      <c r="U756">
        <v>0.7</v>
      </c>
      <c r="V756">
        <v>70001</v>
      </c>
      <c r="W756">
        <v>15</v>
      </c>
      <c r="X756">
        <v>1</v>
      </c>
      <c r="Y756">
        <v>70002</v>
      </c>
      <c r="Z756">
        <v>15</v>
      </c>
      <c r="AA756">
        <v>1</v>
      </c>
      <c r="AB756">
        <v>2000</v>
      </c>
      <c r="AC756">
        <v>30</v>
      </c>
      <c r="AD756">
        <v>1</v>
      </c>
      <c r="AE756" t="s">
        <v>3432</v>
      </c>
      <c r="AF756">
        <v>15</v>
      </c>
      <c r="AG756">
        <v>0.5</v>
      </c>
    </row>
    <row r="758" spans="1:33">
      <c r="A758" t="s">
        <v>1603</v>
      </c>
      <c r="B758" t="s">
        <v>733</v>
      </c>
      <c r="C758" t="s">
        <v>1604</v>
      </c>
      <c r="D758" t="s">
        <v>1605</v>
      </c>
      <c r="E758" t="s">
        <v>63</v>
      </c>
      <c r="F758" t="s">
        <v>1606</v>
      </c>
      <c r="G758" t="s">
        <v>1607</v>
      </c>
      <c r="H758" t="s">
        <v>1608</v>
      </c>
      <c r="I758" t="s">
        <v>1609</v>
      </c>
      <c r="J758" t="s">
        <v>1610</v>
      </c>
      <c r="K758" t="s">
        <v>1611</v>
      </c>
      <c r="L758" t="s">
        <v>1612</v>
      </c>
      <c r="M758" t="s">
        <v>1613</v>
      </c>
      <c r="N758" t="s">
        <v>1614</v>
      </c>
      <c r="O758" t="s">
        <v>1615</v>
      </c>
      <c r="P758" t="s">
        <v>1616</v>
      </c>
      <c r="Q758" t="s">
        <v>1617</v>
      </c>
      <c r="R758" t="s">
        <v>1618</v>
      </c>
      <c r="S758" t="s">
        <v>1619</v>
      </c>
      <c r="T758" t="s">
        <v>1620</v>
      </c>
      <c r="U758" t="s">
        <v>1621</v>
      </c>
      <c r="V758" t="s">
        <v>1622</v>
      </c>
      <c r="W758" t="s">
        <v>1623</v>
      </c>
      <c r="X758" t="s">
        <v>1624</v>
      </c>
      <c r="Y758" t="s">
        <v>1625</v>
      </c>
      <c r="Z758" t="s">
        <v>1626</v>
      </c>
      <c r="AA758" t="s">
        <v>1627</v>
      </c>
    </row>
    <row r="759" spans="1:33" ht="38.25" customHeight="1">
      <c r="A759">
        <v>801</v>
      </c>
      <c r="B759" t="s">
        <v>3461</v>
      </c>
      <c r="C759">
        <v>3</v>
      </c>
      <c r="D759" s="80" t="s">
        <v>3462</v>
      </c>
      <c r="G759" s="90" t="s">
        <v>3463</v>
      </c>
      <c r="V759">
        <v>8000</v>
      </c>
      <c r="W759">
        <v>1000</v>
      </c>
      <c r="AB759" t="s">
        <v>3464</v>
      </c>
      <c r="AC759">
        <v>1</v>
      </c>
      <c r="AD759">
        <v>0.2</v>
      </c>
      <c r="AE759">
        <v>2002</v>
      </c>
      <c r="AF759">
        <v>3</v>
      </c>
      <c r="AG759">
        <v>1</v>
      </c>
    </row>
    <row r="760" spans="1:33" ht="38.25" customHeight="1">
      <c r="A760">
        <v>802</v>
      </c>
      <c r="B760" t="s">
        <v>3461</v>
      </c>
      <c r="C760">
        <v>3</v>
      </c>
      <c r="D760" s="80" t="s">
        <v>3465</v>
      </c>
      <c r="G760" s="90" t="s">
        <v>3466</v>
      </c>
      <c r="V760">
        <v>8000</v>
      </c>
      <c r="W760">
        <v>1000</v>
      </c>
      <c r="AB760" t="s">
        <v>3464</v>
      </c>
      <c r="AC760">
        <v>1</v>
      </c>
      <c r="AD760">
        <v>0.2</v>
      </c>
      <c r="AE760">
        <v>2002</v>
      </c>
      <c r="AF760">
        <v>3</v>
      </c>
      <c r="AG760">
        <v>1</v>
      </c>
    </row>
    <row r="761" spans="1:33" ht="38.25" customHeight="1">
      <c r="A761">
        <v>803</v>
      </c>
      <c r="B761" t="s">
        <v>3461</v>
      </c>
      <c r="C761">
        <v>3</v>
      </c>
      <c r="D761" s="80" t="s">
        <v>3467</v>
      </c>
      <c r="G761" s="90" t="s">
        <v>3468</v>
      </c>
      <c r="V761">
        <v>8000</v>
      </c>
      <c r="W761">
        <v>1000</v>
      </c>
      <c r="AB761" t="s">
        <v>3464</v>
      </c>
      <c r="AC761">
        <v>1</v>
      </c>
      <c r="AD761">
        <v>0.2</v>
      </c>
      <c r="AE761">
        <v>2002</v>
      </c>
      <c r="AF761">
        <v>3</v>
      </c>
      <c r="AG761">
        <v>1</v>
      </c>
    </row>
    <row r="762" spans="1:33" ht="38.25" customHeight="1">
      <c r="A762">
        <v>804</v>
      </c>
      <c r="B762" t="s">
        <v>3461</v>
      </c>
      <c r="C762">
        <v>3</v>
      </c>
      <c r="D762" s="80" t="s">
        <v>3469</v>
      </c>
      <c r="G762" s="90" t="s">
        <v>3463</v>
      </c>
      <c r="V762">
        <v>8000</v>
      </c>
      <c r="W762">
        <v>1000</v>
      </c>
      <c r="AB762" t="s">
        <v>3464</v>
      </c>
      <c r="AC762">
        <v>1</v>
      </c>
      <c r="AD762">
        <v>0.2</v>
      </c>
      <c r="AE762">
        <v>2002</v>
      </c>
      <c r="AF762">
        <v>3</v>
      </c>
      <c r="AG762">
        <v>1</v>
      </c>
    </row>
    <row r="763" spans="1:33" ht="38.25" customHeight="1">
      <c r="A763">
        <v>805</v>
      </c>
      <c r="B763" t="s">
        <v>3470</v>
      </c>
      <c r="C763">
        <v>3</v>
      </c>
      <c r="D763" s="80" t="s">
        <v>3471</v>
      </c>
      <c r="G763" s="90" t="s">
        <v>3463</v>
      </c>
      <c r="V763">
        <v>8000</v>
      </c>
      <c r="W763">
        <v>1000</v>
      </c>
      <c r="AB763" t="s">
        <v>3464</v>
      </c>
      <c r="AC763">
        <v>1</v>
      </c>
      <c r="AD763">
        <v>0.2</v>
      </c>
      <c r="AE763">
        <v>2002</v>
      </c>
      <c r="AF763">
        <v>3</v>
      </c>
      <c r="AG763">
        <v>1</v>
      </c>
    </row>
    <row r="764" spans="1:33" ht="38.25" customHeight="1">
      <c r="A764">
        <v>806</v>
      </c>
      <c r="B764" t="s">
        <v>3470</v>
      </c>
      <c r="C764">
        <v>3</v>
      </c>
      <c r="D764" s="80" t="s">
        <v>3472</v>
      </c>
      <c r="G764" s="90" t="s">
        <v>3466</v>
      </c>
      <c r="V764">
        <v>8000</v>
      </c>
      <c r="W764">
        <v>1000</v>
      </c>
      <c r="AB764" t="s">
        <v>3464</v>
      </c>
      <c r="AC764">
        <v>1</v>
      </c>
      <c r="AD764">
        <v>0.2</v>
      </c>
      <c r="AE764">
        <v>2002</v>
      </c>
      <c r="AF764">
        <v>3</v>
      </c>
      <c r="AG764">
        <v>1</v>
      </c>
    </row>
    <row r="765" spans="1:33" ht="38.25" customHeight="1">
      <c r="A765">
        <v>807</v>
      </c>
      <c r="B765" t="s">
        <v>3470</v>
      </c>
      <c r="C765">
        <v>3</v>
      </c>
      <c r="D765" s="80" t="s">
        <v>3473</v>
      </c>
      <c r="G765" s="90" t="s">
        <v>3468</v>
      </c>
      <c r="V765">
        <v>8000</v>
      </c>
      <c r="W765">
        <v>1000</v>
      </c>
      <c r="AB765" t="s">
        <v>3464</v>
      </c>
      <c r="AC765">
        <v>1</v>
      </c>
      <c r="AD765">
        <v>0.2</v>
      </c>
      <c r="AE765">
        <v>2002</v>
      </c>
      <c r="AF765">
        <v>3</v>
      </c>
      <c r="AG765">
        <v>1</v>
      </c>
    </row>
    <row r="766" spans="1:33" ht="38.25" customHeight="1">
      <c r="A766">
        <v>808</v>
      </c>
      <c r="B766" t="s">
        <v>3470</v>
      </c>
      <c r="C766">
        <v>3</v>
      </c>
      <c r="D766" s="80" t="s">
        <v>3474</v>
      </c>
      <c r="G766" s="90" t="s">
        <v>3463</v>
      </c>
      <c r="V766">
        <v>8000</v>
      </c>
      <c r="W766">
        <v>1000</v>
      </c>
      <c r="AB766" t="s">
        <v>3464</v>
      </c>
      <c r="AC766">
        <v>1</v>
      </c>
      <c r="AD766">
        <v>0.2</v>
      </c>
      <c r="AE766">
        <v>2002</v>
      </c>
      <c r="AF766">
        <v>3</v>
      </c>
      <c r="AG766">
        <v>1</v>
      </c>
    </row>
    <row r="767" spans="1:33" ht="38.25" customHeight="1">
      <c r="A767">
        <v>809</v>
      </c>
      <c r="B767" t="s">
        <v>3475</v>
      </c>
      <c r="C767">
        <v>3</v>
      </c>
      <c r="D767" s="80" t="s">
        <v>3476</v>
      </c>
      <c r="G767" s="90" t="s">
        <v>3463</v>
      </c>
      <c r="V767">
        <v>8000</v>
      </c>
      <c r="W767">
        <v>1000</v>
      </c>
      <c r="AB767" t="s">
        <v>3464</v>
      </c>
      <c r="AC767">
        <v>1</v>
      </c>
      <c r="AD767">
        <v>0.2</v>
      </c>
      <c r="AE767">
        <v>2002</v>
      </c>
      <c r="AF767">
        <v>3</v>
      </c>
      <c r="AG767">
        <v>1</v>
      </c>
    </row>
    <row r="768" spans="1:33" ht="38.25" customHeight="1">
      <c r="A768">
        <v>810</v>
      </c>
      <c r="B768" t="s">
        <v>3475</v>
      </c>
      <c r="C768">
        <v>3</v>
      </c>
      <c r="D768" s="80" t="s">
        <v>3477</v>
      </c>
      <c r="G768" s="90" t="s">
        <v>3466</v>
      </c>
      <c r="V768">
        <v>8000</v>
      </c>
      <c r="W768">
        <v>1000</v>
      </c>
      <c r="AB768" t="s">
        <v>3464</v>
      </c>
      <c r="AC768">
        <v>1</v>
      </c>
      <c r="AD768">
        <v>0.2</v>
      </c>
      <c r="AE768">
        <v>2002</v>
      </c>
      <c r="AF768">
        <v>3</v>
      </c>
      <c r="AG768">
        <v>1</v>
      </c>
    </row>
    <row r="769" spans="1:33" ht="38.25" customHeight="1">
      <c r="A769">
        <v>811</v>
      </c>
      <c r="B769" t="s">
        <v>3475</v>
      </c>
      <c r="C769">
        <v>3</v>
      </c>
      <c r="D769" s="80" t="s">
        <v>3478</v>
      </c>
      <c r="G769" s="90" t="s">
        <v>3468</v>
      </c>
      <c r="V769">
        <v>8000</v>
      </c>
      <c r="W769">
        <v>1000</v>
      </c>
      <c r="AB769" t="s">
        <v>3464</v>
      </c>
      <c r="AC769">
        <v>1</v>
      </c>
      <c r="AD769">
        <v>0.2</v>
      </c>
      <c r="AE769">
        <v>2002</v>
      </c>
      <c r="AF769">
        <v>3</v>
      </c>
      <c r="AG769">
        <v>1</v>
      </c>
    </row>
    <row r="770" spans="1:33" ht="38.25" customHeight="1">
      <c r="A770">
        <v>812</v>
      </c>
      <c r="B770" t="s">
        <v>3475</v>
      </c>
      <c r="C770">
        <v>3</v>
      </c>
      <c r="D770" s="80" t="s">
        <v>3479</v>
      </c>
      <c r="G770" s="90" t="s">
        <v>3463</v>
      </c>
      <c r="V770">
        <v>8000</v>
      </c>
      <c r="W770">
        <v>1000</v>
      </c>
      <c r="AB770" t="s">
        <v>3464</v>
      </c>
      <c r="AC770">
        <v>1</v>
      </c>
      <c r="AD770">
        <v>0.2</v>
      </c>
      <c r="AE770">
        <v>2002</v>
      </c>
      <c r="AF770">
        <v>3</v>
      </c>
      <c r="AG770">
        <v>1</v>
      </c>
    </row>
    <row r="771" spans="1:33">
      <c r="A771">
        <v>813</v>
      </c>
      <c r="B771" t="s">
        <v>3480</v>
      </c>
      <c r="C771">
        <v>3</v>
      </c>
      <c r="D771" s="80" t="s">
        <v>3481</v>
      </c>
      <c r="J771" s="80" t="s">
        <v>3482</v>
      </c>
      <c r="K771" t="s">
        <v>3483</v>
      </c>
      <c r="L771">
        <v>1001</v>
      </c>
      <c r="M771" t="s">
        <v>3484</v>
      </c>
      <c r="V771">
        <v>8000</v>
      </c>
      <c r="W771">
        <v>1000</v>
      </c>
    </row>
    <row r="772" spans="1:33">
      <c r="A772">
        <v>814</v>
      </c>
      <c r="B772" t="s">
        <v>3480</v>
      </c>
      <c r="C772">
        <v>3</v>
      </c>
      <c r="D772" s="80" t="s">
        <v>3485</v>
      </c>
      <c r="J772" s="80" t="s">
        <v>3482</v>
      </c>
      <c r="K772" t="s">
        <v>3483</v>
      </c>
      <c r="L772">
        <v>1002</v>
      </c>
      <c r="M772" t="s">
        <v>3484</v>
      </c>
      <c r="V772">
        <v>8000</v>
      </c>
      <c r="W772">
        <v>1000</v>
      </c>
    </row>
    <row r="773" spans="1:33">
      <c r="A773">
        <v>815</v>
      </c>
      <c r="B773" t="s">
        <v>3480</v>
      </c>
      <c r="C773">
        <v>3</v>
      </c>
      <c r="D773" s="80" t="s">
        <v>3486</v>
      </c>
      <c r="J773" s="80" t="s">
        <v>3482</v>
      </c>
      <c r="K773" t="s">
        <v>3483</v>
      </c>
      <c r="L773">
        <v>1003</v>
      </c>
      <c r="M773" t="s">
        <v>3484</v>
      </c>
      <c r="V773">
        <v>8000</v>
      </c>
      <c r="W773">
        <v>1000</v>
      </c>
    </row>
    <row r="774" spans="1:33">
      <c r="A774">
        <v>816</v>
      </c>
      <c r="B774" t="s">
        <v>3480</v>
      </c>
      <c r="C774">
        <v>3</v>
      </c>
      <c r="D774" s="80" t="s">
        <v>3487</v>
      </c>
      <c r="J774" s="80" t="s">
        <v>3482</v>
      </c>
      <c r="K774" t="s">
        <v>3483</v>
      </c>
      <c r="L774">
        <v>1004</v>
      </c>
      <c r="M774" t="s">
        <v>3484</v>
      </c>
      <c r="V774">
        <v>8000</v>
      </c>
      <c r="W774">
        <v>1000</v>
      </c>
    </row>
  </sheetData>
  <phoneticPr fontId="29" type="noConversion"/>
  <dataValidations count="2">
    <dataValidation type="list" allowBlank="1" showErrorMessage="1" sqref="B3:B16 B19:B79 B82:B113 B123:B124 B130:B145" xr:uid="{00000000-0002-0000-0C00-000000000000}">
      <formula1>"dungeon,main,map_red,map_yellow,map_purple,map_blue,annihilation,tower,godcharacter"</formula1>
      <formula2>0</formula2>
    </dataValidation>
    <dataValidation type="list" allowBlank="1" showErrorMessage="1" sqref="K3:K16 K19:K79 K82:K113 K123:K124 K130:K145 Q3:Q16 Q19:Q79 Q82:Q113 Q123:Q124 Q130:Q145" xr:uid="{00000000-0002-0000-0C00-000001000000}">
      <formula1>"select_self,select_enemy,debuff,buff"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1"/>
  <sheetViews>
    <sheetView zoomScaleNormal="100" workbookViewId="0"/>
  </sheetViews>
  <sheetFormatPr defaultColWidth="12.5703125" defaultRowHeight="12.75"/>
  <cols>
    <col min="2" max="2" width="38.42578125" customWidth="1"/>
  </cols>
  <sheetData>
    <row r="1" spans="1:6" ht="14.25" customHeight="1">
      <c r="A1" s="23" t="s">
        <v>3488</v>
      </c>
      <c r="B1" s="23" t="s">
        <v>3489</v>
      </c>
      <c r="C1" s="23" t="s">
        <v>3490</v>
      </c>
      <c r="D1" s="23" t="s">
        <v>3491</v>
      </c>
      <c r="E1" s="7" t="inlineStr">
        <is>
          <t>img</t>
        </is>
      </c>
      <c r="F1" s="7"/>
    </row>
    <row r="2" spans="1:6" ht="14.25" customHeight="1">
      <c r="A2" s="2" t="s">
        <v>3492</v>
      </c>
      <c r="B2" s="2" t="str">
        <f>"{map_red},{map_blue},{map_purple},{map_yellow}"</f>
        <v>{map_red},{map_blue},{map_purple},{map_yellow}</v>
      </c>
      <c r="C2" s="2">
        <v>600</v>
      </c>
      <c r="D2" s="2"/>
      <c r="E2" s="2" t="inlineStr">
        <is>
          <t>img_997351bdba4e.jpg</t>
        </is>
      </c>
    </row>
    <row r="3" spans="1:6" ht="14.25" customHeight="1">
      <c r="A3" s="2" t="s">
        <v>3493</v>
      </c>
      <c r="B3" s="2" t="str">
        <f>"{map_blue},{map_purple},{map_red},{map_yellow}"</f>
        <v>{map_blue},{map_purple},{map_red},{map_yellow}</v>
      </c>
      <c r="C3" s="7">
        <v>600</v>
      </c>
      <c r="D3" s="2"/>
      <c r="E3" s="2" t="inlineStr">
        <is>
          <t>img_719332146c38.jpg</t>
        </is>
      </c>
    </row>
    <row r="4" spans="1:6" ht="14.25" customHeight="1">
      <c r="A4" s="2" t="s">
        <v>3494</v>
      </c>
      <c r="B4" s="2" t="str">
        <f>"{map_red},{map_blue},{map_purple},{0}"</f>
        <v>{map_red},{map_blue},{map_purple},{0}</v>
      </c>
      <c r="C4" s="2">
        <v>1500</v>
      </c>
      <c r="D4" s="2"/>
      <c r="E4" s="2" t="inlineStr">
        <is>
          <t>img_698637ce4aaf.jpg</t>
        </is>
      </c>
    </row>
    <row r="5" spans="1:6" ht="14.25" customHeight="1">
      <c r="A5" s="2" t="s">
        <v>3495</v>
      </c>
      <c r="B5" s="2" t="str">
        <f>"{map_red},{0},{map_purple},{map_yellow}"</f>
        <v>{map_red},{0},{map_purple},{map_yellow}</v>
      </c>
      <c r="C5" s="2">
        <v>2000</v>
      </c>
      <c r="D5" s="2"/>
      <c r="E5" s="2" t="inlineStr">
        <is>
          <t>img_1b6cac546b62.jpg</t>
        </is>
      </c>
    </row>
    <row r="6" spans="1:6" ht="14.25" customHeight="1">
      <c r="A6" s="2" t="s">
        <v>3496</v>
      </c>
      <c r="B6" s="2" t="str">
        <f>"{map_red},{map_blue},{0},{map_yellow}"</f>
        <v>{map_red},{map_blue},{0},{map_yellow}</v>
      </c>
      <c r="C6" s="2">
        <v>2000</v>
      </c>
      <c r="D6" s="2"/>
      <c r="E6" s="2" t="inlineStr">
        <is>
          <t>img_f8b265de14e0.jpg</t>
        </is>
      </c>
    </row>
    <row r="7" spans="1:6" ht="14.25" customHeight="1">
      <c r="A7" s="2" t="s">
        <v>3497</v>
      </c>
      <c r="B7" s="2" t="str">
        <f>"{map_yellow},{0},{map_blue},{0}"</f>
        <v>{map_yellow},{0},{map_blue},{0}</v>
      </c>
      <c r="C7" s="2">
        <v>1500</v>
      </c>
      <c r="D7" s="2"/>
      <c r="E7" s="2" t="inlineStr">
        <is>
          <t>img_6bbf811bdf97.jpg</t>
        </is>
      </c>
    </row>
    <row r="8" spans="1:6" ht="14.25" customHeight="1">
      <c r="A8" s="2" t="s">
        <v>3498</v>
      </c>
      <c r="B8" s="2" t="str">
        <f>"{map_red},{0},{map_purple},{0}"</f>
        <v>{map_red},{0},{map_purple},{0}</v>
      </c>
      <c r="C8" s="2">
        <v>1000</v>
      </c>
      <c r="D8" s="2"/>
      <c r="E8" s="2" t="inlineStr">
        <is>
          <t>img_58a585d1d682.jpg</t>
        </is>
      </c>
    </row>
    <row r="9" spans="1:6" ht="14.25" customHeight="1">
      <c r="A9" s="2" t="s">
        <v>3499</v>
      </c>
      <c r="B9" s="2" t="str">
        <f>"{0},{0},{map_purple},{map_yellow}"</f>
        <v>{0},{0},{map_purple},{map_yellow}</v>
      </c>
      <c r="C9" s="2">
        <v>800</v>
      </c>
      <c r="D9" s="2"/>
      <c r="E9" s="2" t="inlineStr">
        <is>
          <t>img_57813587f73b.jpg</t>
        </is>
      </c>
    </row>
    <row r="10" spans="1:6" ht="14.25" customHeight="1">
      <c r="A10" s="2" t="s">
        <v>3500</v>
      </c>
      <c r="B10" s="2" t="str">
        <f>"{0},{0},{map_blue},{0}"</f>
        <v>{0},{0},{map_blue},{0}</v>
      </c>
      <c r="C10" s="2"/>
      <c r="D10" s="2">
        <v>1</v>
      </c>
      <c r="E10" s="2" t="inlineStr">
        <is>
          <t>img_92fcaaa80572.jpg</t>
        </is>
      </c>
    </row>
    <row r="11" spans="1:6" ht="14.25" customHeight="1">
      <c r="A11" s="2" t="s">
        <v>3501</v>
      </c>
      <c r="B11" s="2" t="str">
        <f>"{0},{0},{map_red},{0}"</f>
        <v>{0},{0},{map_red},{0}</v>
      </c>
      <c r="C11" s="2"/>
      <c r="D11" s="2">
        <v>1</v>
      </c>
      <c r="E11" s="2" t="inlineStr">
        <is>
          <t>img_5d6c6ccfd6d1.jpg</t>
        </is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2"/>
  <sheetViews>
    <sheetView tabSelected="1" topLeftCell="A106" zoomScaleNormal="100" workbookViewId="0">
      <selection activeCell="D131" sqref="D131"/>
    </sheetView>
  </sheetViews>
  <sheetFormatPr defaultColWidth="12.5703125" defaultRowHeight="12.75"/>
  <cols>
    <col min="4" max="4" width="139.28515625" customWidth="1"/>
    <col min="5" max="5" width="60.5703125" customWidth="1"/>
  </cols>
  <sheetData>
    <row r="1" spans="1:5" ht="14.25" customHeight="1">
      <c r="A1" s="47" t="s">
        <v>1603</v>
      </c>
      <c r="B1" s="47" t="s">
        <v>733</v>
      </c>
      <c r="C1" s="47" t="s">
        <v>3502</v>
      </c>
      <c r="D1" s="7" t="s">
        <v>1</v>
      </c>
      <c r="E1" s="3" t="s">
        <v>3503</v>
      </c>
    </row>
    <row r="2" spans="1:5" ht="42.75" customHeight="1">
      <c r="A2" s="47"/>
      <c r="B2" s="47" t="s">
        <v>3504</v>
      </c>
      <c r="C2" s="47"/>
      <c r="E2" s="106" t="s">
        <v>3505</v>
      </c>
    </row>
    <row r="3" spans="1:5" ht="57" customHeight="1">
      <c r="A3" s="47">
        <v>100</v>
      </c>
      <c r="B3" s="47" t="s">
        <v>3506</v>
      </c>
      <c r="C3" s="47" t="s">
        <v>3507</v>
      </c>
      <c r="D3" s="107" t="s">
        <v>3508</v>
      </c>
      <c r="E3" s="108" t="s">
        <v>3509</v>
      </c>
    </row>
    <row r="4" spans="1:5" ht="85.5" customHeight="1">
      <c r="A4" s="47"/>
      <c r="B4" s="47" t="s">
        <v>3504</v>
      </c>
      <c r="C4" s="47"/>
      <c r="E4" s="107" t="s">
        <v>3510</v>
      </c>
    </row>
    <row r="5" spans="1:5" ht="128.25" customHeight="1">
      <c r="A5" s="47">
        <v>100</v>
      </c>
      <c r="B5" s="47" t="s">
        <v>3506</v>
      </c>
      <c r="C5" s="47" t="s">
        <v>3511</v>
      </c>
      <c r="D5" s="107" t="s">
        <v>3512</v>
      </c>
      <c r="E5" s="109" t="s">
        <v>3513</v>
      </c>
    </row>
    <row r="6" spans="1:5" ht="180" customHeight="1">
      <c r="A6" s="47">
        <v>100</v>
      </c>
      <c r="B6" s="47" t="s">
        <v>3506</v>
      </c>
      <c r="C6" s="47" t="s">
        <v>3511</v>
      </c>
      <c r="D6" s="130" t="s">
        <v>3514</v>
      </c>
      <c r="E6" s="110" t="s">
        <v>3515</v>
      </c>
    </row>
    <row r="7" spans="1:5" ht="42.75" customHeight="1">
      <c r="A7" s="47"/>
      <c r="B7" s="47" t="s">
        <v>3504</v>
      </c>
      <c r="C7" s="47"/>
      <c r="E7" s="107" t="s">
        <v>3516</v>
      </c>
    </row>
    <row r="8" spans="1:5" ht="15" customHeight="1">
      <c r="A8" s="47">
        <v>100</v>
      </c>
      <c r="B8" s="47" t="s">
        <v>3506</v>
      </c>
      <c r="C8" s="47" t="s">
        <v>3511</v>
      </c>
      <c r="E8" s="111" t="s">
        <v>3517</v>
      </c>
    </row>
    <row r="9" spans="1:5" ht="285.75" customHeight="1">
      <c r="A9" s="47"/>
      <c r="B9" s="47" t="s">
        <v>3504</v>
      </c>
      <c r="C9" s="47"/>
      <c r="D9" s="130" t="s">
        <v>3518</v>
      </c>
      <c r="E9" s="107" t="s">
        <v>3519</v>
      </c>
    </row>
    <row r="10" spans="1:5" ht="228" customHeight="1">
      <c r="A10" s="47"/>
      <c r="B10" s="47" t="s">
        <v>3504</v>
      </c>
      <c r="C10" s="47"/>
      <c r="D10" s="107" t="s">
        <v>3520</v>
      </c>
      <c r="E10" s="82" t="s">
        <v>3521</v>
      </c>
    </row>
    <row r="11" spans="1:5" ht="42.75" customHeight="1">
      <c r="A11" s="47"/>
      <c r="B11" s="47" t="s">
        <v>3504</v>
      </c>
      <c r="C11" s="47"/>
      <c r="E11" s="107" t="s">
        <v>3522</v>
      </c>
    </row>
    <row r="12" spans="1:5" ht="99.75" customHeight="1">
      <c r="A12" s="47">
        <v>200</v>
      </c>
      <c r="B12" s="47" t="s">
        <v>3506</v>
      </c>
      <c r="C12" s="47" t="s">
        <v>3507</v>
      </c>
      <c r="D12" s="107" t="s">
        <v>3523</v>
      </c>
    </row>
    <row r="13" spans="1:5" ht="142.5" customHeight="1">
      <c r="A13" s="47">
        <v>209</v>
      </c>
      <c r="B13" s="47" t="s">
        <v>3506</v>
      </c>
      <c r="C13" s="47" t="s">
        <v>3511</v>
      </c>
      <c r="D13" s="107" t="s">
        <v>3524</v>
      </c>
    </row>
    <row r="14" spans="1:5" ht="128.25" customHeight="1">
      <c r="A14" s="47"/>
      <c r="B14" s="7" t="s">
        <v>3506</v>
      </c>
      <c r="C14" s="7" t="s">
        <v>3511</v>
      </c>
      <c r="D14" s="107" t="s">
        <v>3525</v>
      </c>
    </row>
    <row r="15" spans="1:5" ht="142.5" customHeight="1">
      <c r="B15" s="7" t="s">
        <v>3506</v>
      </c>
      <c r="C15" s="7" t="s">
        <v>3507</v>
      </c>
      <c r="D15" s="107" t="s">
        <v>3526</v>
      </c>
    </row>
    <row r="16" spans="1:5" ht="128.25" customHeight="1">
      <c r="A16" s="47"/>
      <c r="B16" s="7" t="s">
        <v>3506</v>
      </c>
      <c r="C16" s="7" t="s">
        <v>3511</v>
      </c>
      <c r="D16" s="107" t="s">
        <v>3527</v>
      </c>
    </row>
    <row r="17" spans="1:4" ht="114" customHeight="1">
      <c r="A17" s="47"/>
      <c r="B17" s="7" t="s">
        <v>3506</v>
      </c>
      <c r="C17" s="7" t="s">
        <v>3511</v>
      </c>
      <c r="D17" s="107" t="s">
        <v>3528</v>
      </c>
    </row>
    <row r="18" spans="1:4" ht="85.5" customHeight="1">
      <c r="A18" s="83" t="s">
        <v>3529</v>
      </c>
      <c r="B18" s="7" t="s">
        <v>3506</v>
      </c>
      <c r="C18" s="7" t="s">
        <v>3511</v>
      </c>
      <c r="D18" s="107" t="s">
        <v>3530</v>
      </c>
    </row>
    <row r="19" spans="1:4" ht="128.25" customHeight="1">
      <c r="A19" s="47"/>
      <c r="B19" s="7" t="s">
        <v>3506</v>
      </c>
      <c r="C19" s="7" t="s">
        <v>3511</v>
      </c>
      <c r="D19" s="107" t="s">
        <v>3531</v>
      </c>
    </row>
    <row r="20" spans="1:4" ht="114" customHeight="1">
      <c r="A20" s="47"/>
      <c r="B20" s="7" t="s">
        <v>3506</v>
      </c>
      <c r="C20" s="7" t="s">
        <v>3511</v>
      </c>
      <c r="D20" s="107" t="s">
        <v>3532</v>
      </c>
    </row>
    <row r="21" spans="1:4" ht="128.25" customHeight="1">
      <c r="A21" s="47"/>
      <c r="B21" s="7" t="s">
        <v>3506</v>
      </c>
      <c r="C21" s="7" t="s">
        <v>3507</v>
      </c>
      <c r="D21" s="107" t="s">
        <v>3533</v>
      </c>
    </row>
    <row r="22" spans="1:4" ht="85.5" customHeight="1">
      <c r="A22" s="47"/>
      <c r="B22" s="7" t="s">
        <v>3506</v>
      </c>
      <c r="C22" s="7" t="s">
        <v>3511</v>
      </c>
      <c r="D22" s="107" t="s">
        <v>3534</v>
      </c>
    </row>
    <row r="23" spans="1:4" ht="85.5" customHeight="1">
      <c r="A23" s="47"/>
      <c r="B23" s="7" t="s">
        <v>3506</v>
      </c>
      <c r="C23" s="7" t="s">
        <v>3511</v>
      </c>
      <c r="D23" s="107" t="s">
        <v>3535</v>
      </c>
    </row>
    <row r="24" spans="1:4" ht="99.75" customHeight="1">
      <c r="A24" s="83" t="s">
        <v>3536</v>
      </c>
      <c r="B24" s="7" t="s">
        <v>3506</v>
      </c>
      <c r="C24" s="7" t="s">
        <v>3507</v>
      </c>
      <c r="D24" s="107" t="s">
        <v>3537</v>
      </c>
    </row>
    <row r="25" spans="1:4" ht="114" customHeight="1">
      <c r="A25" s="47"/>
      <c r="B25" s="7" t="s">
        <v>3506</v>
      </c>
      <c r="C25" s="7" t="s">
        <v>3511</v>
      </c>
      <c r="D25" s="107" t="s">
        <v>3538</v>
      </c>
    </row>
    <row r="26" spans="1:4" ht="114" customHeight="1">
      <c r="A26" s="47"/>
      <c r="B26" s="7" t="s">
        <v>3506</v>
      </c>
      <c r="C26" s="7" t="s">
        <v>3511</v>
      </c>
      <c r="D26" s="107" t="s">
        <v>3539</v>
      </c>
    </row>
    <row r="27" spans="1:4" ht="114" customHeight="1">
      <c r="A27" s="47"/>
      <c r="B27" s="7" t="s">
        <v>3506</v>
      </c>
      <c r="C27" s="7" t="s">
        <v>3511</v>
      </c>
      <c r="D27" s="107" t="s">
        <v>3540</v>
      </c>
    </row>
    <row r="28" spans="1:4" ht="114" customHeight="1">
      <c r="A28" s="47"/>
      <c r="B28" s="7" t="s">
        <v>3506</v>
      </c>
      <c r="C28" s="7" t="s">
        <v>3511</v>
      </c>
      <c r="D28" s="107" t="s">
        <v>3541</v>
      </c>
    </row>
    <row r="29" spans="1:4" ht="57" customHeight="1">
      <c r="A29" s="47"/>
      <c r="B29" s="7" t="s">
        <v>3506</v>
      </c>
      <c r="C29" s="7" t="s">
        <v>3511</v>
      </c>
      <c r="D29" s="107" t="s">
        <v>3542</v>
      </c>
    </row>
    <row r="30" spans="1:4" ht="85.5" customHeight="1">
      <c r="A30" s="83" t="s">
        <v>3543</v>
      </c>
      <c r="B30" s="7" t="s">
        <v>3506</v>
      </c>
      <c r="C30" s="7" t="s">
        <v>3511</v>
      </c>
      <c r="D30" s="107" t="s">
        <v>3544</v>
      </c>
    </row>
    <row r="31" spans="1:4" ht="156.75" customHeight="1">
      <c r="A31" s="47"/>
      <c r="B31" s="7" t="s">
        <v>3506</v>
      </c>
      <c r="C31" s="7" t="s">
        <v>3511</v>
      </c>
      <c r="D31" s="107" t="s">
        <v>3545</v>
      </c>
    </row>
    <row r="32" spans="1:4" ht="156.75" customHeight="1">
      <c r="A32" s="47"/>
      <c r="B32" s="7" t="s">
        <v>3506</v>
      </c>
      <c r="C32" s="7" t="s">
        <v>3511</v>
      </c>
      <c r="D32" s="107" t="s">
        <v>3546</v>
      </c>
    </row>
    <row r="33" spans="1:4" ht="156.75" customHeight="1">
      <c r="A33" s="47"/>
      <c r="B33" s="7" t="s">
        <v>3506</v>
      </c>
      <c r="C33" s="7" t="s">
        <v>3511</v>
      </c>
      <c r="D33" s="107" t="s">
        <v>3547</v>
      </c>
    </row>
    <row r="34" spans="1:4" ht="114" customHeight="1">
      <c r="A34" s="47"/>
      <c r="B34" s="7" t="s">
        <v>3506</v>
      </c>
      <c r="C34" s="7" t="s">
        <v>3511</v>
      </c>
      <c r="D34" s="107" t="s">
        <v>3548</v>
      </c>
    </row>
    <row r="35" spans="1:4" ht="99.75" customHeight="1">
      <c r="A35" s="47"/>
      <c r="B35" s="7" t="s">
        <v>3506</v>
      </c>
      <c r="C35" s="7" t="s">
        <v>3511</v>
      </c>
      <c r="D35" s="107" t="s">
        <v>3549</v>
      </c>
    </row>
    <row r="36" spans="1:4" ht="85.5" customHeight="1">
      <c r="A36" s="83" t="s">
        <v>3550</v>
      </c>
      <c r="B36" s="7" t="s">
        <v>3506</v>
      </c>
      <c r="C36" s="7" t="s">
        <v>3507</v>
      </c>
      <c r="D36" s="107" t="s">
        <v>3551</v>
      </c>
    </row>
    <row r="37" spans="1:4" ht="156.75" customHeight="1">
      <c r="A37" s="47"/>
      <c r="B37" s="7" t="s">
        <v>3506</v>
      </c>
      <c r="C37" s="7" t="s">
        <v>3511</v>
      </c>
      <c r="D37" s="107" t="s">
        <v>3552</v>
      </c>
    </row>
    <row r="38" spans="1:4" ht="156.75" customHeight="1">
      <c r="A38" s="47"/>
      <c r="B38" s="7" t="s">
        <v>3506</v>
      </c>
      <c r="C38" s="7" t="s">
        <v>3511</v>
      </c>
      <c r="D38" s="107" t="s">
        <v>3553</v>
      </c>
    </row>
    <row r="39" spans="1:4" ht="156.75" customHeight="1">
      <c r="A39" s="47"/>
      <c r="B39" s="7" t="s">
        <v>3506</v>
      </c>
      <c r="C39" s="7" t="s">
        <v>3511</v>
      </c>
      <c r="D39" s="107" t="s">
        <v>3554</v>
      </c>
    </row>
    <row r="40" spans="1:4" ht="128.25" customHeight="1">
      <c r="A40" s="47"/>
      <c r="B40" s="7" t="s">
        <v>3506</v>
      </c>
      <c r="C40" s="7" t="s">
        <v>3511</v>
      </c>
      <c r="D40" s="107" t="s">
        <v>3555</v>
      </c>
    </row>
    <row r="41" spans="1:4" ht="99.75" customHeight="1">
      <c r="A41" s="47"/>
      <c r="B41" s="7" t="s">
        <v>3506</v>
      </c>
      <c r="C41" s="7" t="s">
        <v>3511</v>
      </c>
      <c r="D41" s="107" t="s">
        <v>3556</v>
      </c>
    </row>
    <row r="42" spans="1:4" ht="85.5" customHeight="1">
      <c r="A42" s="83" t="s">
        <v>3557</v>
      </c>
      <c r="B42" s="7" t="s">
        <v>3506</v>
      </c>
      <c r="C42" s="7" t="s">
        <v>3511</v>
      </c>
      <c r="D42" s="107" t="s">
        <v>3558</v>
      </c>
    </row>
    <row r="43" spans="1:4" ht="156.75" customHeight="1">
      <c r="A43" s="47"/>
      <c r="B43" s="7" t="s">
        <v>3506</v>
      </c>
      <c r="C43" s="7" t="s">
        <v>3511</v>
      </c>
      <c r="D43" s="107" t="s">
        <v>3559</v>
      </c>
    </row>
    <row r="44" spans="1:4" ht="156.75" customHeight="1">
      <c r="A44" s="47"/>
      <c r="B44" s="7" t="s">
        <v>3506</v>
      </c>
      <c r="C44" s="7" t="s">
        <v>3511</v>
      </c>
      <c r="D44" s="107" t="s">
        <v>3560</v>
      </c>
    </row>
    <row r="45" spans="1:4" ht="156.75" customHeight="1">
      <c r="A45" s="47"/>
      <c r="B45" s="7" t="s">
        <v>3506</v>
      </c>
      <c r="C45" s="7" t="s">
        <v>3511</v>
      </c>
      <c r="D45" s="107" t="s">
        <v>3561</v>
      </c>
    </row>
    <row r="46" spans="1:4" ht="128.25" customHeight="1">
      <c r="A46" s="47"/>
      <c r="B46" s="7" t="s">
        <v>3506</v>
      </c>
      <c r="C46" s="7" t="s">
        <v>3511</v>
      </c>
      <c r="D46" s="107" t="s">
        <v>3562</v>
      </c>
    </row>
    <row r="47" spans="1:4" ht="99.75" customHeight="1">
      <c r="A47" s="47"/>
      <c r="B47" s="7" t="s">
        <v>3506</v>
      </c>
      <c r="C47" s="7" t="s">
        <v>3511</v>
      </c>
      <c r="D47" s="107" t="s">
        <v>3549</v>
      </c>
    </row>
    <row r="48" spans="1:4" ht="76.5" customHeight="1">
      <c r="A48" s="80" t="s">
        <v>3563</v>
      </c>
      <c r="B48" t="s">
        <v>3506</v>
      </c>
      <c r="C48" t="s">
        <v>3507</v>
      </c>
      <c r="D48" s="112" t="s">
        <v>3564</v>
      </c>
    </row>
    <row r="49" spans="1:4" ht="140.25" customHeight="1">
      <c r="B49" t="s">
        <v>3506</v>
      </c>
      <c r="C49" t="s">
        <v>3511</v>
      </c>
      <c r="D49" s="112" t="s">
        <v>3565</v>
      </c>
    </row>
    <row r="50" spans="1:4" ht="140.25" customHeight="1">
      <c r="B50" t="s">
        <v>3506</v>
      </c>
      <c r="C50" t="s">
        <v>3511</v>
      </c>
      <c r="D50" s="112" t="s">
        <v>3566</v>
      </c>
    </row>
    <row r="51" spans="1:4" ht="140.25" customHeight="1">
      <c r="B51" t="s">
        <v>3506</v>
      </c>
      <c r="C51" t="s">
        <v>3511</v>
      </c>
      <c r="D51" s="112" t="s">
        <v>3567</v>
      </c>
    </row>
    <row r="52" spans="1:4" ht="114.75" customHeight="1">
      <c r="B52" t="s">
        <v>3506</v>
      </c>
      <c r="C52" t="s">
        <v>3511</v>
      </c>
      <c r="D52" s="112" t="s">
        <v>3568</v>
      </c>
    </row>
    <row r="53" spans="1:4" ht="89.25" customHeight="1">
      <c r="B53" t="s">
        <v>3506</v>
      </c>
      <c r="C53" t="s">
        <v>3511</v>
      </c>
      <c r="D53" s="112" t="s">
        <v>3569</v>
      </c>
    </row>
    <row r="54" spans="1:4" ht="76.5" customHeight="1">
      <c r="A54" s="80" t="s">
        <v>3570</v>
      </c>
      <c r="B54" t="s">
        <v>3506</v>
      </c>
      <c r="C54" t="s">
        <v>3507</v>
      </c>
      <c r="D54" s="112" t="s">
        <v>3571</v>
      </c>
    </row>
    <row r="55" spans="1:4" ht="140.25" customHeight="1">
      <c r="B55" t="s">
        <v>3506</v>
      </c>
      <c r="C55" t="s">
        <v>3511</v>
      </c>
      <c r="D55" s="112" t="s">
        <v>3572</v>
      </c>
    </row>
    <row r="56" spans="1:4" ht="140.25" customHeight="1">
      <c r="B56" t="s">
        <v>3506</v>
      </c>
      <c r="C56" t="s">
        <v>3511</v>
      </c>
      <c r="D56" s="112" t="s">
        <v>3573</v>
      </c>
    </row>
    <row r="57" spans="1:4" ht="140.25" customHeight="1">
      <c r="B57" t="s">
        <v>3506</v>
      </c>
      <c r="C57" t="s">
        <v>3511</v>
      </c>
      <c r="D57" s="112" t="s">
        <v>3574</v>
      </c>
    </row>
    <row r="58" spans="1:4" ht="114.75" customHeight="1">
      <c r="B58" t="s">
        <v>3506</v>
      </c>
      <c r="C58" t="s">
        <v>3511</v>
      </c>
      <c r="D58" s="112" t="s">
        <v>3575</v>
      </c>
    </row>
    <row r="59" spans="1:4" ht="89.25" customHeight="1">
      <c r="B59" t="s">
        <v>3506</v>
      </c>
      <c r="C59" t="s">
        <v>3511</v>
      </c>
      <c r="D59" s="112" t="s">
        <v>3576</v>
      </c>
    </row>
    <row r="60" spans="1:4" ht="76.5" customHeight="1">
      <c r="A60" s="80" t="s">
        <v>3577</v>
      </c>
      <c r="B60" t="s">
        <v>3506</v>
      </c>
      <c r="C60" t="s">
        <v>3507</v>
      </c>
      <c r="D60" s="112" t="s">
        <v>3578</v>
      </c>
    </row>
    <row r="61" spans="1:4" ht="140.25" customHeight="1">
      <c r="B61" t="s">
        <v>3506</v>
      </c>
      <c r="C61" t="s">
        <v>3511</v>
      </c>
      <c r="D61" s="112" t="s">
        <v>3579</v>
      </c>
    </row>
    <row r="62" spans="1:4" ht="140.25" customHeight="1">
      <c r="B62" t="s">
        <v>3506</v>
      </c>
      <c r="C62" t="s">
        <v>3511</v>
      </c>
      <c r="D62" s="112" t="s">
        <v>3580</v>
      </c>
    </row>
    <row r="63" spans="1:4" ht="140.25" customHeight="1">
      <c r="B63" t="s">
        <v>3506</v>
      </c>
      <c r="C63" t="s">
        <v>3511</v>
      </c>
      <c r="D63" s="112" t="s">
        <v>3581</v>
      </c>
    </row>
    <row r="64" spans="1:4" ht="114.75" customHeight="1">
      <c r="B64" t="s">
        <v>3506</v>
      </c>
      <c r="C64" t="s">
        <v>3511</v>
      </c>
      <c r="D64" s="112" t="s">
        <v>3582</v>
      </c>
    </row>
    <row r="65" spans="1:4" ht="89.25" customHeight="1">
      <c r="B65" t="s">
        <v>3506</v>
      </c>
      <c r="C65" t="s">
        <v>3511</v>
      </c>
      <c r="D65" s="112" t="s">
        <v>3569</v>
      </c>
    </row>
    <row r="66" spans="1:4" ht="76.5" customHeight="1">
      <c r="A66" s="80" t="s">
        <v>3583</v>
      </c>
      <c r="B66" t="s">
        <v>3506</v>
      </c>
      <c r="C66" t="s">
        <v>3507</v>
      </c>
      <c r="D66" s="112" t="s">
        <v>3584</v>
      </c>
    </row>
    <row r="67" spans="1:4" ht="140.25" customHeight="1">
      <c r="B67" t="s">
        <v>3506</v>
      </c>
      <c r="C67" t="s">
        <v>3511</v>
      </c>
      <c r="D67" s="112" t="s">
        <v>3585</v>
      </c>
    </row>
    <row r="68" spans="1:4" ht="140.25" customHeight="1">
      <c r="B68" t="s">
        <v>3506</v>
      </c>
      <c r="C68" t="s">
        <v>3511</v>
      </c>
      <c r="D68" s="112" t="s">
        <v>3586</v>
      </c>
    </row>
    <row r="69" spans="1:4" ht="140.25" customHeight="1">
      <c r="B69" t="s">
        <v>3506</v>
      </c>
      <c r="C69" t="s">
        <v>3511</v>
      </c>
      <c r="D69" s="112" t="s">
        <v>3587</v>
      </c>
    </row>
    <row r="70" spans="1:4" ht="114.75" customHeight="1">
      <c r="B70" t="s">
        <v>3506</v>
      </c>
      <c r="C70" t="s">
        <v>3511</v>
      </c>
      <c r="D70" s="112" t="s">
        <v>3588</v>
      </c>
    </row>
    <row r="71" spans="1:4" ht="89.25" customHeight="1">
      <c r="B71" t="s">
        <v>3506</v>
      </c>
      <c r="C71" t="s">
        <v>3511</v>
      </c>
      <c r="D71" s="112" t="s">
        <v>3576</v>
      </c>
    </row>
    <row r="72" spans="1:4" ht="76.5" customHeight="1">
      <c r="A72" s="80" t="s">
        <v>3589</v>
      </c>
      <c r="B72" t="s">
        <v>3506</v>
      </c>
      <c r="C72" t="s">
        <v>3507</v>
      </c>
      <c r="D72" s="112" t="s">
        <v>3590</v>
      </c>
    </row>
    <row r="73" spans="1:4" ht="140.25" customHeight="1">
      <c r="B73" t="s">
        <v>3506</v>
      </c>
      <c r="C73" t="s">
        <v>3511</v>
      </c>
      <c r="D73" s="112" t="s">
        <v>3591</v>
      </c>
    </row>
    <row r="74" spans="1:4" ht="140.25" customHeight="1">
      <c r="B74" t="s">
        <v>3506</v>
      </c>
      <c r="C74" t="s">
        <v>3511</v>
      </c>
      <c r="D74" s="112" t="s">
        <v>3592</v>
      </c>
    </row>
    <row r="75" spans="1:4" ht="140.25" customHeight="1">
      <c r="B75" t="s">
        <v>3506</v>
      </c>
      <c r="C75" t="s">
        <v>3511</v>
      </c>
      <c r="D75" s="112" t="s">
        <v>3593</v>
      </c>
    </row>
    <row r="76" spans="1:4" ht="140.25" customHeight="1">
      <c r="B76" t="s">
        <v>3506</v>
      </c>
      <c r="C76" t="s">
        <v>3511</v>
      </c>
      <c r="D76" s="112" t="s">
        <v>3594</v>
      </c>
    </row>
    <row r="77" spans="1:4" ht="114.75" customHeight="1">
      <c r="B77" t="s">
        <v>3506</v>
      </c>
      <c r="C77" t="s">
        <v>3511</v>
      </c>
      <c r="D77" s="112" t="s">
        <v>3595</v>
      </c>
    </row>
    <row r="78" spans="1:4" ht="89.25" customHeight="1">
      <c r="B78" t="s">
        <v>3506</v>
      </c>
      <c r="C78" t="s">
        <v>3511</v>
      </c>
      <c r="D78" s="112" t="s">
        <v>3569</v>
      </c>
    </row>
    <row r="79" spans="1:4" ht="76.5" customHeight="1">
      <c r="A79" s="80" t="s">
        <v>3596</v>
      </c>
      <c r="B79" t="s">
        <v>3506</v>
      </c>
      <c r="C79" t="s">
        <v>3507</v>
      </c>
      <c r="D79" s="112" t="s">
        <v>3597</v>
      </c>
    </row>
    <row r="80" spans="1:4" ht="140.25" customHeight="1">
      <c r="B80" t="s">
        <v>3506</v>
      </c>
      <c r="C80" t="s">
        <v>3511</v>
      </c>
      <c r="D80" s="112" t="s">
        <v>3598</v>
      </c>
    </row>
    <row r="81" spans="1:4" ht="140.25" customHeight="1">
      <c r="B81" t="s">
        <v>3506</v>
      </c>
      <c r="C81" t="s">
        <v>3511</v>
      </c>
      <c r="D81" s="112" t="s">
        <v>3599</v>
      </c>
    </row>
    <row r="82" spans="1:4" ht="140.25" customHeight="1">
      <c r="B82" t="s">
        <v>3506</v>
      </c>
      <c r="C82" t="s">
        <v>3511</v>
      </c>
      <c r="D82" s="112" t="s">
        <v>3600</v>
      </c>
    </row>
    <row r="83" spans="1:4" ht="140.25" customHeight="1">
      <c r="B83" t="s">
        <v>3506</v>
      </c>
      <c r="C83" t="s">
        <v>3511</v>
      </c>
      <c r="D83" s="112" t="s">
        <v>3601</v>
      </c>
    </row>
    <row r="84" spans="1:4" ht="114.75" customHeight="1">
      <c r="B84" t="s">
        <v>3506</v>
      </c>
      <c r="C84" t="s">
        <v>3511</v>
      </c>
      <c r="D84" s="112" t="s">
        <v>3602</v>
      </c>
    </row>
    <row r="85" spans="1:4" ht="89.25" customHeight="1">
      <c r="B85" t="s">
        <v>3506</v>
      </c>
      <c r="C85" t="s">
        <v>3511</v>
      </c>
      <c r="D85" s="112" t="s">
        <v>3576</v>
      </c>
    </row>
    <row r="86" spans="1:4" ht="76.5" customHeight="1">
      <c r="A86" s="80" t="s">
        <v>3603</v>
      </c>
      <c r="B86" t="s">
        <v>3506</v>
      </c>
      <c r="C86" t="s">
        <v>3507</v>
      </c>
      <c r="D86" s="112" t="s">
        <v>3604</v>
      </c>
    </row>
    <row r="87" spans="1:4" ht="140.25" customHeight="1">
      <c r="B87" t="s">
        <v>3506</v>
      </c>
      <c r="C87" t="s">
        <v>3511</v>
      </c>
      <c r="D87" s="112" t="s">
        <v>3605</v>
      </c>
    </row>
    <row r="88" spans="1:4" ht="140.25" customHeight="1">
      <c r="B88" t="s">
        <v>3506</v>
      </c>
      <c r="C88" t="s">
        <v>3511</v>
      </c>
      <c r="D88" s="112" t="s">
        <v>3606</v>
      </c>
    </row>
    <row r="89" spans="1:4" ht="140.25" customHeight="1">
      <c r="B89" t="s">
        <v>3506</v>
      </c>
      <c r="C89" t="s">
        <v>3511</v>
      </c>
      <c r="D89" s="112" t="s">
        <v>3607</v>
      </c>
    </row>
    <row r="90" spans="1:4" ht="140.25" customHeight="1">
      <c r="B90" t="s">
        <v>3506</v>
      </c>
      <c r="C90" t="s">
        <v>3511</v>
      </c>
      <c r="D90" s="112" t="s">
        <v>3608</v>
      </c>
    </row>
    <row r="91" spans="1:4" ht="114.75" customHeight="1">
      <c r="B91" t="s">
        <v>3506</v>
      </c>
      <c r="C91" t="s">
        <v>3511</v>
      </c>
      <c r="D91" s="112" t="s">
        <v>3609</v>
      </c>
    </row>
    <row r="92" spans="1:4" ht="89.25" customHeight="1">
      <c r="B92" t="s">
        <v>3506</v>
      </c>
      <c r="C92" t="s">
        <v>3511</v>
      </c>
      <c r="D92" s="112" t="s">
        <v>3576</v>
      </c>
    </row>
    <row r="93" spans="1:4" ht="76.5" customHeight="1">
      <c r="A93" s="80" t="s">
        <v>3610</v>
      </c>
      <c r="B93" t="s">
        <v>3506</v>
      </c>
      <c r="C93" t="s">
        <v>3507</v>
      </c>
      <c r="D93" s="112" t="s">
        <v>3611</v>
      </c>
    </row>
    <row r="94" spans="1:4" ht="140.25" customHeight="1">
      <c r="B94" t="s">
        <v>3506</v>
      </c>
      <c r="C94" t="s">
        <v>3511</v>
      </c>
      <c r="D94" s="112" t="s">
        <v>3612</v>
      </c>
    </row>
    <row r="95" spans="1:4" ht="140.25" customHeight="1">
      <c r="B95" t="s">
        <v>3506</v>
      </c>
      <c r="C95" t="s">
        <v>3511</v>
      </c>
      <c r="D95" s="112" t="s">
        <v>3613</v>
      </c>
    </row>
    <row r="96" spans="1:4" ht="140.25" customHeight="1">
      <c r="B96" t="s">
        <v>3506</v>
      </c>
      <c r="C96" t="s">
        <v>3511</v>
      </c>
      <c r="D96" s="112" t="s">
        <v>3614</v>
      </c>
    </row>
    <row r="97" spans="1:5" ht="140.25" customHeight="1">
      <c r="B97" t="s">
        <v>3506</v>
      </c>
      <c r="C97" t="s">
        <v>3511</v>
      </c>
      <c r="D97" s="112" t="s">
        <v>3615</v>
      </c>
    </row>
    <row r="98" spans="1:5" ht="114.75" customHeight="1">
      <c r="B98" t="s">
        <v>3506</v>
      </c>
      <c r="C98" t="s">
        <v>3511</v>
      </c>
      <c r="D98" s="112" t="s">
        <v>3616</v>
      </c>
    </row>
    <row r="99" spans="1:5" ht="89.25" customHeight="1">
      <c r="B99" t="s">
        <v>3506</v>
      </c>
      <c r="C99" t="s">
        <v>3511</v>
      </c>
      <c r="D99" s="112" t="s">
        <v>3569</v>
      </c>
    </row>
    <row r="100" spans="1:5" ht="76.5" customHeight="1">
      <c r="A100" s="80" t="s">
        <v>3617</v>
      </c>
      <c r="B100" t="s">
        <v>3506</v>
      </c>
      <c r="C100" t="s">
        <v>3507</v>
      </c>
      <c r="D100" s="112" t="s">
        <v>3618</v>
      </c>
    </row>
    <row r="101" spans="1:5" ht="140.25" customHeight="1">
      <c r="B101" t="s">
        <v>3506</v>
      </c>
      <c r="C101" t="s">
        <v>3511</v>
      </c>
      <c r="D101" s="112" t="s">
        <v>3619</v>
      </c>
    </row>
    <row r="102" spans="1:5" ht="140.25" customHeight="1">
      <c r="B102" t="s">
        <v>3506</v>
      </c>
      <c r="C102" t="s">
        <v>3511</v>
      </c>
      <c r="D102" s="112" t="s">
        <v>3620</v>
      </c>
    </row>
    <row r="103" spans="1:5" ht="140.25" customHeight="1">
      <c r="B103" t="s">
        <v>3506</v>
      </c>
      <c r="C103" t="s">
        <v>3511</v>
      </c>
      <c r="D103" s="112" t="s">
        <v>3621</v>
      </c>
    </row>
    <row r="104" spans="1:5" ht="140.25" customHeight="1">
      <c r="B104" t="s">
        <v>3506</v>
      </c>
      <c r="C104" t="s">
        <v>3511</v>
      </c>
      <c r="D104" s="112" t="s">
        <v>3622</v>
      </c>
    </row>
    <row r="105" spans="1:5" ht="140.25" customHeight="1">
      <c r="B105" t="s">
        <v>3506</v>
      </c>
      <c r="C105" t="s">
        <v>3511</v>
      </c>
      <c r="D105" s="112" t="s">
        <v>3623</v>
      </c>
    </row>
    <row r="106" spans="1:5" ht="89.25" customHeight="1">
      <c r="A106">
        <v>1019</v>
      </c>
      <c r="B106" t="s">
        <v>3506</v>
      </c>
      <c r="C106" t="s">
        <v>3511</v>
      </c>
      <c r="D106" s="112" t="s">
        <v>3576</v>
      </c>
    </row>
    <row r="107" spans="1:5">
      <c r="A107">
        <v>1002</v>
      </c>
      <c r="B107" t="s">
        <v>3504</v>
      </c>
      <c r="C107" t="s">
        <v>3624</v>
      </c>
      <c r="D107" t="s">
        <v>3625</v>
      </c>
      <c r="E107" t="s">
        <v>3626</v>
      </c>
    </row>
    <row r="108" spans="1:5">
      <c r="A108">
        <v>1004</v>
      </c>
      <c r="B108" t="s">
        <v>3504</v>
      </c>
      <c r="C108" t="s">
        <v>3627</v>
      </c>
      <c r="D108" t="s">
        <v>3628</v>
      </c>
      <c r="E108" t="s">
        <v>3626</v>
      </c>
    </row>
    <row r="109" spans="1:5">
      <c r="A109">
        <v>1009</v>
      </c>
      <c r="B109" t="s">
        <v>3504</v>
      </c>
      <c r="C109" t="s">
        <v>3629</v>
      </c>
      <c r="D109" t="s">
        <v>3630</v>
      </c>
      <c r="E109" t="s">
        <v>3626</v>
      </c>
    </row>
    <row r="110" spans="1:5">
      <c r="A110">
        <v>1014</v>
      </c>
      <c r="B110" t="s">
        <v>3504</v>
      </c>
      <c r="C110" t="s">
        <v>3631</v>
      </c>
      <c r="D110" t="s">
        <v>3632</v>
      </c>
      <c r="E110" t="s">
        <v>3626</v>
      </c>
    </row>
    <row r="111" spans="1:5">
      <c r="A111">
        <v>1014</v>
      </c>
      <c r="B111" t="s">
        <v>3504</v>
      </c>
      <c r="C111" t="s">
        <v>3633</v>
      </c>
      <c r="D111" t="s">
        <v>3634</v>
      </c>
      <c r="E111" t="s">
        <v>3626</v>
      </c>
    </row>
    <row r="112" spans="1:5" ht="13.5">
      <c r="A112">
        <v>1019</v>
      </c>
      <c r="B112" t="s">
        <v>3504</v>
      </c>
      <c r="C112" t="s">
        <v>3644</v>
      </c>
      <c r="D112" s="163" t="s">
        <v>4546</v>
      </c>
      <c r="E112" t="s">
        <v>3626</v>
      </c>
    </row>
    <row r="113" spans="1:5">
      <c r="A113">
        <v>1019</v>
      </c>
      <c r="B113" t="s">
        <v>3504</v>
      </c>
      <c r="C113" t="s">
        <v>3645</v>
      </c>
      <c r="D113" t="s">
        <v>3646</v>
      </c>
      <c r="E113" t="s">
        <v>3626</v>
      </c>
    </row>
    <row r="114" spans="1:5">
      <c r="A114">
        <v>1024</v>
      </c>
      <c r="B114" t="s">
        <v>3504</v>
      </c>
      <c r="C114" t="s">
        <v>3635</v>
      </c>
      <c r="D114" t="s">
        <v>3636</v>
      </c>
      <c r="E114" t="s">
        <v>3626</v>
      </c>
    </row>
    <row r="115" spans="1:5">
      <c r="A115">
        <v>1029</v>
      </c>
      <c r="B115" t="s">
        <v>3504</v>
      </c>
      <c r="C115" t="s">
        <v>3637</v>
      </c>
      <c r="D115" t="s">
        <v>3638</v>
      </c>
      <c r="E115" t="s">
        <v>3626</v>
      </c>
    </row>
    <row r="116" spans="1:5">
      <c r="A116">
        <v>1034</v>
      </c>
      <c r="B116" t="s">
        <v>3504</v>
      </c>
      <c r="C116" t="s">
        <v>1601</v>
      </c>
      <c r="D116" t="s">
        <v>3639</v>
      </c>
      <c r="E116" t="s">
        <v>3626</v>
      </c>
    </row>
    <row r="117" spans="1:5">
      <c r="A117">
        <v>1044</v>
      </c>
      <c r="B117" t="s">
        <v>3504</v>
      </c>
      <c r="C117" t="s">
        <v>3640</v>
      </c>
      <c r="D117" t="s">
        <v>3641</v>
      </c>
      <c r="E117" t="s">
        <v>3626</v>
      </c>
    </row>
    <row r="118" spans="1:5">
      <c r="A118">
        <v>1044</v>
      </c>
      <c r="B118" t="s">
        <v>3504</v>
      </c>
      <c r="C118" t="s">
        <v>3642</v>
      </c>
      <c r="D118" t="s">
        <v>3643</v>
      </c>
      <c r="E118" t="s">
        <v>3626</v>
      </c>
    </row>
    <row r="119" spans="1:5">
      <c r="A119">
        <v>1089</v>
      </c>
      <c r="B119" t="s">
        <v>3504</v>
      </c>
      <c r="C119" t="s">
        <v>3647</v>
      </c>
      <c r="D119" t="s">
        <v>3648</v>
      </c>
      <c r="E119" t="s">
        <v>3626</v>
      </c>
    </row>
    <row r="120" spans="1:5">
      <c r="A120">
        <v>1119</v>
      </c>
      <c r="B120" t="s">
        <v>3504</v>
      </c>
      <c r="C120" t="s">
        <v>1602</v>
      </c>
      <c r="D120" t="s">
        <v>3649</v>
      </c>
      <c r="E120" t="s">
        <v>3626</v>
      </c>
    </row>
    <row r="121" spans="1:5">
      <c r="A121">
        <v>1149</v>
      </c>
      <c r="B121" t="s">
        <v>3504</v>
      </c>
      <c r="C121" t="s">
        <v>3650</v>
      </c>
      <c r="D121" t="s">
        <v>3651</v>
      </c>
      <c r="E121" t="s">
        <v>3626</v>
      </c>
    </row>
    <row r="122" spans="1:5">
      <c r="A122">
        <v>1179</v>
      </c>
      <c r="B122" t="s">
        <v>3504</v>
      </c>
      <c r="C122" t="s">
        <v>3652</v>
      </c>
      <c r="D122" t="s">
        <v>3653</v>
      </c>
      <c r="E122" t="s">
        <v>3626</v>
      </c>
    </row>
  </sheetData>
  <phoneticPr fontId="29" type="noConversion"/>
  <dataValidations count="2">
    <dataValidation type="list" allowBlank="1" showErrorMessage="1" sqref="B2:B47" xr:uid="{00000000-0002-0000-0E00-000000000000}">
      <formula1>"story,guide"</formula1>
      <formula2>0</formula2>
    </dataValidation>
    <dataValidation type="list" allowBlank="1" showErrorMessage="1" sqref="C2:C47" xr:uid="{00000000-0002-0000-0E00-000001000000}">
      <formula1>"before,battle,after"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22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sheetData>
    <row r="1" spans="1:5" ht="14.25" customHeight="1">
      <c r="A1" s="7" t="s">
        <v>63</v>
      </c>
      <c r="B1" s="7" t="s">
        <v>3654</v>
      </c>
      <c r="C1" s="7" t="s">
        <v>3655</v>
      </c>
      <c r="D1" s="7" t="s">
        <v>3656</v>
      </c>
      <c r="E1" s="7" t="s">
        <v>3657</v>
      </c>
    </row>
    <row r="2" spans="1:5" ht="14.25" customHeight="1">
      <c r="A2" s="7">
        <v>10</v>
      </c>
      <c r="B2" s="113">
        <f t="shared" ref="B2:B33" si="0">(0.4-A2*0.001)/7</f>
        <v>5.5714285714285716E-2</v>
      </c>
      <c r="C2" s="7">
        <f t="shared" ref="C2:C33" si="1">D2-4</f>
        <v>7</v>
      </c>
      <c r="D2" s="7">
        <f t="shared" ref="D2:D33" si="2">11+ROUND(A2*0.04,0)</f>
        <v>11</v>
      </c>
      <c r="E2" s="7">
        <f t="shared" ref="E2:E33" si="3">ROUND(C2/3,0)</f>
        <v>2</v>
      </c>
    </row>
    <row r="3" spans="1:5" ht="14.25" customHeight="1">
      <c r="A3" s="7">
        <v>11</v>
      </c>
      <c r="B3" s="113">
        <f t="shared" si="0"/>
        <v>5.557142857142857E-2</v>
      </c>
      <c r="C3" s="7">
        <f t="shared" si="1"/>
        <v>7</v>
      </c>
      <c r="D3" s="7">
        <f t="shared" si="2"/>
        <v>11</v>
      </c>
      <c r="E3" s="7">
        <f t="shared" si="3"/>
        <v>2</v>
      </c>
    </row>
    <row r="4" spans="1:5" ht="14.25" customHeight="1">
      <c r="A4" s="7">
        <v>12</v>
      </c>
      <c r="B4" s="113">
        <f t="shared" si="0"/>
        <v>5.5428571428571431E-2</v>
      </c>
      <c r="C4" s="7">
        <f t="shared" si="1"/>
        <v>7</v>
      </c>
      <c r="D4" s="7">
        <f t="shared" si="2"/>
        <v>11</v>
      </c>
      <c r="E4" s="7">
        <f t="shared" si="3"/>
        <v>2</v>
      </c>
    </row>
    <row r="5" spans="1:5" ht="14.25" customHeight="1">
      <c r="A5" s="7">
        <v>13</v>
      </c>
      <c r="B5" s="113">
        <f t="shared" si="0"/>
        <v>5.5285714285714285E-2</v>
      </c>
      <c r="C5" s="7">
        <f t="shared" si="1"/>
        <v>8</v>
      </c>
      <c r="D5" s="7">
        <f t="shared" si="2"/>
        <v>12</v>
      </c>
      <c r="E5" s="7">
        <f t="shared" si="3"/>
        <v>3</v>
      </c>
    </row>
    <row r="6" spans="1:5" ht="14.25" customHeight="1">
      <c r="A6" s="7">
        <v>14</v>
      </c>
      <c r="B6" s="113">
        <f t="shared" si="0"/>
        <v>5.5142857142857146E-2</v>
      </c>
      <c r="C6" s="7">
        <f t="shared" si="1"/>
        <v>8</v>
      </c>
      <c r="D6" s="7">
        <f t="shared" si="2"/>
        <v>12</v>
      </c>
      <c r="E6" s="7">
        <f t="shared" si="3"/>
        <v>3</v>
      </c>
    </row>
    <row r="7" spans="1:5" ht="14.25" customHeight="1">
      <c r="A7" s="7">
        <v>15</v>
      </c>
      <c r="B7" s="113">
        <f t="shared" si="0"/>
        <v>5.5E-2</v>
      </c>
      <c r="C7" s="7">
        <f t="shared" si="1"/>
        <v>8</v>
      </c>
      <c r="D7" s="7">
        <f t="shared" si="2"/>
        <v>12</v>
      </c>
      <c r="E7" s="7">
        <f t="shared" si="3"/>
        <v>3</v>
      </c>
    </row>
    <row r="8" spans="1:5" ht="14.25" customHeight="1">
      <c r="A8" s="7">
        <v>16</v>
      </c>
      <c r="B8" s="113">
        <f t="shared" si="0"/>
        <v>5.4857142857142861E-2</v>
      </c>
      <c r="C8" s="7">
        <f t="shared" si="1"/>
        <v>8</v>
      </c>
      <c r="D8" s="7">
        <f t="shared" si="2"/>
        <v>12</v>
      </c>
      <c r="E8" s="7">
        <f t="shared" si="3"/>
        <v>3</v>
      </c>
    </row>
    <row r="9" spans="1:5" ht="14.25" customHeight="1">
      <c r="A9" s="7">
        <v>17</v>
      </c>
      <c r="B9" s="113">
        <f t="shared" si="0"/>
        <v>5.4714285714285715E-2</v>
      </c>
      <c r="C9" s="7">
        <f t="shared" si="1"/>
        <v>8</v>
      </c>
      <c r="D9" s="7">
        <f t="shared" si="2"/>
        <v>12</v>
      </c>
      <c r="E9" s="7">
        <f t="shared" si="3"/>
        <v>3</v>
      </c>
    </row>
    <row r="10" spans="1:5" ht="14.25" customHeight="1">
      <c r="A10" s="7">
        <v>18</v>
      </c>
      <c r="B10" s="113">
        <f t="shared" si="0"/>
        <v>5.4571428571428569E-2</v>
      </c>
      <c r="C10" s="7">
        <f t="shared" si="1"/>
        <v>8</v>
      </c>
      <c r="D10" s="7">
        <f t="shared" si="2"/>
        <v>12</v>
      </c>
      <c r="E10" s="7">
        <f t="shared" si="3"/>
        <v>3</v>
      </c>
    </row>
    <row r="11" spans="1:5" ht="14.25" customHeight="1">
      <c r="A11" s="7">
        <v>19</v>
      </c>
      <c r="B11" s="113">
        <f t="shared" si="0"/>
        <v>5.442857142857143E-2</v>
      </c>
      <c r="C11" s="7">
        <f t="shared" si="1"/>
        <v>8</v>
      </c>
      <c r="D11" s="7">
        <f t="shared" si="2"/>
        <v>12</v>
      </c>
      <c r="E11" s="7">
        <f t="shared" si="3"/>
        <v>3</v>
      </c>
    </row>
    <row r="12" spans="1:5" ht="14.25" customHeight="1">
      <c r="A12" s="7">
        <v>20</v>
      </c>
      <c r="B12" s="113">
        <f t="shared" si="0"/>
        <v>5.4285714285714284E-2</v>
      </c>
      <c r="C12" s="7">
        <f t="shared" si="1"/>
        <v>8</v>
      </c>
      <c r="D12" s="7">
        <f t="shared" si="2"/>
        <v>12</v>
      </c>
      <c r="E12" s="7">
        <f t="shared" si="3"/>
        <v>3</v>
      </c>
    </row>
    <row r="13" spans="1:5" ht="14.25" customHeight="1">
      <c r="A13" s="7">
        <v>21</v>
      </c>
      <c r="B13" s="113">
        <f t="shared" si="0"/>
        <v>5.4142857142857145E-2</v>
      </c>
      <c r="C13" s="7">
        <f t="shared" si="1"/>
        <v>8</v>
      </c>
      <c r="D13" s="7">
        <f t="shared" si="2"/>
        <v>12</v>
      </c>
      <c r="E13" s="7">
        <f t="shared" si="3"/>
        <v>3</v>
      </c>
    </row>
    <row r="14" spans="1:5" ht="14.25" customHeight="1">
      <c r="A14" s="7">
        <v>22</v>
      </c>
      <c r="B14" s="113">
        <f t="shared" si="0"/>
        <v>5.3999999999999999E-2</v>
      </c>
      <c r="C14" s="7">
        <f t="shared" si="1"/>
        <v>8</v>
      </c>
      <c r="D14" s="7">
        <f t="shared" si="2"/>
        <v>12</v>
      </c>
      <c r="E14" s="7">
        <f t="shared" si="3"/>
        <v>3</v>
      </c>
    </row>
    <row r="15" spans="1:5" ht="14.25" customHeight="1">
      <c r="A15" s="7">
        <v>23</v>
      </c>
      <c r="B15" s="113">
        <f t="shared" si="0"/>
        <v>5.385714285714286E-2</v>
      </c>
      <c r="C15" s="7">
        <f t="shared" si="1"/>
        <v>8</v>
      </c>
      <c r="D15" s="7">
        <f t="shared" si="2"/>
        <v>12</v>
      </c>
      <c r="E15" s="7">
        <f t="shared" si="3"/>
        <v>3</v>
      </c>
    </row>
    <row r="16" spans="1:5" ht="14.25" customHeight="1">
      <c r="A16" s="7">
        <v>24</v>
      </c>
      <c r="B16" s="113">
        <f t="shared" si="0"/>
        <v>5.3714285714285714E-2</v>
      </c>
      <c r="C16" s="7">
        <f t="shared" si="1"/>
        <v>8</v>
      </c>
      <c r="D16" s="7">
        <f t="shared" si="2"/>
        <v>12</v>
      </c>
      <c r="E16" s="7">
        <f t="shared" si="3"/>
        <v>3</v>
      </c>
    </row>
    <row r="17" spans="1:5" ht="14.25" customHeight="1">
      <c r="A17" s="7">
        <v>25</v>
      </c>
      <c r="B17" s="113">
        <f t="shared" si="0"/>
        <v>5.3571428571428568E-2</v>
      </c>
      <c r="C17" s="7">
        <f t="shared" si="1"/>
        <v>8</v>
      </c>
      <c r="D17" s="7">
        <f t="shared" si="2"/>
        <v>12</v>
      </c>
      <c r="E17" s="7">
        <f t="shared" si="3"/>
        <v>3</v>
      </c>
    </row>
    <row r="18" spans="1:5" ht="14.25" customHeight="1">
      <c r="A18" s="7">
        <v>26</v>
      </c>
      <c r="B18" s="113">
        <f t="shared" si="0"/>
        <v>5.3428571428571429E-2</v>
      </c>
      <c r="C18" s="7">
        <f t="shared" si="1"/>
        <v>8</v>
      </c>
      <c r="D18" s="7">
        <f t="shared" si="2"/>
        <v>12</v>
      </c>
      <c r="E18" s="7">
        <f t="shared" si="3"/>
        <v>3</v>
      </c>
    </row>
    <row r="19" spans="1:5" ht="14.25" customHeight="1">
      <c r="A19" s="7">
        <v>27</v>
      </c>
      <c r="B19" s="113">
        <f t="shared" si="0"/>
        <v>5.3285714285714283E-2</v>
      </c>
      <c r="C19" s="7">
        <f t="shared" si="1"/>
        <v>8</v>
      </c>
      <c r="D19" s="7">
        <f t="shared" si="2"/>
        <v>12</v>
      </c>
      <c r="E19" s="7">
        <f t="shared" si="3"/>
        <v>3</v>
      </c>
    </row>
    <row r="20" spans="1:5" ht="14.25" customHeight="1">
      <c r="A20" s="7">
        <v>28</v>
      </c>
      <c r="B20" s="113">
        <f t="shared" si="0"/>
        <v>5.3142857142857144E-2</v>
      </c>
      <c r="C20" s="7">
        <f t="shared" si="1"/>
        <v>8</v>
      </c>
      <c r="D20" s="7">
        <f t="shared" si="2"/>
        <v>12</v>
      </c>
      <c r="E20" s="7">
        <f t="shared" si="3"/>
        <v>3</v>
      </c>
    </row>
    <row r="21" spans="1:5" ht="14.25" customHeight="1">
      <c r="A21" s="7">
        <v>29</v>
      </c>
      <c r="B21" s="113">
        <f t="shared" si="0"/>
        <v>5.2999999999999999E-2</v>
      </c>
      <c r="C21" s="7">
        <f t="shared" si="1"/>
        <v>8</v>
      </c>
      <c r="D21" s="7">
        <f t="shared" si="2"/>
        <v>12</v>
      </c>
      <c r="E21" s="7">
        <f t="shared" si="3"/>
        <v>3</v>
      </c>
    </row>
    <row r="22" spans="1:5" ht="14.25" customHeight="1">
      <c r="A22" s="7">
        <v>30</v>
      </c>
      <c r="B22" s="113">
        <f t="shared" si="0"/>
        <v>5.2857142857142859E-2</v>
      </c>
      <c r="C22" s="7">
        <f t="shared" si="1"/>
        <v>8</v>
      </c>
      <c r="D22" s="7">
        <f t="shared" si="2"/>
        <v>12</v>
      </c>
      <c r="E22" s="7">
        <f t="shared" si="3"/>
        <v>3</v>
      </c>
    </row>
    <row r="23" spans="1:5" ht="14.25" customHeight="1">
      <c r="A23" s="7">
        <v>31</v>
      </c>
      <c r="B23" s="113">
        <f t="shared" si="0"/>
        <v>5.2714285714285714E-2</v>
      </c>
      <c r="C23" s="7">
        <f t="shared" si="1"/>
        <v>8</v>
      </c>
      <c r="D23" s="7">
        <f t="shared" si="2"/>
        <v>12</v>
      </c>
      <c r="E23" s="7">
        <f t="shared" si="3"/>
        <v>3</v>
      </c>
    </row>
    <row r="24" spans="1:5" ht="14.25" customHeight="1">
      <c r="A24" s="7">
        <v>32</v>
      </c>
      <c r="B24" s="113">
        <f t="shared" si="0"/>
        <v>5.2571428571428568E-2</v>
      </c>
      <c r="C24" s="7">
        <f t="shared" si="1"/>
        <v>8</v>
      </c>
      <c r="D24" s="7">
        <f t="shared" si="2"/>
        <v>12</v>
      </c>
      <c r="E24" s="7">
        <f t="shared" si="3"/>
        <v>3</v>
      </c>
    </row>
    <row r="25" spans="1:5" ht="14.25" customHeight="1">
      <c r="A25" s="7">
        <v>33</v>
      </c>
      <c r="B25" s="113">
        <f t="shared" si="0"/>
        <v>5.2428571428571429E-2</v>
      </c>
      <c r="C25" s="7">
        <f t="shared" si="1"/>
        <v>8</v>
      </c>
      <c r="D25" s="7">
        <f t="shared" si="2"/>
        <v>12</v>
      </c>
      <c r="E25" s="7">
        <f t="shared" si="3"/>
        <v>3</v>
      </c>
    </row>
    <row r="26" spans="1:5" ht="14.25" customHeight="1">
      <c r="A26" s="7">
        <v>34</v>
      </c>
      <c r="B26" s="113">
        <f t="shared" si="0"/>
        <v>5.2285714285714283E-2</v>
      </c>
      <c r="C26" s="7">
        <f t="shared" si="1"/>
        <v>8</v>
      </c>
      <c r="D26" s="7">
        <f t="shared" si="2"/>
        <v>12</v>
      </c>
      <c r="E26" s="7">
        <f t="shared" si="3"/>
        <v>3</v>
      </c>
    </row>
    <row r="27" spans="1:5" ht="14.25" customHeight="1">
      <c r="A27" s="7">
        <v>35</v>
      </c>
      <c r="B27" s="113">
        <f t="shared" si="0"/>
        <v>5.2142857142857144E-2</v>
      </c>
      <c r="C27" s="7">
        <f t="shared" si="1"/>
        <v>8</v>
      </c>
      <c r="D27" s="7">
        <f t="shared" si="2"/>
        <v>12</v>
      </c>
      <c r="E27" s="7">
        <f t="shared" si="3"/>
        <v>3</v>
      </c>
    </row>
    <row r="28" spans="1:5" ht="14.25" customHeight="1">
      <c r="A28" s="7">
        <v>36</v>
      </c>
      <c r="B28" s="113">
        <f t="shared" si="0"/>
        <v>5.1999999999999998E-2</v>
      </c>
      <c r="C28" s="7">
        <f t="shared" si="1"/>
        <v>8</v>
      </c>
      <c r="D28" s="7">
        <f t="shared" si="2"/>
        <v>12</v>
      </c>
      <c r="E28" s="7">
        <f t="shared" si="3"/>
        <v>3</v>
      </c>
    </row>
    <row r="29" spans="1:5" ht="14.25" customHeight="1">
      <c r="A29" s="7">
        <v>37</v>
      </c>
      <c r="B29" s="113">
        <f t="shared" si="0"/>
        <v>5.1857142857142866E-2</v>
      </c>
      <c r="C29" s="7">
        <f t="shared" si="1"/>
        <v>8</v>
      </c>
      <c r="D29" s="7">
        <f t="shared" si="2"/>
        <v>12</v>
      </c>
      <c r="E29" s="7">
        <f t="shared" si="3"/>
        <v>3</v>
      </c>
    </row>
    <row r="30" spans="1:5" ht="14.25" customHeight="1">
      <c r="A30" s="7">
        <v>38</v>
      </c>
      <c r="B30" s="113">
        <f t="shared" si="0"/>
        <v>5.171428571428572E-2</v>
      </c>
      <c r="C30" s="7">
        <f t="shared" si="1"/>
        <v>9</v>
      </c>
      <c r="D30" s="7">
        <f t="shared" si="2"/>
        <v>13</v>
      </c>
      <c r="E30" s="7">
        <f t="shared" si="3"/>
        <v>3</v>
      </c>
    </row>
    <row r="31" spans="1:5" ht="14.25" customHeight="1">
      <c r="A31" s="7">
        <v>39</v>
      </c>
      <c r="B31" s="113">
        <f t="shared" si="0"/>
        <v>5.1571428571428581E-2</v>
      </c>
      <c r="C31" s="7">
        <f t="shared" si="1"/>
        <v>9</v>
      </c>
      <c r="D31" s="7">
        <f t="shared" si="2"/>
        <v>13</v>
      </c>
      <c r="E31" s="7">
        <f t="shared" si="3"/>
        <v>3</v>
      </c>
    </row>
    <row r="32" spans="1:5" ht="14.25" customHeight="1">
      <c r="A32" s="7">
        <v>40</v>
      </c>
      <c r="B32" s="113">
        <f t="shared" si="0"/>
        <v>5.1428571428571435E-2</v>
      </c>
      <c r="C32" s="7">
        <f t="shared" si="1"/>
        <v>9</v>
      </c>
      <c r="D32" s="7">
        <f t="shared" si="2"/>
        <v>13</v>
      </c>
      <c r="E32" s="7">
        <f t="shared" si="3"/>
        <v>3</v>
      </c>
    </row>
    <row r="33" spans="1:5" ht="14.25" customHeight="1">
      <c r="A33" s="7">
        <v>41</v>
      </c>
      <c r="B33" s="113">
        <f t="shared" si="0"/>
        <v>5.1285714285714289E-2</v>
      </c>
      <c r="C33" s="7">
        <f t="shared" si="1"/>
        <v>9</v>
      </c>
      <c r="D33" s="7">
        <f t="shared" si="2"/>
        <v>13</v>
      </c>
      <c r="E33" s="7">
        <f t="shared" si="3"/>
        <v>3</v>
      </c>
    </row>
    <row r="34" spans="1:5" ht="14.25" customHeight="1">
      <c r="A34" s="7">
        <v>42</v>
      </c>
      <c r="B34" s="113">
        <f t="shared" ref="B34:B65" si="4">(0.4-A34*0.001)/7</f>
        <v>5.114285714285715E-2</v>
      </c>
      <c r="C34" s="7">
        <f t="shared" ref="C34:C65" si="5">D34-4</f>
        <v>9</v>
      </c>
      <c r="D34" s="7">
        <f t="shared" ref="D34:D65" si="6">11+ROUND(A34*0.04,0)</f>
        <v>13</v>
      </c>
      <c r="E34" s="7">
        <f t="shared" ref="E34:E65" si="7">ROUND(C34/3,0)</f>
        <v>3</v>
      </c>
    </row>
    <row r="35" spans="1:5" ht="14.25" customHeight="1">
      <c r="A35" s="7">
        <v>43</v>
      </c>
      <c r="B35" s="113">
        <f t="shared" si="4"/>
        <v>5.1000000000000004E-2</v>
      </c>
      <c r="C35" s="7">
        <f t="shared" si="5"/>
        <v>9</v>
      </c>
      <c r="D35" s="7">
        <f t="shared" si="6"/>
        <v>13</v>
      </c>
      <c r="E35" s="7">
        <f t="shared" si="7"/>
        <v>3</v>
      </c>
    </row>
    <row r="36" spans="1:5" ht="14.25" customHeight="1">
      <c r="A36" s="7">
        <v>44</v>
      </c>
      <c r="B36" s="113">
        <f t="shared" si="4"/>
        <v>5.0857142857142865E-2</v>
      </c>
      <c r="C36" s="7">
        <f t="shared" si="5"/>
        <v>9</v>
      </c>
      <c r="D36" s="7">
        <f t="shared" si="6"/>
        <v>13</v>
      </c>
      <c r="E36" s="7">
        <f t="shared" si="7"/>
        <v>3</v>
      </c>
    </row>
    <row r="37" spans="1:5" ht="14.25" customHeight="1">
      <c r="A37" s="7">
        <v>45</v>
      </c>
      <c r="B37" s="113">
        <f t="shared" si="4"/>
        <v>5.0714285714285719E-2</v>
      </c>
      <c r="C37" s="7">
        <f t="shared" si="5"/>
        <v>9</v>
      </c>
      <c r="D37" s="7">
        <f t="shared" si="6"/>
        <v>13</v>
      </c>
      <c r="E37" s="7">
        <f t="shared" si="7"/>
        <v>3</v>
      </c>
    </row>
    <row r="38" spans="1:5" ht="14.25" customHeight="1">
      <c r="A38" s="7">
        <v>46</v>
      </c>
      <c r="B38" s="113">
        <f t="shared" si="4"/>
        <v>5.057142857142858E-2</v>
      </c>
      <c r="C38" s="7">
        <f t="shared" si="5"/>
        <v>9</v>
      </c>
      <c r="D38" s="7">
        <f t="shared" si="6"/>
        <v>13</v>
      </c>
      <c r="E38" s="7">
        <f t="shared" si="7"/>
        <v>3</v>
      </c>
    </row>
    <row r="39" spans="1:5" ht="14.25" customHeight="1">
      <c r="A39" s="7">
        <v>47</v>
      </c>
      <c r="B39" s="113">
        <f t="shared" si="4"/>
        <v>5.0428571428571434E-2</v>
      </c>
      <c r="C39" s="7">
        <f t="shared" si="5"/>
        <v>9</v>
      </c>
      <c r="D39" s="7">
        <f t="shared" si="6"/>
        <v>13</v>
      </c>
      <c r="E39" s="7">
        <f t="shared" si="7"/>
        <v>3</v>
      </c>
    </row>
    <row r="40" spans="1:5" ht="14.25" customHeight="1">
      <c r="A40" s="7">
        <v>48</v>
      </c>
      <c r="B40" s="113">
        <f t="shared" si="4"/>
        <v>5.0285714285714288E-2</v>
      </c>
      <c r="C40" s="7">
        <f t="shared" si="5"/>
        <v>9</v>
      </c>
      <c r="D40" s="7">
        <f t="shared" si="6"/>
        <v>13</v>
      </c>
      <c r="E40" s="7">
        <f t="shared" si="7"/>
        <v>3</v>
      </c>
    </row>
    <row r="41" spans="1:5" ht="14.25" customHeight="1">
      <c r="A41" s="7">
        <v>49</v>
      </c>
      <c r="B41" s="113">
        <f t="shared" si="4"/>
        <v>5.0142857142857149E-2</v>
      </c>
      <c r="C41" s="7">
        <f t="shared" si="5"/>
        <v>9</v>
      </c>
      <c r="D41" s="7">
        <f t="shared" si="6"/>
        <v>13</v>
      </c>
      <c r="E41" s="7">
        <f t="shared" si="7"/>
        <v>3</v>
      </c>
    </row>
    <row r="42" spans="1:5" ht="14.25" customHeight="1">
      <c r="A42" s="7">
        <v>50</v>
      </c>
      <c r="B42" s="113">
        <f t="shared" si="4"/>
        <v>0.05</v>
      </c>
      <c r="C42" s="7">
        <f t="shared" si="5"/>
        <v>9</v>
      </c>
      <c r="D42" s="7">
        <f t="shared" si="6"/>
        <v>13</v>
      </c>
      <c r="E42" s="7">
        <f t="shared" si="7"/>
        <v>3</v>
      </c>
    </row>
    <row r="43" spans="1:5" ht="14.25" customHeight="1">
      <c r="A43" s="7">
        <v>51</v>
      </c>
      <c r="B43" s="113">
        <f t="shared" si="4"/>
        <v>4.9857142857142864E-2</v>
      </c>
      <c r="C43" s="7">
        <f t="shared" si="5"/>
        <v>9</v>
      </c>
      <c r="D43" s="7">
        <f t="shared" si="6"/>
        <v>13</v>
      </c>
      <c r="E43" s="7">
        <f t="shared" si="7"/>
        <v>3</v>
      </c>
    </row>
    <row r="44" spans="1:5" ht="14.25" customHeight="1">
      <c r="A44" s="7">
        <v>52</v>
      </c>
      <c r="B44" s="113">
        <f t="shared" si="4"/>
        <v>4.9714285714285718E-2</v>
      </c>
      <c r="C44" s="7">
        <f t="shared" si="5"/>
        <v>9</v>
      </c>
      <c r="D44" s="7">
        <f t="shared" si="6"/>
        <v>13</v>
      </c>
      <c r="E44" s="7">
        <f t="shared" si="7"/>
        <v>3</v>
      </c>
    </row>
    <row r="45" spans="1:5" ht="14.25" customHeight="1">
      <c r="A45" s="7">
        <v>53</v>
      </c>
      <c r="B45" s="113">
        <f t="shared" si="4"/>
        <v>4.9571428571428579E-2</v>
      </c>
      <c r="C45" s="7">
        <f t="shared" si="5"/>
        <v>9</v>
      </c>
      <c r="D45" s="7">
        <f t="shared" si="6"/>
        <v>13</v>
      </c>
      <c r="E45" s="7">
        <f t="shared" si="7"/>
        <v>3</v>
      </c>
    </row>
    <row r="46" spans="1:5" ht="14.25" customHeight="1">
      <c r="A46" s="7">
        <v>54</v>
      </c>
      <c r="B46" s="113">
        <f t="shared" si="4"/>
        <v>4.9428571428571433E-2</v>
      </c>
      <c r="C46" s="7">
        <f t="shared" si="5"/>
        <v>9</v>
      </c>
      <c r="D46" s="7">
        <f t="shared" si="6"/>
        <v>13</v>
      </c>
      <c r="E46" s="7">
        <f t="shared" si="7"/>
        <v>3</v>
      </c>
    </row>
    <row r="47" spans="1:5" ht="14.25" customHeight="1">
      <c r="A47" s="7">
        <v>55</v>
      </c>
      <c r="B47" s="113">
        <f t="shared" si="4"/>
        <v>4.9285714285714287E-2</v>
      </c>
      <c r="C47" s="7">
        <f t="shared" si="5"/>
        <v>9</v>
      </c>
      <c r="D47" s="7">
        <f t="shared" si="6"/>
        <v>13</v>
      </c>
      <c r="E47" s="7">
        <f t="shared" si="7"/>
        <v>3</v>
      </c>
    </row>
    <row r="48" spans="1:5" ht="14.25" customHeight="1">
      <c r="A48" s="7">
        <v>56</v>
      </c>
      <c r="B48" s="113">
        <f t="shared" si="4"/>
        <v>4.9142857142857148E-2</v>
      </c>
      <c r="C48" s="7">
        <f t="shared" si="5"/>
        <v>9</v>
      </c>
      <c r="D48" s="7">
        <f t="shared" si="6"/>
        <v>13</v>
      </c>
      <c r="E48" s="7">
        <f t="shared" si="7"/>
        <v>3</v>
      </c>
    </row>
    <row r="49" spans="1:5" ht="14.25" customHeight="1">
      <c r="A49" s="7">
        <v>57</v>
      </c>
      <c r="B49" s="113">
        <f t="shared" si="4"/>
        <v>4.9000000000000002E-2</v>
      </c>
      <c r="C49" s="7">
        <f t="shared" si="5"/>
        <v>9</v>
      </c>
      <c r="D49" s="7">
        <f t="shared" si="6"/>
        <v>13</v>
      </c>
      <c r="E49" s="7">
        <f t="shared" si="7"/>
        <v>3</v>
      </c>
    </row>
    <row r="50" spans="1:5" ht="14.25" customHeight="1">
      <c r="A50" s="7">
        <v>58</v>
      </c>
      <c r="B50" s="113">
        <f t="shared" si="4"/>
        <v>4.8857142857142863E-2</v>
      </c>
      <c r="C50" s="7">
        <f t="shared" si="5"/>
        <v>9</v>
      </c>
      <c r="D50" s="7">
        <f t="shared" si="6"/>
        <v>13</v>
      </c>
      <c r="E50" s="7">
        <f t="shared" si="7"/>
        <v>3</v>
      </c>
    </row>
    <row r="51" spans="1:5" ht="14.25" customHeight="1">
      <c r="A51" s="7">
        <v>59</v>
      </c>
      <c r="B51" s="113">
        <f t="shared" si="4"/>
        <v>4.8714285714285717E-2</v>
      </c>
      <c r="C51" s="7">
        <f t="shared" si="5"/>
        <v>9</v>
      </c>
      <c r="D51" s="7">
        <f t="shared" si="6"/>
        <v>13</v>
      </c>
      <c r="E51" s="7">
        <f t="shared" si="7"/>
        <v>3</v>
      </c>
    </row>
    <row r="52" spans="1:5" ht="14.25" customHeight="1">
      <c r="A52" s="7">
        <v>60</v>
      </c>
      <c r="B52" s="113">
        <f t="shared" si="4"/>
        <v>4.8571428571428578E-2</v>
      </c>
      <c r="C52" s="7">
        <f t="shared" si="5"/>
        <v>9</v>
      </c>
      <c r="D52" s="7">
        <f t="shared" si="6"/>
        <v>13</v>
      </c>
      <c r="E52" s="7">
        <f t="shared" si="7"/>
        <v>3</v>
      </c>
    </row>
    <row r="53" spans="1:5" ht="14.25" customHeight="1">
      <c r="A53" s="7">
        <v>61</v>
      </c>
      <c r="B53" s="113">
        <f t="shared" si="4"/>
        <v>4.8428571428571432E-2</v>
      </c>
      <c r="C53" s="7">
        <f t="shared" si="5"/>
        <v>9</v>
      </c>
      <c r="D53" s="7">
        <f t="shared" si="6"/>
        <v>13</v>
      </c>
      <c r="E53" s="7">
        <f t="shared" si="7"/>
        <v>3</v>
      </c>
    </row>
    <row r="54" spans="1:5" ht="14.25" customHeight="1">
      <c r="A54" s="7">
        <v>62</v>
      </c>
      <c r="B54" s="113">
        <f t="shared" si="4"/>
        <v>4.8285714285714286E-2</v>
      </c>
      <c r="C54" s="7">
        <f t="shared" si="5"/>
        <v>9</v>
      </c>
      <c r="D54" s="7">
        <f t="shared" si="6"/>
        <v>13</v>
      </c>
      <c r="E54" s="7">
        <f t="shared" si="7"/>
        <v>3</v>
      </c>
    </row>
    <row r="55" spans="1:5" ht="14.25" customHeight="1">
      <c r="A55" s="7">
        <v>63</v>
      </c>
      <c r="B55" s="113">
        <f t="shared" si="4"/>
        <v>4.8142857142857147E-2</v>
      </c>
      <c r="C55" s="7">
        <f t="shared" si="5"/>
        <v>10</v>
      </c>
      <c r="D55" s="7">
        <f t="shared" si="6"/>
        <v>14</v>
      </c>
      <c r="E55" s="7">
        <f t="shared" si="7"/>
        <v>3</v>
      </c>
    </row>
    <row r="56" spans="1:5" ht="14.25" customHeight="1">
      <c r="A56" s="7">
        <v>64</v>
      </c>
      <c r="B56" s="113">
        <f t="shared" si="4"/>
        <v>4.8000000000000001E-2</v>
      </c>
      <c r="C56" s="7">
        <f t="shared" si="5"/>
        <v>10</v>
      </c>
      <c r="D56" s="7">
        <f t="shared" si="6"/>
        <v>14</v>
      </c>
      <c r="E56" s="7">
        <f t="shared" si="7"/>
        <v>3</v>
      </c>
    </row>
    <row r="57" spans="1:5" ht="14.25" customHeight="1">
      <c r="A57" s="7">
        <v>65</v>
      </c>
      <c r="B57" s="113">
        <f t="shared" si="4"/>
        <v>4.7857142857142862E-2</v>
      </c>
      <c r="C57" s="7">
        <f t="shared" si="5"/>
        <v>10</v>
      </c>
      <c r="D57" s="7">
        <f t="shared" si="6"/>
        <v>14</v>
      </c>
      <c r="E57" s="7">
        <f t="shared" si="7"/>
        <v>3</v>
      </c>
    </row>
    <row r="58" spans="1:5" ht="14.25" customHeight="1">
      <c r="A58" s="7">
        <v>66</v>
      </c>
      <c r="B58" s="113">
        <f t="shared" si="4"/>
        <v>4.7714285714285716E-2</v>
      </c>
      <c r="C58" s="7">
        <f t="shared" si="5"/>
        <v>10</v>
      </c>
      <c r="D58" s="7">
        <f t="shared" si="6"/>
        <v>14</v>
      </c>
      <c r="E58" s="7">
        <f t="shared" si="7"/>
        <v>3</v>
      </c>
    </row>
    <row r="59" spans="1:5" ht="14.25" customHeight="1">
      <c r="A59" s="7">
        <v>67</v>
      </c>
      <c r="B59" s="113">
        <f t="shared" si="4"/>
        <v>4.7571428571428577E-2</v>
      </c>
      <c r="C59" s="7">
        <f t="shared" si="5"/>
        <v>10</v>
      </c>
      <c r="D59" s="7">
        <f t="shared" si="6"/>
        <v>14</v>
      </c>
      <c r="E59" s="7">
        <f t="shared" si="7"/>
        <v>3</v>
      </c>
    </row>
    <row r="60" spans="1:5" ht="14.25" customHeight="1">
      <c r="A60" s="7">
        <v>68</v>
      </c>
      <c r="B60" s="113">
        <f t="shared" si="4"/>
        <v>4.7428571428571431E-2</v>
      </c>
      <c r="C60" s="7">
        <f t="shared" si="5"/>
        <v>10</v>
      </c>
      <c r="D60" s="7">
        <f t="shared" si="6"/>
        <v>14</v>
      </c>
      <c r="E60" s="7">
        <f t="shared" si="7"/>
        <v>3</v>
      </c>
    </row>
    <row r="61" spans="1:5" ht="14.25" customHeight="1">
      <c r="A61" s="7">
        <v>69</v>
      </c>
      <c r="B61" s="113">
        <f t="shared" si="4"/>
        <v>4.7285714285714285E-2</v>
      </c>
      <c r="C61" s="7">
        <f t="shared" si="5"/>
        <v>10</v>
      </c>
      <c r="D61" s="7">
        <f t="shared" si="6"/>
        <v>14</v>
      </c>
      <c r="E61" s="7">
        <f t="shared" si="7"/>
        <v>3</v>
      </c>
    </row>
    <row r="62" spans="1:5" ht="14.25" customHeight="1">
      <c r="A62" s="7">
        <v>70</v>
      </c>
      <c r="B62" s="113">
        <f t="shared" si="4"/>
        <v>4.7142857142857146E-2</v>
      </c>
      <c r="C62" s="7">
        <f t="shared" si="5"/>
        <v>10</v>
      </c>
      <c r="D62" s="7">
        <f t="shared" si="6"/>
        <v>14</v>
      </c>
      <c r="E62" s="7">
        <f t="shared" si="7"/>
        <v>3</v>
      </c>
    </row>
    <row r="63" spans="1:5" ht="14.25" customHeight="1">
      <c r="A63" s="7">
        <v>71</v>
      </c>
      <c r="B63" s="113">
        <f t="shared" si="4"/>
        <v>4.7E-2</v>
      </c>
      <c r="C63" s="7">
        <f t="shared" si="5"/>
        <v>10</v>
      </c>
      <c r="D63" s="7">
        <f t="shared" si="6"/>
        <v>14</v>
      </c>
      <c r="E63" s="7">
        <f t="shared" si="7"/>
        <v>3</v>
      </c>
    </row>
    <row r="64" spans="1:5" ht="14.25" customHeight="1">
      <c r="A64" s="7">
        <v>72</v>
      </c>
      <c r="B64" s="113">
        <f t="shared" si="4"/>
        <v>4.6857142857142861E-2</v>
      </c>
      <c r="C64" s="7">
        <f t="shared" si="5"/>
        <v>10</v>
      </c>
      <c r="D64" s="7">
        <f t="shared" si="6"/>
        <v>14</v>
      </c>
      <c r="E64" s="7">
        <f t="shared" si="7"/>
        <v>3</v>
      </c>
    </row>
    <row r="65" spans="1:5" ht="14.25" customHeight="1">
      <c r="A65" s="7">
        <v>73</v>
      </c>
      <c r="B65" s="113">
        <f t="shared" si="4"/>
        <v>4.6714285714285715E-2</v>
      </c>
      <c r="C65" s="7">
        <f t="shared" si="5"/>
        <v>10</v>
      </c>
      <c r="D65" s="7">
        <f t="shared" si="6"/>
        <v>14</v>
      </c>
      <c r="E65" s="7">
        <f t="shared" si="7"/>
        <v>3</v>
      </c>
    </row>
    <row r="66" spans="1:5" ht="14.25" customHeight="1">
      <c r="A66" s="7">
        <v>74</v>
      </c>
      <c r="B66" s="113">
        <f t="shared" ref="B66:B97" si="8">(0.4-A66*0.001)/7</f>
        <v>4.6571428571428576E-2</v>
      </c>
      <c r="C66" s="7">
        <f t="shared" ref="C66:C97" si="9">D66-4</f>
        <v>10</v>
      </c>
      <c r="D66" s="7">
        <f t="shared" ref="D66:D97" si="10">11+ROUND(A66*0.04,0)</f>
        <v>14</v>
      </c>
      <c r="E66" s="7">
        <f t="shared" ref="E66:E97" si="11">ROUND(C66/3,0)</f>
        <v>3</v>
      </c>
    </row>
    <row r="67" spans="1:5" ht="14.25" customHeight="1">
      <c r="A67" s="7">
        <v>75</v>
      </c>
      <c r="B67" s="113">
        <f t="shared" si="8"/>
        <v>4.642857142857143E-2</v>
      </c>
      <c r="C67" s="7">
        <f t="shared" si="9"/>
        <v>10</v>
      </c>
      <c r="D67" s="7">
        <f t="shared" si="10"/>
        <v>14</v>
      </c>
      <c r="E67" s="7">
        <f t="shared" si="11"/>
        <v>3</v>
      </c>
    </row>
    <row r="68" spans="1:5" ht="14.25" customHeight="1">
      <c r="A68" s="7">
        <v>76</v>
      </c>
      <c r="B68" s="113">
        <f t="shared" si="8"/>
        <v>4.6285714285714284E-2</v>
      </c>
      <c r="C68" s="7">
        <f t="shared" si="9"/>
        <v>10</v>
      </c>
      <c r="D68" s="7">
        <f t="shared" si="10"/>
        <v>14</v>
      </c>
      <c r="E68" s="7">
        <f t="shared" si="11"/>
        <v>3</v>
      </c>
    </row>
    <row r="69" spans="1:5" ht="14.25" customHeight="1">
      <c r="A69" s="7">
        <v>77</v>
      </c>
      <c r="B69" s="113">
        <f t="shared" si="8"/>
        <v>4.6142857142857145E-2</v>
      </c>
      <c r="C69" s="7">
        <f t="shared" si="9"/>
        <v>10</v>
      </c>
      <c r="D69" s="7">
        <f t="shared" si="10"/>
        <v>14</v>
      </c>
      <c r="E69" s="7">
        <f t="shared" si="11"/>
        <v>3</v>
      </c>
    </row>
    <row r="70" spans="1:5" ht="14.25" customHeight="1">
      <c r="A70" s="7">
        <v>78</v>
      </c>
      <c r="B70" s="113">
        <f t="shared" si="8"/>
        <v>4.5999999999999999E-2</v>
      </c>
      <c r="C70" s="7">
        <f t="shared" si="9"/>
        <v>10</v>
      </c>
      <c r="D70" s="7">
        <f t="shared" si="10"/>
        <v>14</v>
      </c>
      <c r="E70" s="7">
        <f t="shared" si="11"/>
        <v>3</v>
      </c>
    </row>
    <row r="71" spans="1:5" ht="14.25" customHeight="1">
      <c r="A71" s="7">
        <v>79</v>
      </c>
      <c r="B71" s="113">
        <f t="shared" si="8"/>
        <v>4.585714285714286E-2</v>
      </c>
      <c r="C71" s="7">
        <f t="shared" si="9"/>
        <v>10</v>
      </c>
      <c r="D71" s="7">
        <f t="shared" si="10"/>
        <v>14</v>
      </c>
      <c r="E71" s="7">
        <f t="shared" si="11"/>
        <v>3</v>
      </c>
    </row>
    <row r="72" spans="1:5" ht="14.25" customHeight="1">
      <c r="A72" s="7">
        <v>80</v>
      </c>
      <c r="B72" s="113">
        <f t="shared" si="8"/>
        <v>4.5714285714285714E-2</v>
      </c>
      <c r="C72" s="7">
        <f t="shared" si="9"/>
        <v>10</v>
      </c>
      <c r="D72" s="7">
        <f t="shared" si="10"/>
        <v>14</v>
      </c>
      <c r="E72" s="7">
        <f t="shared" si="11"/>
        <v>3</v>
      </c>
    </row>
    <row r="73" spans="1:5" ht="14.25" customHeight="1">
      <c r="A73" s="7">
        <v>81</v>
      </c>
      <c r="B73" s="113">
        <f t="shared" si="8"/>
        <v>4.5571428571428575E-2</v>
      </c>
      <c r="C73" s="7">
        <f t="shared" si="9"/>
        <v>10</v>
      </c>
      <c r="D73" s="7">
        <f t="shared" si="10"/>
        <v>14</v>
      </c>
      <c r="E73" s="7">
        <f t="shared" si="11"/>
        <v>3</v>
      </c>
    </row>
    <row r="74" spans="1:5" ht="14.25" customHeight="1">
      <c r="A74" s="7">
        <v>82</v>
      </c>
      <c r="B74" s="113">
        <f t="shared" si="8"/>
        <v>4.5428571428571429E-2</v>
      </c>
      <c r="C74" s="7">
        <f t="shared" si="9"/>
        <v>10</v>
      </c>
      <c r="D74" s="7">
        <f t="shared" si="10"/>
        <v>14</v>
      </c>
      <c r="E74" s="7">
        <f t="shared" si="11"/>
        <v>3</v>
      </c>
    </row>
    <row r="75" spans="1:5" ht="14.25" customHeight="1">
      <c r="A75" s="7">
        <v>83</v>
      </c>
      <c r="B75" s="113">
        <f t="shared" si="8"/>
        <v>4.5285714285714283E-2</v>
      </c>
      <c r="C75" s="7">
        <f t="shared" si="9"/>
        <v>10</v>
      </c>
      <c r="D75" s="7">
        <f t="shared" si="10"/>
        <v>14</v>
      </c>
      <c r="E75" s="7">
        <f t="shared" si="11"/>
        <v>3</v>
      </c>
    </row>
    <row r="76" spans="1:5" ht="14.25" customHeight="1">
      <c r="A76" s="7">
        <v>84</v>
      </c>
      <c r="B76" s="113">
        <f t="shared" si="8"/>
        <v>4.5142857142857144E-2</v>
      </c>
      <c r="C76" s="7">
        <f t="shared" si="9"/>
        <v>10</v>
      </c>
      <c r="D76" s="7">
        <f t="shared" si="10"/>
        <v>14</v>
      </c>
      <c r="E76" s="7">
        <f t="shared" si="11"/>
        <v>3</v>
      </c>
    </row>
    <row r="77" spans="1:5" ht="14.25" customHeight="1">
      <c r="A77" s="7">
        <v>85</v>
      </c>
      <c r="B77" s="113">
        <f t="shared" si="8"/>
        <v>4.4999999999999998E-2</v>
      </c>
      <c r="C77" s="7">
        <f t="shared" si="9"/>
        <v>10</v>
      </c>
      <c r="D77" s="7">
        <f t="shared" si="10"/>
        <v>14</v>
      </c>
      <c r="E77" s="7">
        <f t="shared" si="11"/>
        <v>3</v>
      </c>
    </row>
    <row r="78" spans="1:5" ht="14.25" customHeight="1">
      <c r="A78" s="7">
        <v>86</v>
      </c>
      <c r="B78" s="113">
        <f t="shared" si="8"/>
        <v>4.4857142857142859E-2</v>
      </c>
      <c r="C78" s="7">
        <f t="shared" si="9"/>
        <v>10</v>
      </c>
      <c r="D78" s="7">
        <f t="shared" si="10"/>
        <v>14</v>
      </c>
      <c r="E78" s="7">
        <f t="shared" si="11"/>
        <v>3</v>
      </c>
    </row>
    <row r="79" spans="1:5" ht="14.25" customHeight="1">
      <c r="A79" s="7">
        <v>87</v>
      </c>
      <c r="B79" s="113">
        <f t="shared" si="8"/>
        <v>4.4714285714285713E-2</v>
      </c>
      <c r="C79" s="7">
        <f t="shared" si="9"/>
        <v>10</v>
      </c>
      <c r="D79" s="7">
        <f t="shared" si="10"/>
        <v>14</v>
      </c>
      <c r="E79" s="7">
        <f t="shared" si="11"/>
        <v>3</v>
      </c>
    </row>
    <row r="80" spans="1:5" ht="14.25" customHeight="1">
      <c r="A80" s="7">
        <v>88</v>
      </c>
      <c r="B80" s="113">
        <f t="shared" si="8"/>
        <v>4.4571428571428581E-2</v>
      </c>
      <c r="C80" s="7">
        <f t="shared" si="9"/>
        <v>11</v>
      </c>
      <c r="D80" s="7">
        <f t="shared" si="10"/>
        <v>15</v>
      </c>
      <c r="E80" s="7">
        <f t="shared" si="11"/>
        <v>4</v>
      </c>
    </row>
    <row r="81" spans="1:5" ht="14.25" customHeight="1">
      <c r="A81" s="7">
        <v>89</v>
      </c>
      <c r="B81" s="113">
        <f t="shared" si="8"/>
        <v>4.4428571428571435E-2</v>
      </c>
      <c r="C81" s="7">
        <f t="shared" si="9"/>
        <v>11</v>
      </c>
      <c r="D81" s="7">
        <f t="shared" si="10"/>
        <v>15</v>
      </c>
      <c r="E81" s="7">
        <f t="shared" si="11"/>
        <v>4</v>
      </c>
    </row>
    <row r="82" spans="1:5" ht="14.25" customHeight="1">
      <c r="A82" s="7">
        <v>90</v>
      </c>
      <c r="B82" s="113">
        <f t="shared" si="8"/>
        <v>4.4285714285714296E-2</v>
      </c>
      <c r="C82" s="7">
        <f t="shared" si="9"/>
        <v>11</v>
      </c>
      <c r="D82" s="7">
        <f t="shared" si="10"/>
        <v>15</v>
      </c>
      <c r="E82" s="7">
        <f t="shared" si="11"/>
        <v>4</v>
      </c>
    </row>
    <row r="83" spans="1:5" ht="14.25" customHeight="1">
      <c r="A83" s="7">
        <v>91</v>
      </c>
      <c r="B83" s="113">
        <f t="shared" si="8"/>
        <v>4.414285714285715E-2</v>
      </c>
      <c r="C83" s="7">
        <f t="shared" si="9"/>
        <v>11</v>
      </c>
      <c r="D83" s="7">
        <f t="shared" si="10"/>
        <v>15</v>
      </c>
      <c r="E83" s="7">
        <f t="shared" si="11"/>
        <v>4</v>
      </c>
    </row>
    <row r="84" spans="1:5" ht="14.25" customHeight="1">
      <c r="A84" s="7">
        <v>92</v>
      </c>
      <c r="B84" s="113">
        <f t="shared" si="8"/>
        <v>4.4000000000000004E-2</v>
      </c>
      <c r="C84" s="7">
        <f t="shared" si="9"/>
        <v>11</v>
      </c>
      <c r="D84" s="7">
        <f t="shared" si="10"/>
        <v>15</v>
      </c>
      <c r="E84" s="7">
        <f t="shared" si="11"/>
        <v>4</v>
      </c>
    </row>
    <row r="85" spans="1:5" ht="14.25" customHeight="1">
      <c r="A85" s="7">
        <v>93</v>
      </c>
      <c r="B85" s="113">
        <f t="shared" si="8"/>
        <v>4.3857142857142865E-2</v>
      </c>
      <c r="C85" s="7">
        <f t="shared" si="9"/>
        <v>11</v>
      </c>
      <c r="D85" s="7">
        <f t="shared" si="10"/>
        <v>15</v>
      </c>
      <c r="E85" s="7">
        <f t="shared" si="11"/>
        <v>4</v>
      </c>
    </row>
    <row r="86" spans="1:5" ht="14.25" customHeight="1">
      <c r="A86" s="7">
        <v>94</v>
      </c>
      <c r="B86" s="113">
        <f t="shared" si="8"/>
        <v>4.3714285714285719E-2</v>
      </c>
      <c r="C86" s="7">
        <f t="shared" si="9"/>
        <v>11</v>
      </c>
      <c r="D86" s="7">
        <f t="shared" si="10"/>
        <v>15</v>
      </c>
      <c r="E86" s="7">
        <f t="shared" si="11"/>
        <v>4</v>
      </c>
    </row>
    <row r="87" spans="1:5" ht="14.25" customHeight="1">
      <c r="A87" s="7">
        <v>95</v>
      </c>
      <c r="B87" s="113">
        <f t="shared" si="8"/>
        <v>4.357142857142858E-2</v>
      </c>
      <c r="C87" s="7">
        <f t="shared" si="9"/>
        <v>11</v>
      </c>
      <c r="D87" s="7">
        <f t="shared" si="10"/>
        <v>15</v>
      </c>
      <c r="E87" s="7">
        <f t="shared" si="11"/>
        <v>4</v>
      </c>
    </row>
    <row r="88" spans="1:5" ht="14.25" customHeight="1">
      <c r="A88" s="7">
        <v>96</v>
      </c>
      <c r="B88" s="113">
        <f t="shared" si="8"/>
        <v>4.3428571428571434E-2</v>
      </c>
      <c r="C88" s="7">
        <f t="shared" si="9"/>
        <v>11</v>
      </c>
      <c r="D88" s="7">
        <f t="shared" si="10"/>
        <v>15</v>
      </c>
      <c r="E88" s="7">
        <f t="shared" si="11"/>
        <v>4</v>
      </c>
    </row>
    <row r="89" spans="1:5" ht="14.25" customHeight="1">
      <c r="A89" s="7">
        <v>97</v>
      </c>
      <c r="B89" s="113">
        <f t="shared" si="8"/>
        <v>4.3285714285714295E-2</v>
      </c>
      <c r="C89" s="7">
        <f t="shared" si="9"/>
        <v>11</v>
      </c>
      <c r="D89" s="7">
        <f t="shared" si="10"/>
        <v>15</v>
      </c>
      <c r="E89" s="7">
        <f t="shared" si="11"/>
        <v>4</v>
      </c>
    </row>
    <row r="90" spans="1:5" ht="14.25" customHeight="1">
      <c r="A90" s="7">
        <v>98</v>
      </c>
      <c r="B90" s="113">
        <f t="shared" si="8"/>
        <v>4.3142857142857149E-2</v>
      </c>
      <c r="C90" s="7">
        <f t="shared" si="9"/>
        <v>11</v>
      </c>
      <c r="D90" s="7">
        <f t="shared" si="10"/>
        <v>15</v>
      </c>
      <c r="E90" s="7">
        <f t="shared" si="11"/>
        <v>4</v>
      </c>
    </row>
    <row r="91" spans="1:5" ht="14.25" customHeight="1">
      <c r="A91" s="7">
        <v>99</v>
      </c>
      <c r="B91" s="113">
        <f t="shared" si="8"/>
        <v>4.3000000000000003E-2</v>
      </c>
      <c r="C91" s="7">
        <f t="shared" si="9"/>
        <v>11</v>
      </c>
      <c r="D91" s="7">
        <f t="shared" si="10"/>
        <v>15</v>
      </c>
      <c r="E91" s="7">
        <f t="shared" si="11"/>
        <v>4</v>
      </c>
    </row>
    <row r="92" spans="1:5" ht="14.25" customHeight="1">
      <c r="A92" s="7">
        <v>100</v>
      </c>
      <c r="B92" s="113">
        <f t="shared" si="8"/>
        <v>4.2857142857142864E-2</v>
      </c>
      <c r="C92" s="7">
        <f t="shared" si="9"/>
        <v>11</v>
      </c>
      <c r="D92" s="7">
        <f t="shared" si="10"/>
        <v>15</v>
      </c>
      <c r="E92" s="7">
        <f t="shared" si="11"/>
        <v>4</v>
      </c>
    </row>
    <row r="93" spans="1:5" ht="14.25" customHeight="1">
      <c r="A93" s="7">
        <v>101</v>
      </c>
      <c r="B93" s="113">
        <f t="shared" si="8"/>
        <v>4.2714285714285719E-2</v>
      </c>
      <c r="C93" s="7">
        <f t="shared" si="9"/>
        <v>11</v>
      </c>
      <c r="D93" s="7">
        <f t="shared" si="10"/>
        <v>15</v>
      </c>
      <c r="E93" s="7">
        <f t="shared" si="11"/>
        <v>4</v>
      </c>
    </row>
    <row r="94" spans="1:5" ht="14.25" customHeight="1">
      <c r="A94" s="7">
        <v>102</v>
      </c>
      <c r="B94" s="113">
        <f t="shared" si="8"/>
        <v>4.257142857142858E-2</v>
      </c>
      <c r="C94" s="7">
        <f t="shared" si="9"/>
        <v>11</v>
      </c>
      <c r="D94" s="7">
        <f t="shared" si="10"/>
        <v>15</v>
      </c>
      <c r="E94" s="7">
        <f t="shared" si="11"/>
        <v>4</v>
      </c>
    </row>
    <row r="95" spans="1:5" ht="14.25" customHeight="1">
      <c r="A95" s="7">
        <v>103</v>
      </c>
      <c r="B95" s="113">
        <f t="shared" si="8"/>
        <v>4.2428571428571434E-2</v>
      </c>
      <c r="C95" s="7">
        <f t="shared" si="9"/>
        <v>11</v>
      </c>
      <c r="D95" s="7">
        <f t="shared" si="10"/>
        <v>15</v>
      </c>
      <c r="E95" s="7">
        <f t="shared" si="11"/>
        <v>4</v>
      </c>
    </row>
    <row r="96" spans="1:5" ht="14.25" customHeight="1">
      <c r="A96" s="7">
        <v>104</v>
      </c>
      <c r="B96" s="113">
        <f t="shared" si="8"/>
        <v>4.2285714285714295E-2</v>
      </c>
      <c r="C96" s="7">
        <f t="shared" si="9"/>
        <v>11</v>
      </c>
      <c r="D96" s="7">
        <f t="shared" si="10"/>
        <v>15</v>
      </c>
      <c r="E96" s="7">
        <f t="shared" si="11"/>
        <v>4</v>
      </c>
    </row>
    <row r="97" spans="1:5" ht="14.25" customHeight="1">
      <c r="A97" s="7">
        <v>105</v>
      </c>
      <c r="B97" s="113">
        <f t="shared" si="8"/>
        <v>4.2142857142857149E-2</v>
      </c>
      <c r="C97" s="7">
        <f t="shared" si="9"/>
        <v>11</v>
      </c>
      <c r="D97" s="7">
        <f t="shared" si="10"/>
        <v>15</v>
      </c>
      <c r="E97" s="7">
        <f t="shared" si="11"/>
        <v>4</v>
      </c>
    </row>
    <row r="98" spans="1:5" ht="14.25" customHeight="1">
      <c r="A98" s="7">
        <v>106</v>
      </c>
      <c r="B98" s="113">
        <f t="shared" ref="B98:B122" si="12">(0.4-A98*0.001)/7</f>
        <v>4.2000000000000003E-2</v>
      </c>
      <c r="C98" s="7">
        <f t="shared" ref="C98:C122" si="13">D98-4</f>
        <v>11</v>
      </c>
      <c r="D98" s="7">
        <f t="shared" ref="D98:D122" si="14">11+ROUND(A98*0.04,0)</f>
        <v>15</v>
      </c>
      <c r="E98" s="7">
        <f t="shared" ref="E98:E122" si="15">ROUND(C98/3,0)</f>
        <v>4</v>
      </c>
    </row>
    <row r="99" spans="1:5" ht="14.25" customHeight="1">
      <c r="A99" s="7">
        <v>107</v>
      </c>
      <c r="B99" s="113">
        <f t="shared" si="12"/>
        <v>4.1857142857142864E-2</v>
      </c>
      <c r="C99" s="7">
        <f t="shared" si="13"/>
        <v>11</v>
      </c>
      <c r="D99" s="7">
        <f t="shared" si="14"/>
        <v>15</v>
      </c>
      <c r="E99" s="7">
        <f t="shared" si="15"/>
        <v>4</v>
      </c>
    </row>
    <row r="100" spans="1:5" ht="14.25" customHeight="1">
      <c r="A100" s="7">
        <v>108</v>
      </c>
      <c r="B100" s="113">
        <f t="shared" si="12"/>
        <v>4.1714285714285718E-2</v>
      </c>
      <c r="C100" s="7">
        <f t="shared" si="13"/>
        <v>11</v>
      </c>
      <c r="D100" s="7">
        <f t="shared" si="14"/>
        <v>15</v>
      </c>
      <c r="E100" s="7">
        <f t="shared" si="15"/>
        <v>4</v>
      </c>
    </row>
    <row r="101" spans="1:5" ht="14.25" customHeight="1">
      <c r="A101" s="7">
        <v>109</v>
      </c>
      <c r="B101" s="113">
        <f t="shared" si="12"/>
        <v>4.1571428571428579E-2</v>
      </c>
      <c r="C101" s="7">
        <f t="shared" si="13"/>
        <v>11</v>
      </c>
      <c r="D101" s="7">
        <f t="shared" si="14"/>
        <v>15</v>
      </c>
      <c r="E101" s="7">
        <f t="shared" si="15"/>
        <v>4</v>
      </c>
    </row>
    <row r="102" spans="1:5" ht="14.25" customHeight="1">
      <c r="A102" s="7">
        <v>110</v>
      </c>
      <c r="B102" s="113">
        <f t="shared" si="12"/>
        <v>4.1428571428571433E-2</v>
      </c>
      <c r="C102" s="7">
        <f t="shared" si="13"/>
        <v>11</v>
      </c>
      <c r="D102" s="7">
        <f t="shared" si="14"/>
        <v>15</v>
      </c>
      <c r="E102" s="7">
        <f t="shared" si="15"/>
        <v>4</v>
      </c>
    </row>
    <row r="103" spans="1:5" ht="14.25" customHeight="1">
      <c r="A103" s="7">
        <v>111</v>
      </c>
      <c r="B103" s="113">
        <f t="shared" si="12"/>
        <v>4.1285714285714294E-2</v>
      </c>
      <c r="C103" s="7">
        <f t="shared" si="13"/>
        <v>11</v>
      </c>
      <c r="D103" s="7">
        <f t="shared" si="14"/>
        <v>15</v>
      </c>
      <c r="E103" s="7">
        <f t="shared" si="15"/>
        <v>4</v>
      </c>
    </row>
    <row r="104" spans="1:5" ht="14.25" customHeight="1">
      <c r="A104" s="7">
        <v>112</v>
      </c>
      <c r="B104" s="113">
        <f t="shared" si="12"/>
        <v>4.1142857142857148E-2</v>
      </c>
      <c r="C104" s="7">
        <f t="shared" si="13"/>
        <v>11</v>
      </c>
      <c r="D104" s="7">
        <f t="shared" si="14"/>
        <v>15</v>
      </c>
      <c r="E104" s="7">
        <f t="shared" si="15"/>
        <v>4</v>
      </c>
    </row>
    <row r="105" spans="1:5" ht="14.25" customHeight="1">
      <c r="A105" s="7">
        <v>113</v>
      </c>
      <c r="B105" s="113">
        <f t="shared" si="12"/>
        <v>4.1000000000000002E-2</v>
      </c>
      <c r="C105" s="7">
        <f t="shared" si="13"/>
        <v>12</v>
      </c>
      <c r="D105" s="7">
        <f t="shared" si="14"/>
        <v>16</v>
      </c>
      <c r="E105" s="7">
        <f t="shared" si="15"/>
        <v>4</v>
      </c>
    </row>
    <row r="106" spans="1:5" ht="14.25" customHeight="1">
      <c r="A106" s="7">
        <v>114</v>
      </c>
      <c r="B106" s="113">
        <f t="shared" si="12"/>
        <v>4.0857142857142863E-2</v>
      </c>
      <c r="C106" s="7">
        <f t="shared" si="13"/>
        <v>12</v>
      </c>
      <c r="D106" s="7">
        <f t="shared" si="14"/>
        <v>16</v>
      </c>
      <c r="E106" s="7">
        <f t="shared" si="15"/>
        <v>4</v>
      </c>
    </row>
    <row r="107" spans="1:5" ht="14.25" customHeight="1">
      <c r="A107" s="7">
        <v>115</v>
      </c>
      <c r="B107" s="113">
        <f t="shared" si="12"/>
        <v>4.0714285714285717E-2</v>
      </c>
      <c r="C107" s="7">
        <f t="shared" si="13"/>
        <v>12</v>
      </c>
      <c r="D107" s="7">
        <f t="shared" si="14"/>
        <v>16</v>
      </c>
      <c r="E107" s="7">
        <f t="shared" si="15"/>
        <v>4</v>
      </c>
    </row>
    <row r="108" spans="1:5" ht="14.25" customHeight="1">
      <c r="A108" s="7">
        <v>116</v>
      </c>
      <c r="B108" s="113">
        <f t="shared" si="12"/>
        <v>4.0571428571428578E-2</v>
      </c>
      <c r="C108" s="7">
        <f t="shared" si="13"/>
        <v>12</v>
      </c>
      <c r="D108" s="7">
        <f t="shared" si="14"/>
        <v>16</v>
      </c>
      <c r="E108" s="7">
        <f t="shared" si="15"/>
        <v>4</v>
      </c>
    </row>
    <row r="109" spans="1:5" ht="14.25" customHeight="1">
      <c r="A109" s="7">
        <v>117</v>
      </c>
      <c r="B109" s="113">
        <f t="shared" si="12"/>
        <v>4.0428571428571432E-2</v>
      </c>
      <c r="C109" s="7">
        <f t="shared" si="13"/>
        <v>12</v>
      </c>
      <c r="D109" s="7">
        <f t="shared" si="14"/>
        <v>16</v>
      </c>
      <c r="E109" s="7">
        <f t="shared" si="15"/>
        <v>4</v>
      </c>
    </row>
    <row r="110" spans="1:5" ht="14.25" customHeight="1">
      <c r="A110" s="7">
        <v>118</v>
      </c>
      <c r="B110" s="113">
        <f t="shared" si="12"/>
        <v>4.0285714285714293E-2</v>
      </c>
      <c r="C110" s="7">
        <f t="shared" si="13"/>
        <v>12</v>
      </c>
      <c r="D110" s="7">
        <f t="shared" si="14"/>
        <v>16</v>
      </c>
      <c r="E110" s="7">
        <f t="shared" si="15"/>
        <v>4</v>
      </c>
    </row>
    <row r="111" spans="1:5" ht="14.25" customHeight="1">
      <c r="A111" s="7">
        <v>119</v>
      </c>
      <c r="B111" s="113">
        <f t="shared" si="12"/>
        <v>4.0142857142857147E-2</v>
      </c>
      <c r="C111" s="7">
        <f t="shared" si="13"/>
        <v>12</v>
      </c>
      <c r="D111" s="7">
        <f t="shared" si="14"/>
        <v>16</v>
      </c>
      <c r="E111" s="7">
        <f t="shared" si="15"/>
        <v>4</v>
      </c>
    </row>
    <row r="112" spans="1:5" ht="14.25" customHeight="1">
      <c r="A112" s="7">
        <v>120</v>
      </c>
      <c r="B112" s="113">
        <f t="shared" si="12"/>
        <v>0.04</v>
      </c>
      <c r="C112" s="7">
        <f t="shared" si="13"/>
        <v>12</v>
      </c>
      <c r="D112" s="7">
        <f t="shared" si="14"/>
        <v>16</v>
      </c>
      <c r="E112" s="7">
        <f t="shared" si="15"/>
        <v>4</v>
      </c>
    </row>
    <row r="113" spans="1:5" ht="14.25" customHeight="1">
      <c r="A113" s="7">
        <v>121</v>
      </c>
      <c r="B113" s="113">
        <f t="shared" si="12"/>
        <v>3.9857142857142862E-2</v>
      </c>
      <c r="C113" s="7">
        <f t="shared" si="13"/>
        <v>12</v>
      </c>
      <c r="D113" s="7">
        <f t="shared" si="14"/>
        <v>16</v>
      </c>
      <c r="E113" s="7">
        <f t="shared" si="15"/>
        <v>4</v>
      </c>
    </row>
    <row r="114" spans="1:5" ht="14.25" customHeight="1">
      <c r="A114" s="7">
        <v>122</v>
      </c>
      <c r="B114" s="113">
        <f t="shared" si="12"/>
        <v>3.9714285714285716E-2</v>
      </c>
      <c r="C114" s="7">
        <f t="shared" si="13"/>
        <v>12</v>
      </c>
      <c r="D114" s="7">
        <f t="shared" si="14"/>
        <v>16</v>
      </c>
      <c r="E114" s="7">
        <f t="shared" si="15"/>
        <v>4</v>
      </c>
    </row>
    <row r="115" spans="1:5" ht="14.25" customHeight="1">
      <c r="A115" s="7">
        <v>123</v>
      </c>
      <c r="B115" s="113">
        <f t="shared" si="12"/>
        <v>3.9571428571428577E-2</v>
      </c>
      <c r="C115" s="7">
        <f t="shared" si="13"/>
        <v>12</v>
      </c>
      <c r="D115" s="7">
        <f t="shared" si="14"/>
        <v>16</v>
      </c>
      <c r="E115" s="7">
        <f t="shared" si="15"/>
        <v>4</v>
      </c>
    </row>
    <row r="116" spans="1:5" ht="14.25" customHeight="1">
      <c r="A116" s="7">
        <v>124</v>
      </c>
      <c r="B116" s="113">
        <f t="shared" si="12"/>
        <v>3.9428571428571431E-2</v>
      </c>
      <c r="C116" s="7">
        <f t="shared" si="13"/>
        <v>12</v>
      </c>
      <c r="D116" s="7">
        <f t="shared" si="14"/>
        <v>16</v>
      </c>
      <c r="E116" s="7">
        <f t="shared" si="15"/>
        <v>4</v>
      </c>
    </row>
    <row r="117" spans="1:5" ht="14.25" customHeight="1">
      <c r="A117" s="7">
        <v>125</v>
      </c>
      <c r="B117" s="113">
        <f t="shared" si="12"/>
        <v>3.9285714285714292E-2</v>
      </c>
      <c r="C117" s="7">
        <f t="shared" si="13"/>
        <v>12</v>
      </c>
      <c r="D117" s="7">
        <f t="shared" si="14"/>
        <v>16</v>
      </c>
      <c r="E117" s="7">
        <f t="shared" si="15"/>
        <v>4</v>
      </c>
    </row>
    <row r="118" spans="1:5" ht="14.25" customHeight="1">
      <c r="A118" s="7">
        <v>126</v>
      </c>
      <c r="B118" s="113">
        <f t="shared" si="12"/>
        <v>3.9142857142857146E-2</v>
      </c>
      <c r="C118" s="7">
        <f t="shared" si="13"/>
        <v>12</v>
      </c>
      <c r="D118" s="7">
        <f t="shared" si="14"/>
        <v>16</v>
      </c>
      <c r="E118" s="7">
        <f t="shared" si="15"/>
        <v>4</v>
      </c>
    </row>
    <row r="119" spans="1:5" ht="14.25" customHeight="1">
      <c r="A119" s="7">
        <v>127</v>
      </c>
      <c r="B119" s="113">
        <f t="shared" si="12"/>
        <v>3.9E-2</v>
      </c>
      <c r="C119" s="7">
        <f t="shared" si="13"/>
        <v>12</v>
      </c>
      <c r="D119" s="7">
        <f t="shared" si="14"/>
        <v>16</v>
      </c>
      <c r="E119" s="7">
        <f t="shared" si="15"/>
        <v>4</v>
      </c>
    </row>
    <row r="120" spans="1:5" ht="14.25" customHeight="1">
      <c r="A120" s="7">
        <v>128</v>
      </c>
      <c r="B120" s="113">
        <f t="shared" si="12"/>
        <v>3.8857142857142861E-2</v>
      </c>
      <c r="C120" s="7">
        <f t="shared" si="13"/>
        <v>12</v>
      </c>
      <c r="D120" s="7">
        <f t="shared" si="14"/>
        <v>16</v>
      </c>
      <c r="E120" s="7">
        <f t="shared" si="15"/>
        <v>4</v>
      </c>
    </row>
    <row r="121" spans="1:5" ht="14.25" customHeight="1">
      <c r="A121" s="7">
        <v>129</v>
      </c>
      <c r="B121" s="113">
        <f t="shared" si="12"/>
        <v>3.8714285714285715E-2</v>
      </c>
      <c r="C121" s="7">
        <f t="shared" si="13"/>
        <v>12</v>
      </c>
      <c r="D121" s="7">
        <f t="shared" si="14"/>
        <v>16</v>
      </c>
      <c r="E121" s="7">
        <f t="shared" si="15"/>
        <v>4</v>
      </c>
    </row>
    <row r="122" spans="1:5" ht="14.25" customHeight="1">
      <c r="A122" s="7">
        <v>130</v>
      </c>
      <c r="B122" s="113">
        <f t="shared" si="12"/>
        <v>3.8571428571428576E-2</v>
      </c>
      <c r="C122" s="7">
        <f t="shared" si="13"/>
        <v>12</v>
      </c>
      <c r="D122" s="7">
        <f t="shared" si="14"/>
        <v>16</v>
      </c>
      <c r="E122" s="7">
        <f t="shared" si="15"/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R1051"/>
  <sheetViews>
    <sheetView zoomScaleNormal="100" workbookViewId="0">
      <pane ySplit="2" topLeftCell="A3" activePane="bottomLeft" state="frozen"/>
      <selection pane="bottomLeft" activeCell="A4" sqref="A4"/>
    </sheetView>
  </sheetViews>
  <sheetFormatPr defaultColWidth="12.5703125" defaultRowHeight="12.75"/>
  <cols>
    <col min="7" max="12" width="12.5703125" hidden="1" customWidth="1"/>
    <col min="13" max="13" width="20.85546875" hidden="1" customWidth="1"/>
    <col min="15" max="15" width="23.85546875" customWidth="1"/>
    <col min="18" max="18" width="18.7109375" customWidth="1"/>
  </cols>
  <sheetData>
    <row r="1" spans="1:18" ht="14.25" customHeight="1">
      <c r="D1" s="45"/>
    </row>
    <row r="2" spans="1:18" ht="14.25" customHeight="1">
      <c r="A2" s="40" t="s">
        <v>0</v>
      </c>
      <c r="B2" s="40" t="s">
        <v>733</v>
      </c>
      <c r="C2" s="40" t="s">
        <v>1</v>
      </c>
      <c r="D2" s="40" t="s">
        <v>1425</v>
      </c>
      <c r="E2" s="40" t="s">
        <v>1172</v>
      </c>
      <c r="F2" s="40" t="s">
        <v>37</v>
      </c>
      <c r="G2" s="40" t="s">
        <v>685</v>
      </c>
      <c r="H2" s="40" t="s">
        <v>686</v>
      </c>
      <c r="I2" s="40" t="s">
        <v>687</v>
      </c>
      <c r="J2" s="40" t="s">
        <v>688</v>
      </c>
      <c r="K2" s="40" t="s">
        <v>39</v>
      </c>
      <c r="L2" s="40" t="s">
        <v>691</v>
      </c>
      <c r="M2" s="40" t="s">
        <v>3658</v>
      </c>
      <c r="N2" s="40" t="s">
        <v>3659</v>
      </c>
      <c r="O2" s="40" t="s">
        <v>3660</v>
      </c>
      <c r="P2" s="50" t="s">
        <v>3661</v>
      </c>
      <c r="Q2" s="50" t="s">
        <v>3662</v>
      </c>
      <c r="R2" s="50" t="s">
        <v>3663</v>
      </c>
    </row>
    <row r="3" spans="1:18" ht="14.25" customHeight="1">
      <c r="A3" s="2"/>
      <c r="B3" s="6"/>
      <c r="C3" s="6"/>
      <c r="D3" s="6"/>
      <c r="E3" s="2"/>
      <c r="F3" s="2"/>
      <c r="G3" s="6"/>
      <c r="H3" s="2"/>
      <c r="I3" s="2"/>
      <c r="J3" s="2"/>
      <c r="K3" s="2"/>
      <c r="L3" s="2"/>
      <c r="M3" s="2"/>
      <c r="N3" s="6"/>
      <c r="O3" s="6"/>
      <c r="P3" s="52"/>
      <c r="Q3" s="52"/>
      <c r="R3" s="52"/>
    </row>
    <row r="4" spans="1:18" ht="14.25" customHeight="1">
      <c r="A4" s="2">
        <v>70001</v>
      </c>
      <c r="B4" s="6" t="s">
        <v>3664</v>
      </c>
      <c r="C4" s="8" t="s">
        <v>1310</v>
      </c>
      <c r="D4" s="6" t="s">
        <v>79</v>
      </c>
      <c r="E4" s="2"/>
      <c r="F4" s="2"/>
      <c r="G4" s="6">
        <v>5</v>
      </c>
      <c r="H4" s="2"/>
      <c r="I4" s="2"/>
      <c r="J4" s="2"/>
      <c r="K4" s="2"/>
      <c r="L4" s="2"/>
      <c r="M4" s="2"/>
      <c r="N4" s="6"/>
      <c r="O4" s="6">
        <v>7001</v>
      </c>
      <c r="P4" s="52">
        <v>700</v>
      </c>
      <c r="Q4" s="52">
        <v>700</v>
      </c>
      <c r="R4" s="52"/>
    </row>
    <row r="5" spans="1:18" ht="14.25" customHeight="1">
      <c r="A5" s="2">
        <v>70002</v>
      </c>
      <c r="B5" s="6" t="s">
        <v>3664</v>
      </c>
      <c r="C5" s="8" t="s">
        <v>1311</v>
      </c>
      <c r="D5" s="6" t="s">
        <v>79</v>
      </c>
      <c r="E5" s="2"/>
      <c r="F5" s="2"/>
      <c r="G5" s="6">
        <f>G4+10</f>
        <v>15</v>
      </c>
      <c r="H5" s="2"/>
      <c r="I5" s="2"/>
      <c r="J5" s="2"/>
      <c r="K5" s="2"/>
      <c r="L5" s="2"/>
      <c r="M5" s="2" t="str">
        <f t="shared" ref="M5:M13" si="0">A4&amp;","&amp;A4&amp;","&amp;A4&amp;","&amp;A4</f>
        <v>70001,70001,70001,70001</v>
      </c>
      <c r="N5" s="6">
        <v>0.9</v>
      </c>
      <c r="O5" s="6">
        <v>7002</v>
      </c>
      <c r="P5" s="52">
        <v>700</v>
      </c>
      <c r="Q5" s="52">
        <v>700</v>
      </c>
      <c r="R5" s="52"/>
    </row>
    <row r="6" spans="1:18" ht="14.25" customHeight="1">
      <c r="A6" s="2">
        <v>70003</v>
      </c>
      <c r="B6" s="6" t="s">
        <v>3664</v>
      </c>
      <c r="C6" s="8" t="s">
        <v>1312</v>
      </c>
      <c r="D6" s="6" t="s">
        <v>79</v>
      </c>
      <c r="E6" s="2"/>
      <c r="F6" s="2"/>
      <c r="G6" s="6">
        <f>G5+10</f>
        <v>25</v>
      </c>
      <c r="H6" s="2"/>
      <c r="I6" s="2"/>
      <c r="J6" s="2"/>
      <c r="K6" s="2"/>
      <c r="L6" s="2"/>
      <c r="M6" s="2" t="str">
        <f t="shared" si="0"/>
        <v>70002,70002,70002,70002</v>
      </c>
      <c r="N6" s="6">
        <v>0.8</v>
      </c>
      <c r="O6" s="6">
        <v>7003</v>
      </c>
      <c r="P6" s="52">
        <v>700</v>
      </c>
      <c r="Q6" s="52">
        <v>700</v>
      </c>
      <c r="R6" s="52"/>
    </row>
    <row r="7" spans="1:18" ht="14.25" customHeight="1">
      <c r="A7" s="2">
        <v>70004</v>
      </c>
      <c r="B7" s="6" t="s">
        <v>3664</v>
      </c>
      <c r="C7" s="8" t="s">
        <v>1313</v>
      </c>
      <c r="D7" s="6" t="s">
        <v>77</v>
      </c>
      <c r="E7" s="2"/>
      <c r="F7" s="2"/>
      <c r="G7" s="6">
        <f>G6+10</f>
        <v>35</v>
      </c>
      <c r="H7" s="2"/>
      <c r="I7" s="2"/>
      <c r="J7" s="2"/>
      <c r="K7" s="2"/>
      <c r="L7" s="2"/>
      <c r="M7" s="2" t="str">
        <f t="shared" si="0"/>
        <v>70003,70003,70003,70003</v>
      </c>
      <c r="N7" s="6">
        <f>N6-0.2</f>
        <v>0.60000000000000009</v>
      </c>
      <c r="O7" s="6">
        <v>7004</v>
      </c>
      <c r="P7" s="52">
        <v>700</v>
      </c>
      <c r="Q7" s="52">
        <v>700</v>
      </c>
      <c r="R7" s="52"/>
    </row>
    <row r="8" spans="1:18" ht="14.25" customHeight="1">
      <c r="A8" s="2">
        <v>70005</v>
      </c>
      <c r="B8" s="6" t="s">
        <v>3664</v>
      </c>
      <c r="C8" s="8" t="s">
        <v>1314</v>
      </c>
      <c r="D8" s="6" t="s">
        <v>77</v>
      </c>
      <c r="E8" s="2"/>
      <c r="F8" s="2"/>
      <c r="G8" s="6">
        <f>G7+20</f>
        <v>55</v>
      </c>
      <c r="H8" s="2"/>
      <c r="I8" s="2"/>
      <c r="J8" s="2"/>
      <c r="K8" s="2"/>
      <c r="L8" s="2"/>
      <c r="M8" s="2" t="str">
        <f t="shared" si="0"/>
        <v>70004,70004,70004,70004</v>
      </c>
      <c r="N8" s="6">
        <f>N7-0.2</f>
        <v>0.40000000000000008</v>
      </c>
      <c r="O8" s="6">
        <v>7005</v>
      </c>
      <c r="P8" s="52">
        <v>700</v>
      </c>
      <c r="Q8" s="52">
        <v>700</v>
      </c>
      <c r="R8" s="52"/>
    </row>
    <row r="9" spans="1:18" ht="14.25" customHeight="1">
      <c r="A9" s="2">
        <v>70006</v>
      </c>
      <c r="B9" s="6" t="s">
        <v>3664</v>
      </c>
      <c r="C9" s="8" t="s">
        <v>1315</v>
      </c>
      <c r="D9" s="6" t="s">
        <v>77</v>
      </c>
      <c r="E9" s="2"/>
      <c r="F9" s="2"/>
      <c r="G9" s="6">
        <f>G8+20</f>
        <v>75</v>
      </c>
      <c r="H9" s="2"/>
      <c r="I9" s="2"/>
      <c r="J9" s="2"/>
      <c r="K9" s="2"/>
      <c r="L9" s="2"/>
      <c r="M9" s="2" t="str">
        <f t="shared" si="0"/>
        <v>70005,70005,70005,70005</v>
      </c>
      <c r="N9" s="6">
        <f>N8-0.2</f>
        <v>0.20000000000000007</v>
      </c>
      <c r="O9" s="6">
        <v>7006</v>
      </c>
      <c r="P9" s="52">
        <v>700</v>
      </c>
      <c r="Q9" s="52">
        <v>700</v>
      </c>
      <c r="R9" s="52"/>
    </row>
    <row r="10" spans="1:18" ht="14.25" customHeight="1">
      <c r="A10" s="2">
        <v>70007</v>
      </c>
      <c r="B10" s="6" t="s">
        <v>3664</v>
      </c>
      <c r="C10" s="8" t="s">
        <v>1316</v>
      </c>
      <c r="D10" s="6" t="s">
        <v>77</v>
      </c>
      <c r="E10" s="2"/>
      <c r="F10" s="2"/>
      <c r="G10" s="6">
        <f>G9+20</f>
        <v>95</v>
      </c>
      <c r="H10" s="2"/>
      <c r="I10" s="2"/>
      <c r="J10" s="2"/>
      <c r="K10" s="2"/>
      <c r="L10" s="2"/>
      <c r="M10" s="2" t="str">
        <f t="shared" si="0"/>
        <v>70006,70006,70006,70006</v>
      </c>
      <c r="N10" s="6">
        <v>0.2</v>
      </c>
      <c r="O10" s="6">
        <v>7007</v>
      </c>
      <c r="P10" s="52">
        <v>700</v>
      </c>
      <c r="Q10" s="52">
        <v>700</v>
      </c>
      <c r="R10" s="52"/>
    </row>
    <row r="11" spans="1:18" ht="14.25" customHeight="1">
      <c r="A11" s="2">
        <v>70008</v>
      </c>
      <c r="B11" s="6" t="s">
        <v>3664</v>
      </c>
      <c r="C11" s="8" t="s">
        <v>1317</v>
      </c>
      <c r="D11" s="6" t="s">
        <v>75</v>
      </c>
      <c r="E11" s="2"/>
      <c r="F11" s="2"/>
      <c r="G11" s="6">
        <f>G10+45</f>
        <v>140</v>
      </c>
      <c r="H11" s="2"/>
      <c r="I11" s="2"/>
      <c r="J11" s="2"/>
      <c r="K11" s="2"/>
      <c r="L11" s="2"/>
      <c r="M11" s="2" t="str">
        <f t="shared" si="0"/>
        <v>70007,70007,70007,70007</v>
      </c>
      <c r="N11" s="6">
        <v>0.2</v>
      </c>
      <c r="O11" s="6">
        <v>7008</v>
      </c>
      <c r="P11" s="52">
        <v>700</v>
      </c>
      <c r="Q11" s="52">
        <v>700</v>
      </c>
      <c r="R11" s="52"/>
    </row>
    <row r="12" spans="1:18" ht="14.25" customHeight="1">
      <c r="A12" s="2">
        <v>70009</v>
      </c>
      <c r="B12" s="6" t="s">
        <v>3664</v>
      </c>
      <c r="C12" s="8" t="s">
        <v>1318</v>
      </c>
      <c r="D12" s="6" t="s">
        <v>75</v>
      </c>
      <c r="E12" s="2"/>
      <c r="F12" s="2"/>
      <c r="G12" s="6">
        <f>G11+45</f>
        <v>185</v>
      </c>
      <c r="H12" s="2"/>
      <c r="I12" s="2"/>
      <c r="J12" s="2"/>
      <c r="K12" s="2"/>
      <c r="L12" s="2"/>
      <c r="M12" s="2" t="str">
        <f t="shared" si="0"/>
        <v>70008,70008,70008,70008</v>
      </c>
      <c r="N12" s="6">
        <v>0.2</v>
      </c>
      <c r="O12" s="6">
        <v>7009</v>
      </c>
      <c r="P12" s="52">
        <v>700</v>
      </c>
      <c r="Q12" s="52">
        <v>700</v>
      </c>
      <c r="R12" s="52"/>
    </row>
    <row r="13" spans="1:18" ht="14.25" customHeight="1">
      <c r="A13" s="2">
        <v>70010</v>
      </c>
      <c r="B13" s="6" t="s">
        <v>3664</v>
      </c>
      <c r="C13" s="8" t="s">
        <v>1319</v>
      </c>
      <c r="D13" s="6" t="s">
        <v>75</v>
      </c>
      <c r="E13" s="2"/>
      <c r="F13" s="2"/>
      <c r="G13" s="6">
        <f>G12+45</f>
        <v>230</v>
      </c>
      <c r="H13" s="2"/>
      <c r="I13" s="2"/>
      <c r="J13" s="2"/>
      <c r="K13" s="2"/>
      <c r="L13" s="2"/>
      <c r="M13" s="2" t="str">
        <f t="shared" si="0"/>
        <v>70009,70009,70009,70009</v>
      </c>
      <c r="N13" s="6">
        <v>0.2</v>
      </c>
      <c r="O13" s="6">
        <v>7010</v>
      </c>
      <c r="P13" s="52">
        <v>700</v>
      </c>
      <c r="Q13" s="52">
        <v>700</v>
      </c>
      <c r="R13" s="52"/>
    </row>
    <row r="14" spans="1:18" ht="14.25" customHeight="1">
      <c r="A14" s="2">
        <v>70011</v>
      </c>
      <c r="B14" s="6" t="s">
        <v>3664</v>
      </c>
      <c r="C14" s="8" t="s">
        <v>1320</v>
      </c>
      <c r="D14" s="6" t="s">
        <v>79</v>
      </c>
      <c r="E14" s="2"/>
      <c r="F14" s="2"/>
      <c r="G14" s="2"/>
      <c r="H14" s="6">
        <v>8</v>
      </c>
      <c r="I14" s="2"/>
      <c r="J14" s="2"/>
      <c r="K14" s="2"/>
      <c r="L14" s="2"/>
      <c r="M14" s="2"/>
      <c r="N14" s="6"/>
      <c r="O14" s="6">
        <v>7011</v>
      </c>
      <c r="P14" s="52">
        <v>700</v>
      </c>
      <c r="Q14" s="52">
        <v>700</v>
      </c>
      <c r="R14" s="52"/>
    </row>
    <row r="15" spans="1:18" ht="14.25" customHeight="1">
      <c r="A15" s="2">
        <v>70012</v>
      </c>
      <c r="B15" s="6" t="s">
        <v>3664</v>
      </c>
      <c r="C15" s="8" t="s">
        <v>1321</v>
      </c>
      <c r="D15" s="6" t="s">
        <v>79</v>
      </c>
      <c r="E15" s="2"/>
      <c r="F15" s="2"/>
      <c r="G15" s="2"/>
      <c r="H15" s="6">
        <f>H14+11</f>
        <v>19</v>
      </c>
      <c r="I15" s="2"/>
      <c r="J15" s="2"/>
      <c r="K15" s="2"/>
      <c r="L15" s="2"/>
      <c r="M15" s="2" t="str">
        <f t="shared" ref="M15:M23" si="1">A14&amp;","&amp;A14&amp;","&amp;A14&amp;","&amp;A14</f>
        <v>70011,70011,70011,70011</v>
      </c>
      <c r="N15" s="6">
        <v>0.9</v>
      </c>
      <c r="O15" s="6">
        <v>7012</v>
      </c>
      <c r="P15" s="52">
        <v>700</v>
      </c>
      <c r="Q15" s="52">
        <v>700</v>
      </c>
      <c r="R15" s="52"/>
    </row>
    <row r="16" spans="1:18" ht="14.25" customHeight="1">
      <c r="A16" s="2">
        <v>70013</v>
      </c>
      <c r="B16" s="6" t="s">
        <v>3664</v>
      </c>
      <c r="C16" s="8" t="s">
        <v>1322</v>
      </c>
      <c r="D16" s="6" t="s">
        <v>79</v>
      </c>
      <c r="E16" s="2"/>
      <c r="F16" s="2"/>
      <c r="G16" s="2"/>
      <c r="H16" s="6">
        <f>H15+11</f>
        <v>30</v>
      </c>
      <c r="I16" s="2"/>
      <c r="J16" s="2"/>
      <c r="K16" s="2"/>
      <c r="L16" s="2"/>
      <c r="M16" s="2" t="str">
        <f t="shared" si="1"/>
        <v>70012,70012,70012,70012</v>
      </c>
      <c r="N16" s="6">
        <v>0.8</v>
      </c>
      <c r="O16" s="6">
        <v>7013</v>
      </c>
      <c r="P16" s="52">
        <v>700</v>
      </c>
      <c r="Q16" s="52">
        <v>700</v>
      </c>
      <c r="R16" s="52"/>
    </row>
    <row r="17" spans="1:18" ht="14.25" customHeight="1">
      <c r="A17" s="2">
        <v>70014</v>
      </c>
      <c r="B17" s="6" t="s">
        <v>3664</v>
      </c>
      <c r="C17" s="8" t="s">
        <v>1323</v>
      </c>
      <c r="D17" s="6" t="s">
        <v>77</v>
      </c>
      <c r="E17" s="2"/>
      <c r="F17" s="2"/>
      <c r="G17" s="2"/>
      <c r="H17" s="6">
        <f>H16+11</f>
        <v>41</v>
      </c>
      <c r="I17" s="2"/>
      <c r="J17" s="2"/>
      <c r="K17" s="2"/>
      <c r="L17" s="2"/>
      <c r="M17" s="2" t="str">
        <f t="shared" si="1"/>
        <v>70013,70013,70013,70013</v>
      </c>
      <c r="N17" s="6">
        <f>N16-0.2</f>
        <v>0.60000000000000009</v>
      </c>
      <c r="O17" s="6">
        <v>7014</v>
      </c>
      <c r="P17" s="52">
        <v>700</v>
      </c>
      <c r="Q17" s="52">
        <v>700</v>
      </c>
      <c r="R17" s="52"/>
    </row>
    <row r="18" spans="1:18" ht="14.25" customHeight="1">
      <c r="A18" s="2">
        <v>70015</v>
      </c>
      <c r="B18" s="6" t="s">
        <v>3664</v>
      </c>
      <c r="C18" s="8" t="s">
        <v>1324</v>
      </c>
      <c r="D18" s="6" t="s">
        <v>77</v>
      </c>
      <c r="E18" s="2"/>
      <c r="F18" s="2"/>
      <c r="G18" s="2"/>
      <c r="H18" s="6">
        <f>H17+23</f>
        <v>64</v>
      </c>
      <c r="I18" s="2"/>
      <c r="J18" s="2"/>
      <c r="K18" s="2"/>
      <c r="L18" s="2"/>
      <c r="M18" s="2" t="str">
        <f t="shared" si="1"/>
        <v>70014,70014,70014,70014</v>
      </c>
      <c r="N18" s="6">
        <f>N17-0.2</f>
        <v>0.40000000000000008</v>
      </c>
      <c r="O18" s="6">
        <v>7015</v>
      </c>
      <c r="P18" s="52">
        <v>700</v>
      </c>
      <c r="Q18" s="52">
        <v>700</v>
      </c>
      <c r="R18" s="52"/>
    </row>
    <row r="19" spans="1:18" ht="14.25" customHeight="1">
      <c r="A19" s="2">
        <v>70016</v>
      </c>
      <c r="B19" s="6" t="s">
        <v>3664</v>
      </c>
      <c r="C19" s="8" t="s">
        <v>1325</v>
      </c>
      <c r="D19" s="6" t="s">
        <v>77</v>
      </c>
      <c r="E19" s="2"/>
      <c r="F19" s="2"/>
      <c r="G19" s="2"/>
      <c r="H19" s="6">
        <f>H18+23</f>
        <v>87</v>
      </c>
      <c r="I19" s="2"/>
      <c r="J19" s="2"/>
      <c r="K19" s="2"/>
      <c r="L19" s="2"/>
      <c r="M19" s="2" t="str">
        <f t="shared" si="1"/>
        <v>70015,70015,70015,70015</v>
      </c>
      <c r="N19" s="6">
        <f>N18-0.2</f>
        <v>0.20000000000000007</v>
      </c>
      <c r="O19" s="6">
        <v>7016</v>
      </c>
      <c r="P19" s="52">
        <v>700</v>
      </c>
      <c r="Q19" s="52">
        <v>700</v>
      </c>
      <c r="R19" s="52"/>
    </row>
    <row r="20" spans="1:18" ht="14.25" customHeight="1">
      <c r="A20" s="2">
        <v>70017</v>
      </c>
      <c r="B20" s="6" t="s">
        <v>3664</v>
      </c>
      <c r="C20" s="8" t="s">
        <v>1326</v>
      </c>
      <c r="D20" s="6" t="s">
        <v>77</v>
      </c>
      <c r="E20" s="2"/>
      <c r="F20" s="2"/>
      <c r="G20" s="2"/>
      <c r="H20" s="6">
        <f>H19+23</f>
        <v>110</v>
      </c>
      <c r="I20" s="2"/>
      <c r="J20" s="2"/>
      <c r="K20" s="2"/>
      <c r="L20" s="2"/>
      <c r="M20" s="2" t="str">
        <f t="shared" si="1"/>
        <v>70016,70016,70016,70016</v>
      </c>
      <c r="N20" s="6">
        <v>0.2</v>
      </c>
      <c r="O20" s="6">
        <v>7017</v>
      </c>
      <c r="P20" s="52">
        <v>700</v>
      </c>
      <c r="Q20" s="52">
        <v>700</v>
      </c>
      <c r="R20" s="52"/>
    </row>
    <row r="21" spans="1:18" ht="14.25" customHeight="1">
      <c r="A21" s="2">
        <v>70018</v>
      </c>
      <c r="B21" s="6" t="s">
        <v>3664</v>
      </c>
      <c r="C21" s="8" t="s">
        <v>1327</v>
      </c>
      <c r="D21" s="6" t="s">
        <v>75</v>
      </c>
      <c r="E21" s="2"/>
      <c r="F21" s="2"/>
      <c r="G21" s="2"/>
      <c r="H21" s="6">
        <f>H20+48</f>
        <v>158</v>
      </c>
      <c r="I21" s="2"/>
      <c r="J21" s="2"/>
      <c r="K21" s="2"/>
      <c r="L21" s="2"/>
      <c r="M21" s="2" t="str">
        <f t="shared" si="1"/>
        <v>70017,70017,70017,70017</v>
      </c>
      <c r="N21" s="6">
        <v>0.2</v>
      </c>
      <c r="O21" s="6">
        <v>7018</v>
      </c>
      <c r="P21" s="52">
        <v>700</v>
      </c>
      <c r="Q21" s="52">
        <v>700</v>
      </c>
      <c r="R21" s="52"/>
    </row>
    <row r="22" spans="1:18" ht="14.25" customHeight="1">
      <c r="A22" s="2">
        <v>70019</v>
      </c>
      <c r="B22" s="6" t="s">
        <v>3664</v>
      </c>
      <c r="C22" s="8" t="s">
        <v>1328</v>
      </c>
      <c r="D22" s="6" t="s">
        <v>75</v>
      </c>
      <c r="E22" s="2"/>
      <c r="F22" s="2"/>
      <c r="G22" s="2"/>
      <c r="H22" s="6">
        <f>H21+48</f>
        <v>206</v>
      </c>
      <c r="I22" s="2"/>
      <c r="J22" s="2"/>
      <c r="K22" s="2"/>
      <c r="L22" s="2"/>
      <c r="M22" s="2" t="str">
        <f t="shared" si="1"/>
        <v>70018,70018,70018,70018</v>
      </c>
      <c r="N22" s="6">
        <v>0.2</v>
      </c>
      <c r="O22" s="6">
        <v>7019</v>
      </c>
      <c r="P22" s="52">
        <v>700</v>
      </c>
      <c r="Q22" s="52">
        <v>700</v>
      </c>
      <c r="R22" s="52"/>
    </row>
    <row r="23" spans="1:18" ht="14.25" customHeight="1">
      <c r="A23" s="2">
        <v>70020</v>
      </c>
      <c r="B23" s="6" t="s">
        <v>3664</v>
      </c>
      <c r="C23" s="8" t="s">
        <v>1329</v>
      </c>
      <c r="D23" s="6" t="s">
        <v>75</v>
      </c>
      <c r="E23" s="2"/>
      <c r="F23" s="2"/>
      <c r="G23" s="2"/>
      <c r="H23" s="6">
        <v>255</v>
      </c>
      <c r="I23" s="2"/>
      <c r="J23" s="2"/>
      <c r="K23" s="2"/>
      <c r="L23" s="2"/>
      <c r="M23" s="2" t="str">
        <f t="shared" si="1"/>
        <v>70019,70019,70019,70019</v>
      </c>
      <c r="N23" s="6">
        <v>0.2</v>
      </c>
      <c r="O23" s="6">
        <v>7020</v>
      </c>
      <c r="P23" s="52">
        <v>700</v>
      </c>
      <c r="Q23" s="52">
        <v>700</v>
      </c>
      <c r="R23" s="52"/>
    </row>
    <row r="24" spans="1:18" ht="14.25" customHeight="1">
      <c r="A24" s="2">
        <v>70021</v>
      </c>
      <c r="B24" s="6" t="s">
        <v>3664</v>
      </c>
      <c r="C24" s="8" t="s">
        <v>1330</v>
      </c>
      <c r="D24" s="6" t="s">
        <v>79</v>
      </c>
      <c r="E24" s="2"/>
      <c r="F24" s="2"/>
      <c r="G24" s="2"/>
      <c r="H24" s="2"/>
      <c r="I24" s="2"/>
      <c r="J24" s="6">
        <v>16</v>
      </c>
      <c r="K24" s="2"/>
      <c r="L24" s="2"/>
      <c r="M24" s="2"/>
      <c r="N24" s="6"/>
      <c r="O24" s="6">
        <v>7021</v>
      </c>
      <c r="P24" s="52">
        <v>700</v>
      </c>
      <c r="Q24" s="52">
        <v>700</v>
      </c>
      <c r="R24" s="52"/>
    </row>
    <row r="25" spans="1:18" ht="14.25" customHeight="1">
      <c r="A25" s="2">
        <v>70022</v>
      </c>
      <c r="B25" s="6" t="s">
        <v>3664</v>
      </c>
      <c r="C25" s="8" t="s">
        <v>1331</v>
      </c>
      <c r="D25" s="6" t="s">
        <v>79</v>
      </c>
      <c r="E25" s="2"/>
      <c r="F25" s="2"/>
      <c r="G25" s="2"/>
      <c r="H25" s="2"/>
      <c r="I25" s="2"/>
      <c r="J25" s="6">
        <f>J24+11</f>
        <v>27</v>
      </c>
      <c r="K25" s="2"/>
      <c r="L25" s="2"/>
      <c r="M25" s="2" t="str">
        <f t="shared" ref="M25:M33" si="2">A24&amp;","&amp;A24&amp;","&amp;A24&amp;","&amp;A24</f>
        <v>70021,70021,70021,70021</v>
      </c>
      <c r="N25" s="6">
        <v>0.9</v>
      </c>
      <c r="O25" s="6">
        <f t="shared" ref="O25:O56" si="3">O24+1</f>
        <v>7022</v>
      </c>
      <c r="P25" s="52">
        <v>700</v>
      </c>
      <c r="Q25" s="52">
        <v>700</v>
      </c>
      <c r="R25" s="52"/>
    </row>
    <row r="26" spans="1:18" ht="14.25" customHeight="1">
      <c r="A26" s="2">
        <v>70023</v>
      </c>
      <c r="B26" s="6" t="s">
        <v>3664</v>
      </c>
      <c r="C26" s="8" t="s">
        <v>1332</v>
      </c>
      <c r="D26" s="6" t="s">
        <v>79</v>
      </c>
      <c r="E26" s="2"/>
      <c r="F26" s="2"/>
      <c r="G26" s="2"/>
      <c r="H26" s="2"/>
      <c r="I26" s="2"/>
      <c r="J26" s="6">
        <f>J25+11</f>
        <v>38</v>
      </c>
      <c r="K26" s="2"/>
      <c r="L26" s="2"/>
      <c r="M26" s="2" t="str">
        <f t="shared" si="2"/>
        <v>70022,70022,70022,70022</v>
      </c>
      <c r="N26" s="6">
        <v>0.8</v>
      </c>
      <c r="O26" s="6">
        <f t="shared" si="3"/>
        <v>7023</v>
      </c>
      <c r="P26" s="52">
        <v>700</v>
      </c>
      <c r="Q26" s="52">
        <v>700</v>
      </c>
      <c r="R26" s="52"/>
    </row>
    <row r="27" spans="1:18" ht="14.25" customHeight="1">
      <c r="A27" s="2">
        <v>70024</v>
      </c>
      <c r="B27" s="6" t="s">
        <v>3664</v>
      </c>
      <c r="C27" s="8" t="s">
        <v>1333</v>
      </c>
      <c r="D27" s="6" t="s">
        <v>77</v>
      </c>
      <c r="E27" s="2"/>
      <c r="F27" s="2"/>
      <c r="G27" s="2"/>
      <c r="H27" s="2"/>
      <c r="I27" s="2"/>
      <c r="J27" s="6">
        <f>J26+11</f>
        <v>49</v>
      </c>
      <c r="K27" s="2"/>
      <c r="L27" s="2"/>
      <c r="M27" s="2" t="str">
        <f t="shared" si="2"/>
        <v>70023,70023,70023,70023</v>
      </c>
      <c r="N27" s="6">
        <f>N26-0.2</f>
        <v>0.60000000000000009</v>
      </c>
      <c r="O27" s="6">
        <f t="shared" si="3"/>
        <v>7024</v>
      </c>
      <c r="P27" s="52">
        <v>700</v>
      </c>
      <c r="Q27" s="52">
        <v>700</v>
      </c>
      <c r="R27" s="52"/>
    </row>
    <row r="28" spans="1:18" ht="14.25" customHeight="1">
      <c r="A28" s="2">
        <v>70025</v>
      </c>
      <c r="B28" s="6" t="s">
        <v>3664</v>
      </c>
      <c r="C28" s="8" t="s">
        <v>1334</v>
      </c>
      <c r="D28" s="6" t="s">
        <v>77</v>
      </c>
      <c r="E28" s="2"/>
      <c r="F28" s="2"/>
      <c r="G28" s="2"/>
      <c r="H28" s="2"/>
      <c r="I28" s="2"/>
      <c r="J28" s="6">
        <f>J27+23</f>
        <v>72</v>
      </c>
      <c r="K28" s="2"/>
      <c r="L28" s="2"/>
      <c r="M28" s="2" t="str">
        <f t="shared" si="2"/>
        <v>70024,70024,70024,70024</v>
      </c>
      <c r="N28" s="6">
        <f>N27-0.2</f>
        <v>0.40000000000000008</v>
      </c>
      <c r="O28" s="6">
        <f t="shared" si="3"/>
        <v>7025</v>
      </c>
      <c r="P28" s="52">
        <v>700</v>
      </c>
      <c r="Q28" s="52">
        <v>700</v>
      </c>
      <c r="R28" s="52"/>
    </row>
    <row r="29" spans="1:18" ht="14.25" customHeight="1">
      <c r="A29" s="2">
        <v>70026</v>
      </c>
      <c r="B29" s="6" t="s">
        <v>3664</v>
      </c>
      <c r="C29" s="8" t="s">
        <v>1335</v>
      </c>
      <c r="D29" s="6" t="s">
        <v>77</v>
      </c>
      <c r="E29" s="2"/>
      <c r="F29" s="2"/>
      <c r="G29" s="2"/>
      <c r="H29" s="2"/>
      <c r="I29" s="2"/>
      <c r="J29" s="6">
        <f>J28+23</f>
        <v>95</v>
      </c>
      <c r="K29" s="2"/>
      <c r="L29" s="2"/>
      <c r="M29" s="2" t="str">
        <f t="shared" si="2"/>
        <v>70025,70025,70025,70025</v>
      </c>
      <c r="N29" s="6">
        <f>N28-0.2</f>
        <v>0.20000000000000007</v>
      </c>
      <c r="O29" s="6">
        <f t="shared" si="3"/>
        <v>7026</v>
      </c>
      <c r="P29" s="52">
        <v>700</v>
      </c>
      <c r="Q29" s="52">
        <v>700</v>
      </c>
      <c r="R29" s="52"/>
    </row>
    <row r="30" spans="1:18" ht="14.25" customHeight="1">
      <c r="A30" s="2">
        <v>70027</v>
      </c>
      <c r="B30" s="6" t="s">
        <v>3664</v>
      </c>
      <c r="C30" s="8" t="s">
        <v>1336</v>
      </c>
      <c r="D30" s="6" t="s">
        <v>77</v>
      </c>
      <c r="E30" s="2"/>
      <c r="F30" s="2"/>
      <c r="G30" s="2"/>
      <c r="H30" s="2"/>
      <c r="I30" s="2"/>
      <c r="J30" s="6">
        <f>J29+23</f>
        <v>118</v>
      </c>
      <c r="K30" s="2"/>
      <c r="L30" s="2"/>
      <c r="M30" s="2" t="str">
        <f t="shared" si="2"/>
        <v>70026,70026,70026,70026</v>
      </c>
      <c r="N30" s="6">
        <v>0.2</v>
      </c>
      <c r="O30" s="6">
        <f t="shared" si="3"/>
        <v>7027</v>
      </c>
      <c r="P30" s="52">
        <v>700</v>
      </c>
      <c r="Q30" s="52">
        <v>700</v>
      </c>
      <c r="R30" s="52"/>
    </row>
    <row r="31" spans="1:18" ht="14.25" customHeight="1">
      <c r="A31" s="2">
        <v>70028</v>
      </c>
      <c r="B31" s="6" t="s">
        <v>3664</v>
      </c>
      <c r="C31" s="8" t="s">
        <v>1337</v>
      </c>
      <c r="D31" s="6" t="s">
        <v>75</v>
      </c>
      <c r="E31" s="2"/>
      <c r="F31" s="2"/>
      <c r="G31" s="2"/>
      <c r="H31" s="2"/>
      <c r="I31" s="2"/>
      <c r="J31" s="6">
        <f>J30+48</f>
        <v>166</v>
      </c>
      <c r="K31" s="2"/>
      <c r="L31" s="2"/>
      <c r="M31" s="2" t="str">
        <f t="shared" si="2"/>
        <v>70027,70027,70027,70027</v>
      </c>
      <c r="N31" s="6">
        <v>0.2</v>
      </c>
      <c r="O31" s="6">
        <f t="shared" si="3"/>
        <v>7028</v>
      </c>
      <c r="P31" s="52">
        <v>700</v>
      </c>
      <c r="Q31" s="52">
        <v>700</v>
      </c>
      <c r="R31" s="52"/>
    </row>
    <row r="32" spans="1:18" ht="14.25" customHeight="1">
      <c r="A32" s="2">
        <v>70029</v>
      </c>
      <c r="B32" s="6" t="s">
        <v>3664</v>
      </c>
      <c r="C32" s="8" t="s">
        <v>1338</v>
      </c>
      <c r="D32" s="6" t="s">
        <v>75</v>
      </c>
      <c r="E32" s="2"/>
      <c r="F32" s="2"/>
      <c r="G32" s="2"/>
      <c r="H32" s="2"/>
      <c r="I32" s="2"/>
      <c r="J32" s="6">
        <f>J31+48</f>
        <v>214</v>
      </c>
      <c r="K32" s="2"/>
      <c r="L32" s="2"/>
      <c r="M32" s="2" t="str">
        <f t="shared" si="2"/>
        <v>70028,70028,70028,70028</v>
      </c>
      <c r="N32" s="6">
        <v>0.2</v>
      </c>
      <c r="O32" s="6">
        <f t="shared" si="3"/>
        <v>7029</v>
      </c>
      <c r="P32" s="52">
        <v>700</v>
      </c>
      <c r="Q32" s="52">
        <v>700</v>
      </c>
      <c r="R32" s="52"/>
    </row>
    <row r="33" spans="1:18" ht="14.25" customHeight="1">
      <c r="A33" s="2">
        <v>70030</v>
      </c>
      <c r="B33" s="6" t="s">
        <v>3664</v>
      </c>
      <c r="C33" s="8" t="s">
        <v>1339</v>
      </c>
      <c r="D33" s="6" t="s">
        <v>75</v>
      </c>
      <c r="E33" s="2"/>
      <c r="F33" s="2"/>
      <c r="G33" s="2"/>
      <c r="H33" s="2"/>
      <c r="I33" s="2"/>
      <c r="J33" s="6">
        <v>265</v>
      </c>
      <c r="K33" s="2"/>
      <c r="L33" s="2"/>
      <c r="M33" s="2" t="str">
        <f t="shared" si="2"/>
        <v>70029,70029,70029,70029</v>
      </c>
      <c r="N33" s="6">
        <v>0.2</v>
      </c>
      <c r="O33" s="6">
        <f t="shared" si="3"/>
        <v>7030</v>
      </c>
      <c r="P33" s="52">
        <v>700</v>
      </c>
      <c r="Q33" s="52">
        <v>700</v>
      </c>
      <c r="R33" s="52"/>
    </row>
    <row r="34" spans="1:18" ht="14.25" customHeight="1">
      <c r="A34" s="2">
        <v>70031</v>
      </c>
      <c r="B34" s="6" t="s">
        <v>3664</v>
      </c>
      <c r="C34" s="8" t="s">
        <v>1340</v>
      </c>
      <c r="D34" s="6" t="s">
        <v>79</v>
      </c>
      <c r="E34" s="2"/>
      <c r="F34" s="2"/>
      <c r="G34" s="2"/>
      <c r="H34" s="2"/>
      <c r="I34" s="6">
        <v>10</v>
      </c>
      <c r="J34" s="2"/>
      <c r="K34" s="2"/>
      <c r="L34" s="2"/>
      <c r="M34" s="2"/>
      <c r="N34" s="6"/>
      <c r="O34" s="6">
        <f t="shared" si="3"/>
        <v>7031</v>
      </c>
      <c r="P34" s="52">
        <v>700</v>
      </c>
      <c r="Q34" s="52">
        <v>700</v>
      </c>
      <c r="R34" s="52"/>
    </row>
    <row r="35" spans="1:18" ht="14.25" customHeight="1">
      <c r="A35" s="2">
        <v>70032</v>
      </c>
      <c r="B35" s="6" t="s">
        <v>3664</v>
      </c>
      <c r="C35" s="8" t="s">
        <v>1341</v>
      </c>
      <c r="D35" s="6" t="s">
        <v>79</v>
      </c>
      <c r="E35" s="2"/>
      <c r="F35" s="2"/>
      <c r="G35" s="2"/>
      <c r="H35" s="2"/>
      <c r="I35" s="6">
        <f>I34+10</f>
        <v>20</v>
      </c>
      <c r="J35" s="2"/>
      <c r="K35" s="2"/>
      <c r="L35" s="2"/>
      <c r="M35" s="2" t="str">
        <f t="shared" ref="M35:M43" si="4">A34&amp;","&amp;A34&amp;","&amp;A34&amp;","&amp;A34</f>
        <v>70031,70031,70031,70031</v>
      </c>
      <c r="N35" s="6">
        <v>0.9</v>
      </c>
      <c r="O35" s="6">
        <f t="shared" si="3"/>
        <v>7032</v>
      </c>
      <c r="P35" s="52">
        <v>700</v>
      </c>
      <c r="Q35" s="52">
        <v>700</v>
      </c>
      <c r="R35" s="52"/>
    </row>
    <row r="36" spans="1:18" ht="14.25" customHeight="1">
      <c r="A36" s="2">
        <v>70033</v>
      </c>
      <c r="B36" s="6" t="s">
        <v>3664</v>
      </c>
      <c r="C36" s="8" t="s">
        <v>1342</v>
      </c>
      <c r="D36" s="6" t="s">
        <v>79</v>
      </c>
      <c r="E36" s="2"/>
      <c r="F36" s="2"/>
      <c r="G36" s="2"/>
      <c r="H36" s="2"/>
      <c r="I36" s="6">
        <f>I35+10</f>
        <v>30</v>
      </c>
      <c r="J36" s="2"/>
      <c r="K36" s="2"/>
      <c r="L36" s="2"/>
      <c r="M36" s="2" t="str">
        <f t="shared" si="4"/>
        <v>70032,70032,70032,70032</v>
      </c>
      <c r="N36" s="6">
        <v>0.8</v>
      </c>
      <c r="O36" s="6">
        <f t="shared" si="3"/>
        <v>7033</v>
      </c>
      <c r="P36" s="52">
        <v>700</v>
      </c>
      <c r="Q36" s="52">
        <v>700</v>
      </c>
      <c r="R36" s="52"/>
    </row>
    <row r="37" spans="1:18" ht="14.25" customHeight="1">
      <c r="A37" s="2">
        <v>70034</v>
      </c>
      <c r="B37" s="6" t="s">
        <v>3664</v>
      </c>
      <c r="C37" s="8" t="s">
        <v>1343</v>
      </c>
      <c r="D37" s="6" t="s">
        <v>77</v>
      </c>
      <c r="E37" s="2"/>
      <c r="F37" s="2"/>
      <c r="G37" s="2"/>
      <c r="H37" s="2"/>
      <c r="I37" s="6">
        <f>I36+10</f>
        <v>40</v>
      </c>
      <c r="J37" s="2"/>
      <c r="K37" s="2"/>
      <c r="L37" s="2"/>
      <c r="M37" s="2" t="str">
        <f t="shared" si="4"/>
        <v>70033,70033,70033,70033</v>
      </c>
      <c r="N37" s="6">
        <f>N36-0.2</f>
        <v>0.60000000000000009</v>
      </c>
      <c r="O37" s="6">
        <f t="shared" si="3"/>
        <v>7034</v>
      </c>
      <c r="P37" s="52">
        <v>700</v>
      </c>
      <c r="Q37" s="52">
        <v>700</v>
      </c>
      <c r="R37" s="52"/>
    </row>
    <row r="38" spans="1:18" ht="14.25" customHeight="1">
      <c r="A38" s="2">
        <v>70035</v>
      </c>
      <c r="B38" s="6" t="s">
        <v>3664</v>
      </c>
      <c r="C38" s="8" t="s">
        <v>1344</v>
      </c>
      <c r="D38" s="6" t="s">
        <v>77</v>
      </c>
      <c r="E38" s="2"/>
      <c r="F38" s="2"/>
      <c r="G38" s="2"/>
      <c r="H38" s="2"/>
      <c r="I38" s="6">
        <f>I37+20</f>
        <v>60</v>
      </c>
      <c r="J38" s="2"/>
      <c r="K38" s="2"/>
      <c r="L38" s="2"/>
      <c r="M38" s="2" t="str">
        <f t="shared" si="4"/>
        <v>70034,70034,70034,70034</v>
      </c>
      <c r="N38" s="6">
        <f>N37-0.2</f>
        <v>0.40000000000000008</v>
      </c>
      <c r="O38" s="6">
        <f t="shared" si="3"/>
        <v>7035</v>
      </c>
      <c r="P38" s="52">
        <v>700</v>
      </c>
      <c r="Q38" s="52">
        <v>700</v>
      </c>
      <c r="R38" s="52"/>
    </row>
    <row r="39" spans="1:18" ht="14.25" customHeight="1">
      <c r="A39" s="2">
        <v>70036</v>
      </c>
      <c r="B39" s="6" t="s">
        <v>3664</v>
      </c>
      <c r="C39" s="8" t="s">
        <v>1345</v>
      </c>
      <c r="D39" s="6" t="s">
        <v>77</v>
      </c>
      <c r="E39" s="2"/>
      <c r="F39" s="2"/>
      <c r="G39" s="2"/>
      <c r="H39" s="2"/>
      <c r="I39" s="6">
        <f>I38+20</f>
        <v>80</v>
      </c>
      <c r="J39" s="2"/>
      <c r="K39" s="2"/>
      <c r="L39" s="2"/>
      <c r="M39" s="2" t="str">
        <f t="shared" si="4"/>
        <v>70035,70035,70035,70035</v>
      </c>
      <c r="N39" s="6">
        <f>N38-0.2</f>
        <v>0.20000000000000007</v>
      </c>
      <c r="O39" s="6">
        <f t="shared" si="3"/>
        <v>7036</v>
      </c>
      <c r="P39" s="52">
        <v>700</v>
      </c>
      <c r="Q39" s="52">
        <v>700</v>
      </c>
      <c r="R39" s="52"/>
    </row>
    <row r="40" spans="1:18" ht="14.25" customHeight="1">
      <c r="A40" s="2">
        <v>70037</v>
      </c>
      <c r="B40" s="6" t="s">
        <v>3664</v>
      </c>
      <c r="C40" s="8" t="s">
        <v>1346</v>
      </c>
      <c r="D40" s="6" t="s">
        <v>77</v>
      </c>
      <c r="E40" s="2"/>
      <c r="F40" s="2"/>
      <c r="G40" s="2"/>
      <c r="H40" s="2"/>
      <c r="I40" s="6">
        <f>I39+20</f>
        <v>100</v>
      </c>
      <c r="J40" s="2"/>
      <c r="K40" s="2"/>
      <c r="L40" s="2"/>
      <c r="M40" s="2" t="str">
        <f t="shared" si="4"/>
        <v>70036,70036,70036,70036</v>
      </c>
      <c r="N40" s="6">
        <v>0.2</v>
      </c>
      <c r="O40" s="6">
        <f t="shared" si="3"/>
        <v>7037</v>
      </c>
      <c r="P40" s="52">
        <v>700</v>
      </c>
      <c r="Q40" s="52">
        <v>700</v>
      </c>
      <c r="R40" s="52"/>
    </row>
    <row r="41" spans="1:18" ht="14.25" customHeight="1">
      <c r="A41" s="2">
        <v>70038</v>
      </c>
      <c r="B41" s="6" t="s">
        <v>3664</v>
      </c>
      <c r="C41" s="8" t="s">
        <v>1347</v>
      </c>
      <c r="D41" s="6" t="s">
        <v>75</v>
      </c>
      <c r="E41" s="2"/>
      <c r="F41" s="2"/>
      <c r="G41" s="2"/>
      <c r="H41" s="2"/>
      <c r="I41" s="6">
        <f>I40+45</f>
        <v>145</v>
      </c>
      <c r="J41" s="2"/>
      <c r="K41" s="2"/>
      <c r="L41" s="2"/>
      <c r="M41" s="2" t="str">
        <f t="shared" si="4"/>
        <v>70037,70037,70037,70037</v>
      </c>
      <c r="N41" s="6">
        <v>0.2</v>
      </c>
      <c r="O41" s="6">
        <f t="shared" si="3"/>
        <v>7038</v>
      </c>
      <c r="P41" s="52">
        <v>700</v>
      </c>
      <c r="Q41" s="52">
        <v>700</v>
      </c>
      <c r="R41" s="52"/>
    </row>
    <row r="42" spans="1:18" ht="14.25" customHeight="1">
      <c r="A42" s="2">
        <v>70039</v>
      </c>
      <c r="B42" s="6" t="s">
        <v>3664</v>
      </c>
      <c r="C42" s="8" t="s">
        <v>1348</v>
      </c>
      <c r="D42" s="6" t="s">
        <v>75</v>
      </c>
      <c r="E42" s="2"/>
      <c r="F42" s="2"/>
      <c r="G42" s="2"/>
      <c r="H42" s="2"/>
      <c r="I42" s="6">
        <f>I41+45</f>
        <v>190</v>
      </c>
      <c r="J42" s="2"/>
      <c r="K42" s="2"/>
      <c r="L42" s="2"/>
      <c r="M42" s="2" t="str">
        <f t="shared" si="4"/>
        <v>70038,70038,70038,70038</v>
      </c>
      <c r="N42" s="6">
        <v>0.2</v>
      </c>
      <c r="O42" s="6">
        <f t="shared" si="3"/>
        <v>7039</v>
      </c>
      <c r="P42" s="52">
        <v>700</v>
      </c>
      <c r="Q42" s="52">
        <v>700</v>
      </c>
      <c r="R42" s="52"/>
    </row>
    <row r="43" spans="1:18" ht="14.25" customHeight="1">
      <c r="A43" s="2">
        <v>70040</v>
      </c>
      <c r="B43" s="6" t="s">
        <v>3664</v>
      </c>
      <c r="C43" s="8" t="s">
        <v>1349</v>
      </c>
      <c r="D43" s="6" t="s">
        <v>75</v>
      </c>
      <c r="E43" s="2"/>
      <c r="F43" s="2"/>
      <c r="G43" s="2"/>
      <c r="H43" s="2"/>
      <c r="I43" s="6">
        <f>I42+45</f>
        <v>235</v>
      </c>
      <c r="J43" s="2"/>
      <c r="K43" s="2"/>
      <c r="L43" s="2"/>
      <c r="M43" s="2" t="str">
        <f t="shared" si="4"/>
        <v>70039,70039,70039,70039</v>
      </c>
      <c r="N43" s="6">
        <v>0.2</v>
      </c>
      <c r="O43" s="6">
        <f t="shared" si="3"/>
        <v>7040</v>
      </c>
      <c r="P43" s="52">
        <v>700</v>
      </c>
      <c r="Q43" s="52">
        <v>700</v>
      </c>
      <c r="R43" s="52"/>
    </row>
    <row r="44" spans="1:18" ht="14.25" customHeight="1">
      <c r="A44" s="2">
        <v>70041</v>
      </c>
      <c r="B44" s="6" t="s">
        <v>3664</v>
      </c>
      <c r="C44" s="8" t="s">
        <v>1350</v>
      </c>
      <c r="D44" s="6" t="s">
        <v>79</v>
      </c>
      <c r="E44" s="2"/>
      <c r="F44" s="2"/>
      <c r="G44" s="2"/>
      <c r="H44" s="2"/>
      <c r="I44" s="2"/>
      <c r="J44" s="2"/>
      <c r="K44" s="6">
        <v>30</v>
      </c>
      <c r="L44" s="2"/>
      <c r="M44" s="2"/>
      <c r="N44" s="6"/>
      <c r="O44" s="6">
        <f t="shared" si="3"/>
        <v>7041</v>
      </c>
      <c r="P44" s="52">
        <v>701</v>
      </c>
      <c r="Q44" s="52">
        <v>701</v>
      </c>
      <c r="R44" s="52"/>
    </row>
    <row r="45" spans="1:18" ht="14.25" customHeight="1">
      <c r="A45" s="2">
        <v>70042</v>
      </c>
      <c r="B45" s="6" t="s">
        <v>3664</v>
      </c>
      <c r="C45" s="8" t="s">
        <v>1351</v>
      </c>
      <c r="D45" s="6" t="s">
        <v>79</v>
      </c>
      <c r="E45" s="2"/>
      <c r="F45" s="2"/>
      <c r="G45" s="2"/>
      <c r="H45" s="2"/>
      <c r="I45" s="2"/>
      <c r="J45" s="2"/>
      <c r="K45" s="6">
        <f>K44+31</f>
        <v>61</v>
      </c>
      <c r="L45" s="2"/>
      <c r="M45" s="2" t="str">
        <f t="shared" ref="M45:M53" si="5">A44&amp;","&amp;A44&amp;","&amp;A44&amp;","&amp;A44</f>
        <v>70041,70041,70041,70041</v>
      </c>
      <c r="N45" s="6">
        <v>0.9</v>
      </c>
      <c r="O45" s="6">
        <f t="shared" si="3"/>
        <v>7042</v>
      </c>
      <c r="P45" s="52">
        <v>701</v>
      </c>
      <c r="Q45" s="52">
        <v>701</v>
      </c>
      <c r="R45" s="52"/>
    </row>
    <row r="46" spans="1:18" ht="14.25" customHeight="1">
      <c r="A46" s="2">
        <v>70043</v>
      </c>
      <c r="B46" s="6" t="s">
        <v>3664</v>
      </c>
      <c r="C46" s="8" t="s">
        <v>1352</v>
      </c>
      <c r="D46" s="6" t="s">
        <v>79</v>
      </c>
      <c r="E46" s="2"/>
      <c r="F46" s="2"/>
      <c r="G46" s="2"/>
      <c r="H46" s="2"/>
      <c r="I46" s="2"/>
      <c r="J46" s="2"/>
      <c r="K46" s="6">
        <f>K45+31</f>
        <v>92</v>
      </c>
      <c r="L46" s="2"/>
      <c r="M46" s="2" t="str">
        <f t="shared" si="5"/>
        <v>70042,70042,70042,70042</v>
      </c>
      <c r="N46" s="6">
        <v>0.8</v>
      </c>
      <c r="O46" s="6">
        <f t="shared" si="3"/>
        <v>7043</v>
      </c>
      <c r="P46" s="52">
        <v>701</v>
      </c>
      <c r="Q46" s="52">
        <v>701</v>
      </c>
      <c r="R46" s="52"/>
    </row>
    <row r="47" spans="1:18" ht="14.25" customHeight="1">
      <c r="A47" s="2">
        <v>70044</v>
      </c>
      <c r="B47" s="6" t="s">
        <v>3664</v>
      </c>
      <c r="C47" s="8" t="s">
        <v>1353</v>
      </c>
      <c r="D47" s="6" t="s">
        <v>77</v>
      </c>
      <c r="E47" s="2"/>
      <c r="F47" s="2"/>
      <c r="G47" s="2"/>
      <c r="H47" s="2"/>
      <c r="I47" s="2"/>
      <c r="J47" s="2"/>
      <c r="K47" s="6">
        <f>K46+31</f>
        <v>123</v>
      </c>
      <c r="L47" s="2"/>
      <c r="M47" s="2" t="str">
        <f t="shared" si="5"/>
        <v>70043,70043,70043,70043</v>
      </c>
      <c r="N47" s="6">
        <f>N46-0.2</f>
        <v>0.60000000000000009</v>
      </c>
      <c r="O47" s="6">
        <f t="shared" si="3"/>
        <v>7044</v>
      </c>
      <c r="P47" s="52">
        <v>701</v>
      </c>
      <c r="Q47" s="52">
        <v>701</v>
      </c>
      <c r="R47" s="52"/>
    </row>
    <row r="48" spans="1:18" ht="14.25" customHeight="1">
      <c r="A48" s="2">
        <v>70045</v>
      </c>
      <c r="B48" s="6" t="s">
        <v>3664</v>
      </c>
      <c r="C48" s="8" t="s">
        <v>1354</v>
      </c>
      <c r="D48" s="6" t="s">
        <v>77</v>
      </c>
      <c r="E48" s="2"/>
      <c r="F48" s="2"/>
      <c r="G48" s="2"/>
      <c r="H48" s="2"/>
      <c r="I48" s="2"/>
      <c r="J48" s="2"/>
      <c r="K48" s="6">
        <f>K47+42</f>
        <v>165</v>
      </c>
      <c r="L48" s="2"/>
      <c r="M48" s="2" t="str">
        <f t="shared" si="5"/>
        <v>70044,70044,70044,70044</v>
      </c>
      <c r="N48" s="6">
        <f>N47-0.2</f>
        <v>0.40000000000000008</v>
      </c>
      <c r="O48" s="6">
        <f t="shared" si="3"/>
        <v>7045</v>
      </c>
      <c r="P48" s="52">
        <v>701</v>
      </c>
      <c r="Q48" s="52">
        <v>701</v>
      </c>
      <c r="R48" s="52"/>
    </row>
    <row r="49" spans="1:18" ht="14.25" customHeight="1">
      <c r="A49" s="2">
        <v>70046</v>
      </c>
      <c r="B49" s="6" t="s">
        <v>3664</v>
      </c>
      <c r="C49" s="8" t="s">
        <v>1355</v>
      </c>
      <c r="D49" s="6" t="s">
        <v>77</v>
      </c>
      <c r="E49" s="2"/>
      <c r="F49" s="2"/>
      <c r="G49" s="2"/>
      <c r="H49" s="2"/>
      <c r="I49" s="2"/>
      <c r="J49" s="2"/>
      <c r="K49" s="6">
        <f>K48+42</f>
        <v>207</v>
      </c>
      <c r="L49" s="2"/>
      <c r="M49" s="2" t="str">
        <f t="shared" si="5"/>
        <v>70045,70045,70045,70045</v>
      </c>
      <c r="N49" s="6">
        <f>N48-0.2</f>
        <v>0.20000000000000007</v>
      </c>
      <c r="O49" s="6">
        <f t="shared" si="3"/>
        <v>7046</v>
      </c>
      <c r="P49" s="52">
        <v>701</v>
      </c>
      <c r="Q49" s="52">
        <v>701</v>
      </c>
      <c r="R49" s="52"/>
    </row>
    <row r="50" spans="1:18" ht="14.25" customHeight="1">
      <c r="A50" s="2">
        <v>70047</v>
      </c>
      <c r="B50" s="6" t="s">
        <v>3664</v>
      </c>
      <c r="C50" s="8" t="s">
        <v>1356</v>
      </c>
      <c r="D50" s="6" t="s">
        <v>77</v>
      </c>
      <c r="E50" s="2"/>
      <c r="F50" s="2"/>
      <c r="G50" s="2"/>
      <c r="H50" s="2"/>
      <c r="I50" s="2"/>
      <c r="J50" s="2"/>
      <c r="K50" s="6">
        <v>250</v>
      </c>
      <c r="L50" s="2"/>
      <c r="M50" s="2" t="str">
        <f t="shared" si="5"/>
        <v>70046,70046,70046,70046</v>
      </c>
      <c r="N50" s="6">
        <v>0.2</v>
      </c>
      <c r="O50" s="6">
        <f t="shared" si="3"/>
        <v>7047</v>
      </c>
      <c r="P50" s="52">
        <v>701</v>
      </c>
      <c r="Q50" s="52">
        <v>701</v>
      </c>
      <c r="R50" s="52"/>
    </row>
    <row r="51" spans="1:18" ht="14.25" customHeight="1">
      <c r="A51" s="2">
        <v>70048</v>
      </c>
      <c r="B51" s="6" t="s">
        <v>3664</v>
      </c>
      <c r="C51" s="8" t="s">
        <v>1357</v>
      </c>
      <c r="D51" s="6" t="s">
        <v>75</v>
      </c>
      <c r="E51" s="2"/>
      <c r="F51" s="2"/>
      <c r="G51" s="2"/>
      <c r="H51" s="2"/>
      <c r="I51" s="2"/>
      <c r="J51" s="2"/>
      <c r="K51" s="6">
        <v>300</v>
      </c>
      <c r="L51" s="2"/>
      <c r="M51" s="2" t="str">
        <f t="shared" si="5"/>
        <v>70047,70047,70047,70047</v>
      </c>
      <c r="N51" s="6">
        <v>0.2</v>
      </c>
      <c r="O51" s="6">
        <f t="shared" si="3"/>
        <v>7048</v>
      </c>
      <c r="P51" s="52">
        <v>701</v>
      </c>
      <c r="Q51" s="52">
        <v>701</v>
      </c>
      <c r="R51" s="52"/>
    </row>
    <row r="52" spans="1:18" ht="14.25" customHeight="1">
      <c r="A52" s="2">
        <v>70049</v>
      </c>
      <c r="B52" s="6" t="s">
        <v>3664</v>
      </c>
      <c r="C52" s="8" t="s">
        <v>1358</v>
      </c>
      <c r="D52" s="6" t="s">
        <v>75</v>
      </c>
      <c r="E52" s="2"/>
      <c r="F52" s="2"/>
      <c r="G52" s="2"/>
      <c r="H52" s="2"/>
      <c r="I52" s="2"/>
      <c r="J52" s="2"/>
      <c r="K52" s="6">
        <v>350</v>
      </c>
      <c r="L52" s="2"/>
      <c r="M52" s="2" t="str">
        <f t="shared" si="5"/>
        <v>70048,70048,70048,70048</v>
      </c>
      <c r="N52" s="6">
        <v>0.2</v>
      </c>
      <c r="O52" s="6">
        <f t="shared" si="3"/>
        <v>7049</v>
      </c>
      <c r="P52" s="52">
        <v>701</v>
      </c>
      <c r="Q52" s="52">
        <v>701</v>
      </c>
      <c r="R52" s="52"/>
    </row>
    <row r="53" spans="1:18" ht="14.25" customHeight="1">
      <c r="A53" s="2">
        <v>70050</v>
      </c>
      <c r="B53" s="6" t="s">
        <v>3664</v>
      </c>
      <c r="C53" s="8" t="s">
        <v>1359</v>
      </c>
      <c r="D53" s="6" t="s">
        <v>75</v>
      </c>
      <c r="E53" s="2"/>
      <c r="F53" s="2"/>
      <c r="G53" s="2"/>
      <c r="H53" s="2"/>
      <c r="I53" s="2"/>
      <c r="J53" s="2"/>
      <c r="K53" s="6">
        <v>400</v>
      </c>
      <c r="L53" s="2"/>
      <c r="M53" s="2" t="str">
        <f t="shared" si="5"/>
        <v>70049,70049,70049,70049</v>
      </c>
      <c r="N53" s="6">
        <v>0.2</v>
      </c>
      <c r="O53" s="6">
        <f t="shared" si="3"/>
        <v>7050</v>
      </c>
      <c r="P53" s="52">
        <v>701</v>
      </c>
      <c r="Q53" s="52">
        <v>701</v>
      </c>
      <c r="R53" s="52"/>
    </row>
    <row r="54" spans="1:18" ht="14.25" customHeight="1">
      <c r="A54" s="2">
        <v>70051</v>
      </c>
      <c r="B54" s="6" t="s">
        <v>3664</v>
      </c>
      <c r="C54" s="8" t="s">
        <v>1360</v>
      </c>
      <c r="D54" s="6" t="s">
        <v>79</v>
      </c>
      <c r="E54" s="2"/>
      <c r="F54" s="2">
        <f t="shared" ref="F54:F63" si="6">ROUND(K44*2.2,0)</f>
        <v>66</v>
      </c>
      <c r="G54" s="2"/>
      <c r="H54" s="2"/>
      <c r="I54" s="6"/>
      <c r="J54" s="6"/>
      <c r="K54" s="2"/>
      <c r="L54" s="2"/>
      <c r="M54" s="2"/>
      <c r="N54" s="6"/>
      <c r="O54" s="6">
        <f t="shared" si="3"/>
        <v>7051</v>
      </c>
      <c r="P54" s="52">
        <v>701</v>
      </c>
      <c r="Q54" s="52">
        <v>701</v>
      </c>
      <c r="R54" s="52"/>
    </row>
    <row r="55" spans="1:18" ht="14.25" customHeight="1">
      <c r="A55" s="2">
        <v>70052</v>
      </c>
      <c r="B55" s="6" t="s">
        <v>3664</v>
      </c>
      <c r="C55" s="8" t="s">
        <v>1361</v>
      </c>
      <c r="D55" s="6" t="s">
        <v>79</v>
      </c>
      <c r="E55" s="2"/>
      <c r="F55" s="2">
        <f t="shared" si="6"/>
        <v>134</v>
      </c>
      <c r="G55" s="2"/>
      <c r="H55" s="2"/>
      <c r="I55" s="6"/>
      <c r="J55" s="6"/>
      <c r="K55" s="2"/>
      <c r="L55" s="2"/>
      <c r="M55" s="2" t="str">
        <f t="shared" ref="M55:M63" si="7">A54&amp;","&amp;A54&amp;","&amp;A54&amp;","&amp;A54</f>
        <v>70051,70051,70051,70051</v>
      </c>
      <c r="N55" s="6">
        <v>0.9</v>
      </c>
      <c r="O55" s="6">
        <f t="shared" si="3"/>
        <v>7052</v>
      </c>
      <c r="P55" s="52">
        <v>701</v>
      </c>
      <c r="Q55" s="52">
        <v>701</v>
      </c>
      <c r="R55" s="52"/>
    </row>
    <row r="56" spans="1:18" ht="14.25" customHeight="1">
      <c r="A56" s="2">
        <v>70053</v>
      </c>
      <c r="B56" s="6" t="s">
        <v>3664</v>
      </c>
      <c r="C56" s="8" t="s">
        <v>1362</v>
      </c>
      <c r="D56" s="6" t="s">
        <v>79</v>
      </c>
      <c r="E56" s="2"/>
      <c r="F56" s="2">
        <f t="shared" si="6"/>
        <v>202</v>
      </c>
      <c r="G56" s="2"/>
      <c r="H56" s="2"/>
      <c r="I56" s="6"/>
      <c r="J56" s="6"/>
      <c r="K56" s="2"/>
      <c r="L56" s="2"/>
      <c r="M56" s="2" t="str">
        <f t="shared" si="7"/>
        <v>70052,70052,70052,70052</v>
      </c>
      <c r="N56" s="6">
        <v>0.8</v>
      </c>
      <c r="O56" s="6">
        <f t="shared" si="3"/>
        <v>7053</v>
      </c>
      <c r="P56" s="52">
        <v>701</v>
      </c>
      <c r="Q56" s="52">
        <v>701</v>
      </c>
      <c r="R56" s="52"/>
    </row>
    <row r="57" spans="1:18" ht="14.25" customHeight="1">
      <c r="A57" s="2">
        <v>70054</v>
      </c>
      <c r="B57" s="6" t="s">
        <v>3664</v>
      </c>
      <c r="C57" s="8" t="s">
        <v>1363</v>
      </c>
      <c r="D57" s="6" t="s">
        <v>77</v>
      </c>
      <c r="E57" s="2"/>
      <c r="F57" s="2">
        <f t="shared" si="6"/>
        <v>271</v>
      </c>
      <c r="G57" s="2"/>
      <c r="H57" s="2"/>
      <c r="I57" s="6"/>
      <c r="J57" s="6"/>
      <c r="K57" s="2"/>
      <c r="L57" s="2"/>
      <c r="M57" s="2" t="str">
        <f t="shared" si="7"/>
        <v>70053,70053,70053,70053</v>
      </c>
      <c r="N57" s="6">
        <f>N56-0.2</f>
        <v>0.60000000000000009</v>
      </c>
      <c r="O57" s="6">
        <f t="shared" ref="O57:O83" si="8">O56+1</f>
        <v>7054</v>
      </c>
      <c r="P57" s="52">
        <v>701</v>
      </c>
      <c r="Q57" s="52">
        <v>701</v>
      </c>
      <c r="R57" s="52"/>
    </row>
    <row r="58" spans="1:18" ht="14.25" customHeight="1">
      <c r="A58" s="2">
        <v>70055</v>
      </c>
      <c r="B58" s="6" t="s">
        <v>3664</v>
      </c>
      <c r="C58" s="8" t="s">
        <v>1364</v>
      </c>
      <c r="D58" s="6" t="s">
        <v>77</v>
      </c>
      <c r="E58" s="2"/>
      <c r="F58" s="2">
        <f t="shared" si="6"/>
        <v>363</v>
      </c>
      <c r="G58" s="2"/>
      <c r="H58" s="2"/>
      <c r="I58" s="6"/>
      <c r="J58" s="6"/>
      <c r="K58" s="2"/>
      <c r="L58" s="2"/>
      <c r="M58" s="2" t="str">
        <f t="shared" si="7"/>
        <v>70054,70054,70054,70054</v>
      </c>
      <c r="N58" s="6">
        <f>N57-0.2</f>
        <v>0.40000000000000008</v>
      </c>
      <c r="O58" s="6">
        <f t="shared" si="8"/>
        <v>7055</v>
      </c>
      <c r="P58" s="52">
        <v>701</v>
      </c>
      <c r="Q58" s="52">
        <v>701</v>
      </c>
      <c r="R58" s="52"/>
    </row>
    <row r="59" spans="1:18" ht="14.25" customHeight="1">
      <c r="A59" s="2">
        <v>70056</v>
      </c>
      <c r="B59" s="6" t="s">
        <v>3664</v>
      </c>
      <c r="C59" s="8" t="s">
        <v>1365</v>
      </c>
      <c r="D59" s="6" t="s">
        <v>77</v>
      </c>
      <c r="E59" s="2"/>
      <c r="F59" s="2">
        <f t="shared" si="6"/>
        <v>455</v>
      </c>
      <c r="G59" s="2"/>
      <c r="H59" s="2"/>
      <c r="I59" s="6"/>
      <c r="J59" s="6"/>
      <c r="K59" s="2"/>
      <c r="L59" s="2"/>
      <c r="M59" s="2" t="str">
        <f t="shared" si="7"/>
        <v>70055,70055,70055,70055</v>
      </c>
      <c r="N59" s="6">
        <f>N58-0.2</f>
        <v>0.20000000000000007</v>
      </c>
      <c r="O59" s="6">
        <f t="shared" si="8"/>
        <v>7056</v>
      </c>
      <c r="P59" s="52">
        <v>701</v>
      </c>
      <c r="Q59" s="52">
        <v>701</v>
      </c>
      <c r="R59" s="52"/>
    </row>
    <row r="60" spans="1:18" ht="14.25" customHeight="1">
      <c r="A60" s="2">
        <v>70057</v>
      </c>
      <c r="B60" s="6" t="s">
        <v>3664</v>
      </c>
      <c r="C60" s="8" t="s">
        <v>1366</v>
      </c>
      <c r="D60" s="6" t="s">
        <v>77</v>
      </c>
      <c r="E60" s="2"/>
      <c r="F60" s="2">
        <f t="shared" si="6"/>
        <v>550</v>
      </c>
      <c r="G60" s="2"/>
      <c r="H60" s="2"/>
      <c r="I60" s="6"/>
      <c r="J60" s="6"/>
      <c r="K60" s="2"/>
      <c r="L60" s="2"/>
      <c r="M60" s="2" t="str">
        <f t="shared" si="7"/>
        <v>70056,70056,70056,70056</v>
      </c>
      <c r="N60" s="6">
        <v>0.2</v>
      </c>
      <c r="O60" s="6">
        <f t="shared" si="8"/>
        <v>7057</v>
      </c>
      <c r="P60" s="52">
        <v>701</v>
      </c>
      <c r="Q60" s="52">
        <v>701</v>
      </c>
      <c r="R60" s="52"/>
    </row>
    <row r="61" spans="1:18" ht="14.25" customHeight="1">
      <c r="A61" s="2">
        <v>70058</v>
      </c>
      <c r="B61" s="6" t="s">
        <v>3664</v>
      </c>
      <c r="C61" s="8" t="s">
        <v>1367</v>
      </c>
      <c r="D61" s="6" t="s">
        <v>75</v>
      </c>
      <c r="E61" s="2"/>
      <c r="F61" s="2">
        <f t="shared" si="6"/>
        <v>660</v>
      </c>
      <c r="G61" s="2"/>
      <c r="H61" s="2"/>
      <c r="I61" s="6"/>
      <c r="J61" s="6"/>
      <c r="K61" s="2"/>
      <c r="L61" s="2"/>
      <c r="M61" s="2" t="str">
        <f t="shared" si="7"/>
        <v>70057,70057,70057,70057</v>
      </c>
      <c r="N61" s="6">
        <v>0.2</v>
      </c>
      <c r="O61" s="6">
        <f t="shared" si="8"/>
        <v>7058</v>
      </c>
      <c r="P61" s="52">
        <v>701</v>
      </c>
      <c r="Q61" s="52">
        <v>701</v>
      </c>
      <c r="R61" s="52"/>
    </row>
    <row r="62" spans="1:18" ht="14.25" customHeight="1">
      <c r="A62" s="2">
        <v>70059</v>
      </c>
      <c r="B62" s="6" t="s">
        <v>3664</v>
      </c>
      <c r="C62" s="8" t="s">
        <v>1368</v>
      </c>
      <c r="D62" s="6" t="s">
        <v>75</v>
      </c>
      <c r="E62" s="2"/>
      <c r="F62" s="2">
        <f t="shared" si="6"/>
        <v>770</v>
      </c>
      <c r="G62" s="2"/>
      <c r="H62" s="2"/>
      <c r="I62" s="6"/>
      <c r="J62" s="6"/>
      <c r="K62" s="2"/>
      <c r="L62" s="2"/>
      <c r="M62" s="2" t="str">
        <f t="shared" si="7"/>
        <v>70058,70058,70058,70058</v>
      </c>
      <c r="N62" s="6">
        <v>0.2</v>
      </c>
      <c r="O62" s="6">
        <f t="shared" si="8"/>
        <v>7059</v>
      </c>
      <c r="P62" s="52">
        <v>701</v>
      </c>
      <c r="Q62" s="52">
        <v>701</v>
      </c>
      <c r="R62" s="52"/>
    </row>
    <row r="63" spans="1:18" ht="14.25" customHeight="1">
      <c r="A63" s="2">
        <v>70060</v>
      </c>
      <c r="B63" s="6" t="s">
        <v>3664</v>
      </c>
      <c r="C63" s="8" t="s">
        <v>1369</v>
      </c>
      <c r="D63" s="6" t="s">
        <v>75</v>
      </c>
      <c r="E63" s="2"/>
      <c r="F63" s="2">
        <f t="shared" si="6"/>
        <v>880</v>
      </c>
      <c r="G63" s="2"/>
      <c r="H63" s="2"/>
      <c r="I63" s="6"/>
      <c r="J63" s="6"/>
      <c r="K63" s="2"/>
      <c r="L63" s="2"/>
      <c r="M63" s="2" t="str">
        <f t="shared" si="7"/>
        <v>70059,70059,70059,70059</v>
      </c>
      <c r="N63" s="6">
        <v>0.2</v>
      </c>
      <c r="O63" s="6">
        <f t="shared" si="8"/>
        <v>7060</v>
      </c>
      <c r="P63" s="52">
        <v>701</v>
      </c>
      <c r="Q63" s="52">
        <v>701</v>
      </c>
      <c r="R63" s="52"/>
    </row>
    <row r="64" spans="1:18" ht="14.25" customHeight="1">
      <c r="A64" s="2">
        <v>70061</v>
      </c>
      <c r="B64" s="6" t="s">
        <v>3664</v>
      </c>
      <c r="C64" s="8" t="s">
        <v>1370</v>
      </c>
      <c r="D64" s="6" t="s">
        <v>79</v>
      </c>
      <c r="E64" s="2"/>
      <c r="F64" s="2"/>
      <c r="G64" s="2"/>
      <c r="H64" s="2"/>
      <c r="I64" s="2">
        <v>5</v>
      </c>
      <c r="J64" s="2">
        <v>5</v>
      </c>
      <c r="K64" s="6"/>
      <c r="L64" s="2"/>
      <c r="M64" s="2"/>
      <c r="N64" s="6"/>
      <c r="O64" s="6">
        <f t="shared" si="8"/>
        <v>7061</v>
      </c>
      <c r="P64" s="52">
        <v>702</v>
      </c>
      <c r="Q64" s="52">
        <v>702</v>
      </c>
      <c r="R64" s="52"/>
    </row>
    <row r="65" spans="1:18" ht="14.25" customHeight="1">
      <c r="A65" s="2">
        <v>70062</v>
      </c>
      <c r="B65" s="6" t="s">
        <v>3664</v>
      </c>
      <c r="C65" s="8" t="s">
        <v>1371</v>
      </c>
      <c r="D65" s="6" t="s">
        <v>79</v>
      </c>
      <c r="E65" s="2"/>
      <c r="F65" s="2"/>
      <c r="G65" s="2"/>
      <c r="H65" s="2"/>
      <c r="I65" s="2">
        <v>10</v>
      </c>
      <c r="J65" s="2">
        <v>10</v>
      </c>
      <c r="K65" s="6"/>
      <c r="L65" s="2"/>
      <c r="M65" s="2" t="str">
        <f t="shared" ref="M65:M73" si="9">A64&amp;","&amp;A64&amp;","&amp;A64&amp;","&amp;A64</f>
        <v>70061,70061,70061,70061</v>
      </c>
      <c r="N65" s="6">
        <v>0.9</v>
      </c>
      <c r="O65" s="6">
        <f t="shared" si="8"/>
        <v>7062</v>
      </c>
      <c r="P65" s="52">
        <v>702</v>
      </c>
      <c r="Q65" s="52">
        <v>702</v>
      </c>
      <c r="R65" s="52"/>
    </row>
    <row r="66" spans="1:18" ht="14.25" customHeight="1">
      <c r="A66" s="2">
        <v>70063</v>
      </c>
      <c r="B66" s="6" t="s">
        <v>3664</v>
      </c>
      <c r="C66" s="8" t="s">
        <v>1372</v>
      </c>
      <c r="D66" s="6" t="s">
        <v>79</v>
      </c>
      <c r="E66" s="2"/>
      <c r="F66" s="2"/>
      <c r="G66" s="2"/>
      <c r="H66" s="2"/>
      <c r="I66" s="2">
        <v>15</v>
      </c>
      <c r="J66" s="2">
        <v>15</v>
      </c>
      <c r="K66" s="6"/>
      <c r="L66" s="2"/>
      <c r="M66" s="2" t="str">
        <f t="shared" si="9"/>
        <v>70062,70062,70062,70062</v>
      </c>
      <c r="N66" s="6">
        <v>0.8</v>
      </c>
      <c r="O66" s="6">
        <f t="shared" si="8"/>
        <v>7063</v>
      </c>
      <c r="P66" s="52">
        <v>702</v>
      </c>
      <c r="Q66" s="52">
        <v>702</v>
      </c>
      <c r="R66" s="52"/>
    </row>
    <row r="67" spans="1:18" ht="14.25" customHeight="1">
      <c r="A67" s="2">
        <v>70064</v>
      </c>
      <c r="B67" s="6" t="s">
        <v>3664</v>
      </c>
      <c r="C67" s="8" t="s">
        <v>1373</v>
      </c>
      <c r="D67" s="6" t="s">
        <v>77</v>
      </c>
      <c r="E67" s="2"/>
      <c r="F67" s="2"/>
      <c r="G67" s="2"/>
      <c r="H67" s="2"/>
      <c r="I67" s="2">
        <v>20</v>
      </c>
      <c r="J67" s="2">
        <v>20</v>
      </c>
      <c r="K67" s="6"/>
      <c r="L67" s="2"/>
      <c r="M67" s="2" t="str">
        <f t="shared" si="9"/>
        <v>70063,70063,70063,70063</v>
      </c>
      <c r="N67" s="6">
        <f>N66-0.2</f>
        <v>0.60000000000000009</v>
      </c>
      <c r="O67" s="6">
        <f t="shared" si="8"/>
        <v>7064</v>
      </c>
      <c r="P67" s="52">
        <v>702</v>
      </c>
      <c r="Q67" s="52">
        <v>702</v>
      </c>
      <c r="R67" s="52"/>
    </row>
    <row r="68" spans="1:18" ht="14.25" customHeight="1">
      <c r="A68" s="2">
        <v>70065</v>
      </c>
      <c r="B68" s="6" t="s">
        <v>3664</v>
      </c>
      <c r="C68" s="8" t="s">
        <v>1374</v>
      </c>
      <c r="D68" s="6" t="s">
        <v>77</v>
      </c>
      <c r="E68" s="2"/>
      <c r="F68" s="2"/>
      <c r="G68" s="2"/>
      <c r="H68" s="2"/>
      <c r="I68" s="2">
        <v>30</v>
      </c>
      <c r="J68" s="2">
        <v>30</v>
      </c>
      <c r="K68" s="6"/>
      <c r="L68" s="2"/>
      <c r="M68" s="2" t="str">
        <f t="shared" si="9"/>
        <v>70064,70064,70064,70064</v>
      </c>
      <c r="N68" s="6">
        <f>N67-0.2</f>
        <v>0.40000000000000008</v>
      </c>
      <c r="O68" s="6">
        <f t="shared" si="8"/>
        <v>7065</v>
      </c>
      <c r="P68" s="52">
        <v>702</v>
      </c>
      <c r="Q68" s="52">
        <v>702</v>
      </c>
      <c r="R68" s="52"/>
    </row>
    <row r="69" spans="1:18" ht="14.25" customHeight="1">
      <c r="A69" s="2">
        <v>70066</v>
      </c>
      <c r="B69" s="6" t="s">
        <v>3664</v>
      </c>
      <c r="C69" s="8" t="s">
        <v>1375</v>
      </c>
      <c r="D69" s="6" t="s">
        <v>77</v>
      </c>
      <c r="E69" s="2"/>
      <c r="F69" s="2"/>
      <c r="G69" s="2"/>
      <c r="H69" s="2"/>
      <c r="I69" s="2">
        <v>40</v>
      </c>
      <c r="J69" s="2">
        <v>40</v>
      </c>
      <c r="K69" s="6"/>
      <c r="L69" s="2"/>
      <c r="M69" s="2" t="str">
        <f t="shared" si="9"/>
        <v>70065,70065,70065,70065</v>
      </c>
      <c r="N69" s="6">
        <f>N68-0.2</f>
        <v>0.20000000000000007</v>
      </c>
      <c r="O69" s="6">
        <f t="shared" si="8"/>
        <v>7066</v>
      </c>
      <c r="P69" s="52">
        <v>702</v>
      </c>
      <c r="Q69" s="52">
        <v>702</v>
      </c>
      <c r="R69" s="52"/>
    </row>
    <row r="70" spans="1:18" ht="14.25" customHeight="1">
      <c r="A70" s="2">
        <v>70067</v>
      </c>
      <c r="B70" s="6" t="s">
        <v>3664</v>
      </c>
      <c r="C70" s="8" t="s">
        <v>1376</v>
      </c>
      <c r="D70" s="6" t="s">
        <v>77</v>
      </c>
      <c r="E70" s="2"/>
      <c r="F70" s="2"/>
      <c r="G70" s="2"/>
      <c r="H70" s="2"/>
      <c r="I70" s="2">
        <v>50</v>
      </c>
      <c r="J70" s="2">
        <v>50</v>
      </c>
      <c r="K70" s="6"/>
      <c r="L70" s="2"/>
      <c r="M70" s="2" t="str">
        <f t="shared" si="9"/>
        <v>70066,70066,70066,70066</v>
      </c>
      <c r="N70" s="6">
        <v>0.2</v>
      </c>
      <c r="O70" s="6">
        <f t="shared" si="8"/>
        <v>7067</v>
      </c>
      <c r="P70" s="52">
        <v>702</v>
      </c>
      <c r="Q70" s="52">
        <v>702</v>
      </c>
      <c r="R70" s="52"/>
    </row>
    <row r="71" spans="1:18" ht="14.25" customHeight="1">
      <c r="A71" s="2">
        <v>70068</v>
      </c>
      <c r="B71" s="6" t="s">
        <v>3664</v>
      </c>
      <c r="C71" s="8" t="s">
        <v>1377</v>
      </c>
      <c r="D71" s="6" t="s">
        <v>75</v>
      </c>
      <c r="E71" s="2"/>
      <c r="F71" s="2"/>
      <c r="G71" s="2"/>
      <c r="H71" s="2"/>
      <c r="I71" s="2">
        <v>75</v>
      </c>
      <c r="J71" s="2">
        <v>75</v>
      </c>
      <c r="K71" s="6"/>
      <c r="L71" s="2"/>
      <c r="M71" s="2" t="str">
        <f t="shared" si="9"/>
        <v>70067,70067,70067,70067</v>
      </c>
      <c r="N71" s="6">
        <v>0.2</v>
      </c>
      <c r="O71" s="6">
        <f t="shared" si="8"/>
        <v>7068</v>
      </c>
      <c r="P71" s="52">
        <v>702</v>
      </c>
      <c r="Q71" s="52">
        <v>702</v>
      </c>
      <c r="R71" s="52"/>
    </row>
    <row r="72" spans="1:18" ht="14.25" customHeight="1">
      <c r="A72" s="2">
        <v>70069</v>
      </c>
      <c r="B72" s="6" t="s">
        <v>3664</v>
      </c>
      <c r="C72" s="8" t="s">
        <v>1378</v>
      </c>
      <c r="D72" s="6" t="s">
        <v>75</v>
      </c>
      <c r="E72" s="2"/>
      <c r="F72" s="2"/>
      <c r="G72" s="2"/>
      <c r="H72" s="2"/>
      <c r="I72" s="2">
        <v>95</v>
      </c>
      <c r="J72" s="2">
        <v>95</v>
      </c>
      <c r="K72" s="6"/>
      <c r="L72" s="2"/>
      <c r="M72" s="2" t="str">
        <f t="shared" si="9"/>
        <v>70068,70068,70068,70068</v>
      </c>
      <c r="N72" s="6">
        <v>0.2</v>
      </c>
      <c r="O72" s="6">
        <f t="shared" si="8"/>
        <v>7069</v>
      </c>
      <c r="P72" s="52">
        <v>702</v>
      </c>
      <c r="Q72" s="52">
        <v>702</v>
      </c>
      <c r="R72" s="52"/>
    </row>
    <row r="73" spans="1:18" ht="14.25" customHeight="1">
      <c r="A73" s="2">
        <v>70070</v>
      </c>
      <c r="B73" s="6" t="s">
        <v>3664</v>
      </c>
      <c r="C73" s="8" t="s">
        <v>1379</v>
      </c>
      <c r="D73" s="6" t="s">
        <v>75</v>
      </c>
      <c r="E73" s="2"/>
      <c r="F73" s="2"/>
      <c r="G73" s="2"/>
      <c r="H73" s="2"/>
      <c r="I73" s="2">
        <v>120</v>
      </c>
      <c r="J73" s="2">
        <v>120</v>
      </c>
      <c r="K73" s="6"/>
      <c r="L73" s="2"/>
      <c r="M73" s="2" t="str">
        <f t="shared" si="9"/>
        <v>70069,70069,70069,70069</v>
      </c>
      <c r="N73" s="6">
        <v>0.2</v>
      </c>
      <c r="O73" s="6">
        <f t="shared" si="8"/>
        <v>7070</v>
      </c>
      <c r="P73" s="52">
        <v>702</v>
      </c>
      <c r="Q73" s="52">
        <v>702</v>
      </c>
      <c r="R73" s="52"/>
    </row>
    <row r="74" spans="1:18" ht="14.25" customHeight="1">
      <c r="A74" s="2">
        <v>70071</v>
      </c>
      <c r="B74" s="6" t="s">
        <v>3664</v>
      </c>
      <c r="C74" s="8" t="s">
        <v>1380</v>
      </c>
      <c r="D74" s="6" t="s">
        <v>79</v>
      </c>
      <c r="E74" s="2"/>
      <c r="F74" s="2">
        <v>35</v>
      </c>
      <c r="G74" s="2"/>
      <c r="H74" s="2"/>
      <c r="I74" s="6"/>
      <c r="J74" s="6"/>
      <c r="K74" s="2">
        <v>15</v>
      </c>
      <c r="L74" s="2"/>
      <c r="M74" s="2"/>
      <c r="N74" s="6"/>
      <c r="O74" s="6">
        <f t="shared" si="8"/>
        <v>7071</v>
      </c>
      <c r="P74" s="52">
        <v>702</v>
      </c>
      <c r="Q74" s="52">
        <v>702</v>
      </c>
      <c r="R74" s="52"/>
    </row>
    <row r="75" spans="1:18" ht="14.25" customHeight="1">
      <c r="A75" s="2">
        <v>70072</v>
      </c>
      <c r="B75" s="6" t="s">
        <v>3664</v>
      </c>
      <c r="C75" s="8" t="s">
        <v>1381</v>
      </c>
      <c r="D75" s="6" t="s">
        <v>79</v>
      </c>
      <c r="E75" s="2"/>
      <c r="F75" s="2">
        <v>65</v>
      </c>
      <c r="G75" s="2"/>
      <c r="H75" s="2"/>
      <c r="I75" s="6"/>
      <c r="J75" s="6"/>
      <c r="K75" s="2">
        <v>30</v>
      </c>
      <c r="L75" s="2"/>
      <c r="M75" s="2" t="str">
        <f t="shared" ref="M75:M83" si="10">A74&amp;","&amp;A74&amp;","&amp;A74&amp;","&amp;A74</f>
        <v>70071,70071,70071,70071</v>
      </c>
      <c r="N75" s="6">
        <v>0.9</v>
      </c>
      <c r="O75" s="6">
        <f t="shared" si="8"/>
        <v>7072</v>
      </c>
      <c r="P75" s="52">
        <v>702</v>
      </c>
      <c r="Q75" s="52">
        <v>702</v>
      </c>
      <c r="R75" s="52"/>
    </row>
    <row r="76" spans="1:18" ht="14.25" customHeight="1">
      <c r="A76" s="2">
        <v>70073</v>
      </c>
      <c r="B76" s="6" t="s">
        <v>3664</v>
      </c>
      <c r="C76" s="8" t="s">
        <v>1382</v>
      </c>
      <c r="D76" s="6" t="s">
        <v>79</v>
      </c>
      <c r="E76" s="2"/>
      <c r="F76" s="2">
        <v>100</v>
      </c>
      <c r="G76" s="2"/>
      <c r="H76" s="2"/>
      <c r="I76" s="6"/>
      <c r="J76" s="6"/>
      <c r="K76" s="2">
        <v>46</v>
      </c>
      <c r="L76" s="2"/>
      <c r="M76" s="2" t="str">
        <f t="shared" si="10"/>
        <v>70072,70072,70072,70072</v>
      </c>
      <c r="N76" s="6">
        <v>0.8</v>
      </c>
      <c r="O76" s="6">
        <f t="shared" si="8"/>
        <v>7073</v>
      </c>
      <c r="P76" s="52">
        <v>702</v>
      </c>
      <c r="Q76" s="52">
        <v>702</v>
      </c>
      <c r="R76" s="52"/>
    </row>
    <row r="77" spans="1:18" ht="14.25" customHeight="1">
      <c r="A77" s="2">
        <v>70074</v>
      </c>
      <c r="B77" s="6" t="s">
        <v>3664</v>
      </c>
      <c r="C77" s="8" t="s">
        <v>1383</v>
      </c>
      <c r="D77" s="6" t="s">
        <v>77</v>
      </c>
      <c r="E77" s="2"/>
      <c r="F77" s="2">
        <v>135</v>
      </c>
      <c r="G77" s="2"/>
      <c r="H77" s="2"/>
      <c r="I77" s="6"/>
      <c r="J77" s="6"/>
      <c r="K77" s="2">
        <v>60</v>
      </c>
      <c r="L77" s="2"/>
      <c r="M77" s="2" t="str">
        <f t="shared" si="10"/>
        <v>70073,70073,70073,70073</v>
      </c>
      <c r="N77" s="6">
        <f>N76-0.2</f>
        <v>0.60000000000000009</v>
      </c>
      <c r="O77" s="6">
        <f t="shared" si="8"/>
        <v>7074</v>
      </c>
      <c r="P77" s="52">
        <v>702</v>
      </c>
      <c r="Q77" s="52">
        <v>702</v>
      </c>
      <c r="R77" s="52"/>
    </row>
    <row r="78" spans="1:18" ht="14.25" customHeight="1">
      <c r="A78" s="2">
        <v>70075</v>
      </c>
      <c r="B78" s="6" t="s">
        <v>3664</v>
      </c>
      <c r="C78" s="8" t="s">
        <v>1384</v>
      </c>
      <c r="D78" s="6" t="s">
        <v>77</v>
      </c>
      <c r="E78" s="2"/>
      <c r="F78" s="2">
        <v>180</v>
      </c>
      <c r="G78" s="2"/>
      <c r="H78" s="2"/>
      <c r="I78" s="6"/>
      <c r="J78" s="6"/>
      <c r="K78" s="2">
        <v>80</v>
      </c>
      <c r="L78" s="2"/>
      <c r="M78" s="2" t="str">
        <f t="shared" si="10"/>
        <v>70074,70074,70074,70074</v>
      </c>
      <c r="N78" s="6">
        <f>N77-0.2</f>
        <v>0.40000000000000008</v>
      </c>
      <c r="O78" s="6">
        <f t="shared" si="8"/>
        <v>7075</v>
      </c>
      <c r="P78" s="52">
        <v>702</v>
      </c>
      <c r="Q78" s="52">
        <v>702</v>
      </c>
      <c r="R78" s="52"/>
    </row>
    <row r="79" spans="1:18" ht="14.25" customHeight="1">
      <c r="A79" s="2">
        <v>70076</v>
      </c>
      <c r="B79" s="6" t="s">
        <v>3664</v>
      </c>
      <c r="C79" s="8" t="s">
        <v>1385</v>
      </c>
      <c r="D79" s="6" t="s">
        <v>77</v>
      </c>
      <c r="E79" s="2"/>
      <c r="F79" s="2">
        <v>220</v>
      </c>
      <c r="G79" s="2"/>
      <c r="H79" s="2"/>
      <c r="I79" s="6"/>
      <c r="J79" s="6"/>
      <c r="K79" s="2">
        <v>105</v>
      </c>
      <c r="L79" s="2"/>
      <c r="M79" s="2" t="str">
        <f t="shared" si="10"/>
        <v>70075,70075,70075,70075</v>
      </c>
      <c r="N79" s="6">
        <f>N78-0.2</f>
        <v>0.20000000000000007</v>
      </c>
      <c r="O79" s="6">
        <f t="shared" si="8"/>
        <v>7076</v>
      </c>
      <c r="P79" s="52">
        <v>702</v>
      </c>
      <c r="Q79" s="52">
        <v>702</v>
      </c>
      <c r="R79" s="52"/>
    </row>
    <row r="80" spans="1:18" ht="14.25" customHeight="1">
      <c r="A80" s="2">
        <v>70077</v>
      </c>
      <c r="B80" s="6" t="s">
        <v>3664</v>
      </c>
      <c r="C80" s="8" t="s">
        <v>1386</v>
      </c>
      <c r="D80" s="6" t="s">
        <v>77</v>
      </c>
      <c r="E80" s="2"/>
      <c r="F80" s="2">
        <f>F60/2</f>
        <v>275</v>
      </c>
      <c r="G80" s="2"/>
      <c r="H80" s="2"/>
      <c r="I80" s="6"/>
      <c r="J80" s="6"/>
      <c r="K80" s="2">
        <v>125</v>
      </c>
      <c r="L80" s="2"/>
      <c r="M80" s="2" t="str">
        <f t="shared" si="10"/>
        <v>70076,70076,70076,70076</v>
      </c>
      <c r="N80" s="6">
        <v>0.2</v>
      </c>
      <c r="O80" s="6">
        <f t="shared" si="8"/>
        <v>7077</v>
      </c>
      <c r="P80" s="52">
        <v>702</v>
      </c>
      <c r="Q80" s="52">
        <v>702</v>
      </c>
      <c r="R80" s="52"/>
    </row>
    <row r="81" spans="1:18" ht="14.25" customHeight="1">
      <c r="A81" s="2">
        <v>70078</v>
      </c>
      <c r="B81" s="6" t="s">
        <v>3664</v>
      </c>
      <c r="C81" s="8" t="s">
        <v>1387</v>
      </c>
      <c r="D81" s="6" t="s">
        <v>75</v>
      </c>
      <c r="E81" s="2"/>
      <c r="F81" s="2">
        <f>F61/2</f>
        <v>330</v>
      </c>
      <c r="G81" s="2"/>
      <c r="H81" s="2"/>
      <c r="I81" s="6"/>
      <c r="J81" s="6"/>
      <c r="K81" s="2">
        <v>150</v>
      </c>
      <c r="L81" s="2"/>
      <c r="M81" s="2" t="str">
        <f t="shared" si="10"/>
        <v>70077,70077,70077,70077</v>
      </c>
      <c r="N81" s="6">
        <v>0.2</v>
      </c>
      <c r="O81" s="6">
        <f t="shared" si="8"/>
        <v>7078</v>
      </c>
      <c r="P81" s="52">
        <v>702</v>
      </c>
      <c r="Q81" s="52">
        <v>702</v>
      </c>
      <c r="R81" s="52"/>
    </row>
    <row r="82" spans="1:18" ht="14.25" customHeight="1">
      <c r="A82" s="2">
        <v>70079</v>
      </c>
      <c r="B82" s="6" t="s">
        <v>3664</v>
      </c>
      <c r="C82" s="8" t="s">
        <v>1388</v>
      </c>
      <c r="D82" s="6" t="s">
        <v>75</v>
      </c>
      <c r="E82" s="2"/>
      <c r="F82" s="2">
        <f>F62/2</f>
        <v>385</v>
      </c>
      <c r="G82" s="2"/>
      <c r="H82" s="2"/>
      <c r="I82" s="6"/>
      <c r="J82" s="6"/>
      <c r="K82" s="2">
        <v>175</v>
      </c>
      <c r="L82" s="2"/>
      <c r="M82" s="2" t="str">
        <f t="shared" si="10"/>
        <v>70078,70078,70078,70078</v>
      </c>
      <c r="N82" s="6">
        <v>0.2</v>
      </c>
      <c r="O82" s="6">
        <f t="shared" si="8"/>
        <v>7079</v>
      </c>
      <c r="P82" s="52">
        <v>702</v>
      </c>
      <c r="Q82" s="52">
        <v>702</v>
      </c>
      <c r="R82" s="52"/>
    </row>
    <row r="83" spans="1:18" ht="14.25" customHeight="1">
      <c r="A83" s="2">
        <v>70080</v>
      </c>
      <c r="B83" s="6" t="s">
        <v>3664</v>
      </c>
      <c r="C83" s="8" t="s">
        <v>1389</v>
      </c>
      <c r="D83" s="6" t="s">
        <v>75</v>
      </c>
      <c r="E83" s="2"/>
      <c r="F83" s="2">
        <f>F63/2</f>
        <v>440</v>
      </c>
      <c r="G83" s="2"/>
      <c r="H83" s="2"/>
      <c r="I83" s="6"/>
      <c r="J83" s="6"/>
      <c r="K83" s="2">
        <v>200</v>
      </c>
      <c r="L83" s="2"/>
      <c r="M83" s="2" t="str">
        <f t="shared" si="10"/>
        <v>70079,70079,70079,70079</v>
      </c>
      <c r="N83" s="6">
        <v>0.2</v>
      </c>
      <c r="O83" s="6">
        <f t="shared" si="8"/>
        <v>7080</v>
      </c>
      <c r="P83" s="52">
        <v>702</v>
      </c>
      <c r="Q83" s="52">
        <v>702</v>
      </c>
      <c r="R83" s="52"/>
    </row>
    <row r="84" spans="1:18" ht="14.25" customHeight="1">
      <c r="A84" s="2">
        <v>80001</v>
      </c>
      <c r="B84" s="6" t="s">
        <v>1457</v>
      </c>
      <c r="C84" s="8" t="s">
        <v>3665</v>
      </c>
      <c r="D84" s="6" t="s">
        <v>79</v>
      </c>
      <c r="F84" s="2"/>
      <c r="G84" s="2"/>
      <c r="H84" s="2">
        <v>29</v>
      </c>
      <c r="I84" s="2"/>
      <c r="J84" s="2"/>
      <c r="K84" s="2"/>
      <c r="L84" s="2"/>
      <c r="M84" s="2"/>
      <c r="N84" s="2"/>
      <c r="O84" s="2" t="str">
        <f t="shared" ref="O84:O107" si="11">"6001,6004"</f>
        <v>6001,6004</v>
      </c>
      <c r="P84" s="52">
        <v>800</v>
      </c>
      <c r="Q84" s="52">
        <v>800</v>
      </c>
      <c r="R84" s="2" t="str">
        <f>"201,202,203,204"</f>
        <v>201,202,203,204</v>
      </c>
    </row>
    <row r="85" spans="1:18" ht="14.25" customHeight="1">
      <c r="A85" s="2">
        <v>81001</v>
      </c>
      <c r="B85" s="6" t="s">
        <v>3666</v>
      </c>
      <c r="C85" s="8" t="s">
        <v>632</v>
      </c>
      <c r="D85" s="6" t="s">
        <v>79</v>
      </c>
      <c r="E85" s="2"/>
      <c r="F85" s="2">
        <v>80</v>
      </c>
      <c r="G85" s="2"/>
      <c r="H85" s="2"/>
      <c r="I85" s="2"/>
      <c r="J85" s="2">
        <v>15</v>
      </c>
      <c r="K85" s="2"/>
      <c r="L85" s="2"/>
      <c r="M85" s="2"/>
      <c r="N85" s="2"/>
      <c r="O85" s="2" t="str">
        <f t="shared" si="11"/>
        <v>6001,6004</v>
      </c>
      <c r="P85" s="52">
        <v>800</v>
      </c>
      <c r="Q85" s="52">
        <v>800</v>
      </c>
      <c r="R85" s="2" t="str">
        <f>"205,206,207,208"</f>
        <v>205,206,207,208</v>
      </c>
    </row>
    <row r="86" spans="1:18" ht="14.25" customHeight="1">
      <c r="A86" s="2">
        <v>82001</v>
      </c>
      <c r="B86" s="6" t="s">
        <v>3667</v>
      </c>
      <c r="C86" s="8" t="s">
        <v>3668</v>
      </c>
      <c r="D86" s="6" t="s">
        <v>79</v>
      </c>
      <c r="E86" s="2"/>
      <c r="F86" s="2"/>
      <c r="G86" s="2"/>
      <c r="H86" s="2">
        <v>12</v>
      </c>
      <c r="I86" s="2"/>
      <c r="J86" s="2">
        <v>27</v>
      </c>
      <c r="K86" s="2"/>
      <c r="L86" s="2"/>
      <c r="M86" s="2"/>
      <c r="N86" s="2"/>
      <c r="O86" s="2" t="str">
        <f t="shared" si="11"/>
        <v>6001,6004</v>
      </c>
      <c r="P86" s="52">
        <v>800</v>
      </c>
      <c r="Q86" s="52">
        <v>800</v>
      </c>
      <c r="R86" s="2" t="str">
        <f>"205,206,207,208"</f>
        <v>205,206,207,208</v>
      </c>
    </row>
    <row r="87" spans="1:18" ht="14.25" customHeight="1">
      <c r="A87" s="2">
        <v>83001</v>
      </c>
      <c r="B87" s="6" t="s">
        <v>3669</v>
      </c>
      <c r="C87" s="8" t="s">
        <v>3670</v>
      </c>
      <c r="D87" s="6" t="s">
        <v>79</v>
      </c>
      <c r="E87" s="2"/>
      <c r="F87" s="2"/>
      <c r="G87" s="2"/>
      <c r="H87" s="2"/>
      <c r="I87" s="2">
        <v>19</v>
      </c>
      <c r="J87" s="2"/>
      <c r="K87" s="2">
        <v>20</v>
      </c>
      <c r="L87" s="2"/>
      <c r="M87" s="2"/>
      <c r="N87" s="2"/>
      <c r="O87" s="2" t="str">
        <f t="shared" si="11"/>
        <v>6001,6004</v>
      </c>
      <c r="P87" s="52">
        <v>800</v>
      </c>
      <c r="Q87" s="52">
        <v>800</v>
      </c>
      <c r="R87" s="2" t="str">
        <f>"201,202,203,204"</f>
        <v>201,202,203,204</v>
      </c>
    </row>
    <row r="88" spans="1:18" ht="14.25" customHeight="1">
      <c r="A88" s="2">
        <v>84001</v>
      </c>
      <c r="B88" s="6" t="s">
        <v>3671</v>
      </c>
      <c r="C88" s="8" t="s">
        <v>3672</v>
      </c>
      <c r="D88" s="6" t="s">
        <v>79</v>
      </c>
      <c r="E88" s="2"/>
      <c r="F88" s="2">
        <v>65</v>
      </c>
      <c r="G88" s="2"/>
      <c r="H88" s="2"/>
      <c r="I88" s="2">
        <v>15</v>
      </c>
      <c r="J88" s="2"/>
      <c r="K88" s="2"/>
      <c r="L88" s="2"/>
      <c r="M88" s="2"/>
      <c r="N88" s="2"/>
      <c r="O88" s="2" t="str">
        <f t="shared" si="11"/>
        <v>6001,6004</v>
      </c>
      <c r="P88" s="52">
        <v>800</v>
      </c>
      <c r="Q88" s="52">
        <v>800</v>
      </c>
      <c r="R88" s="2" t="str">
        <f>"209,210,211,212"</f>
        <v>209,210,211,212</v>
      </c>
    </row>
    <row r="89" spans="1:18" ht="14.25" customHeight="1">
      <c r="A89" s="2">
        <v>85001</v>
      </c>
      <c r="B89" s="6" t="s">
        <v>3673</v>
      </c>
      <c r="C89" s="8" t="s">
        <v>3674</v>
      </c>
      <c r="D89" s="6" t="s">
        <v>79</v>
      </c>
      <c r="E89" s="2"/>
      <c r="G89" s="2"/>
      <c r="H89" s="2"/>
      <c r="I89" s="2">
        <v>27</v>
      </c>
      <c r="J89" s="2"/>
      <c r="K89" s="2">
        <v>17</v>
      </c>
      <c r="L89" s="2"/>
      <c r="M89" s="2"/>
      <c r="N89" s="2"/>
      <c r="O89" s="2" t="str">
        <f t="shared" si="11"/>
        <v>6001,6004</v>
      </c>
      <c r="P89" s="52">
        <v>800</v>
      </c>
      <c r="Q89" s="52">
        <v>800</v>
      </c>
      <c r="R89" s="2" t="str">
        <f>"209,210,211,212"</f>
        <v>209,210,211,212</v>
      </c>
    </row>
    <row r="90" spans="1:18" ht="14.25" customHeight="1">
      <c r="A90" s="2">
        <f t="shared" ref="A90:A121" si="12">A84+1</f>
        <v>80002</v>
      </c>
      <c r="B90" s="6" t="s">
        <v>1457</v>
      </c>
      <c r="C90" s="8" t="s">
        <v>3675</v>
      </c>
      <c r="D90" s="6" t="s">
        <v>77</v>
      </c>
      <c r="E90" s="2"/>
      <c r="F90" s="2">
        <f t="shared" ref="F90:L95" si="13">IF(F84=0,,ROUND(F84*1.7,0))</f>
        <v>0</v>
      </c>
      <c r="G90" s="2">
        <f t="shared" si="13"/>
        <v>0</v>
      </c>
      <c r="H90" s="2">
        <f t="shared" si="13"/>
        <v>49</v>
      </c>
      <c r="I90" s="2">
        <f t="shared" si="13"/>
        <v>0</v>
      </c>
      <c r="J90" s="2">
        <f t="shared" si="13"/>
        <v>0</v>
      </c>
      <c r="K90" s="2">
        <f t="shared" si="13"/>
        <v>0</v>
      </c>
      <c r="L90" s="2">
        <f t="shared" si="13"/>
        <v>0</v>
      </c>
      <c r="M90" s="2"/>
      <c r="N90" s="2"/>
      <c r="O90" s="2" t="str">
        <f t="shared" si="11"/>
        <v>6001,6004</v>
      </c>
      <c r="P90" s="52">
        <v>800</v>
      </c>
      <c r="Q90" s="52">
        <v>800</v>
      </c>
      <c r="R90" s="2" t="str">
        <f>"201,202,203,204"</f>
        <v>201,202,203,204</v>
      </c>
    </row>
    <row r="91" spans="1:18" ht="14.25" customHeight="1">
      <c r="A91" s="2">
        <f t="shared" si="12"/>
        <v>81002</v>
      </c>
      <c r="B91" s="6" t="s">
        <v>3666</v>
      </c>
      <c r="C91" s="8" t="s">
        <v>3676</v>
      </c>
      <c r="D91" s="6" t="s">
        <v>77</v>
      </c>
      <c r="E91" s="2"/>
      <c r="F91" s="2">
        <f t="shared" si="13"/>
        <v>136</v>
      </c>
      <c r="G91" s="2">
        <f t="shared" si="13"/>
        <v>0</v>
      </c>
      <c r="H91" s="2">
        <f t="shared" si="13"/>
        <v>0</v>
      </c>
      <c r="I91" s="2">
        <f t="shared" si="13"/>
        <v>0</v>
      </c>
      <c r="J91" s="2">
        <f t="shared" si="13"/>
        <v>26</v>
      </c>
      <c r="K91" s="2">
        <f t="shared" si="13"/>
        <v>0</v>
      </c>
      <c r="L91" s="2">
        <f t="shared" si="13"/>
        <v>0</v>
      </c>
      <c r="M91" s="2"/>
      <c r="N91" s="2"/>
      <c r="O91" s="2" t="str">
        <f t="shared" si="11"/>
        <v>6001,6004</v>
      </c>
      <c r="P91" s="52">
        <v>800</v>
      </c>
      <c r="Q91" s="52">
        <v>800</v>
      </c>
      <c r="R91" s="2" t="str">
        <f>"205,206,207,208"</f>
        <v>205,206,207,208</v>
      </c>
    </row>
    <row r="92" spans="1:18" ht="14.25" customHeight="1">
      <c r="A92" s="2">
        <f t="shared" si="12"/>
        <v>82002</v>
      </c>
      <c r="B92" s="6" t="s">
        <v>3667</v>
      </c>
      <c r="C92" s="8" t="s">
        <v>3677</v>
      </c>
      <c r="D92" s="6" t="s">
        <v>77</v>
      </c>
      <c r="E92" s="2"/>
      <c r="F92" s="2">
        <f t="shared" si="13"/>
        <v>0</v>
      </c>
      <c r="G92" s="2">
        <f t="shared" si="13"/>
        <v>0</v>
      </c>
      <c r="H92" s="2">
        <f t="shared" si="13"/>
        <v>20</v>
      </c>
      <c r="I92" s="2">
        <f t="shared" si="13"/>
        <v>0</v>
      </c>
      <c r="J92" s="2">
        <f t="shared" si="13"/>
        <v>46</v>
      </c>
      <c r="K92" s="2">
        <f t="shared" si="13"/>
        <v>0</v>
      </c>
      <c r="L92" s="2">
        <f t="shared" si="13"/>
        <v>0</v>
      </c>
      <c r="M92" s="2"/>
      <c r="N92" s="2"/>
      <c r="O92" s="2" t="str">
        <f t="shared" si="11"/>
        <v>6001,6004</v>
      </c>
      <c r="P92" s="52">
        <v>800</v>
      </c>
      <c r="Q92" s="52">
        <v>800</v>
      </c>
      <c r="R92" s="2" t="str">
        <f>"205,206,207,208"</f>
        <v>205,206,207,208</v>
      </c>
    </row>
    <row r="93" spans="1:18" ht="14.25" customHeight="1">
      <c r="A93" s="2">
        <f t="shared" si="12"/>
        <v>83002</v>
      </c>
      <c r="B93" s="6" t="s">
        <v>3669</v>
      </c>
      <c r="C93" s="8" t="s">
        <v>3678</v>
      </c>
      <c r="D93" s="6" t="s">
        <v>77</v>
      </c>
      <c r="E93" s="2"/>
      <c r="F93" s="2">
        <f t="shared" si="13"/>
        <v>0</v>
      </c>
      <c r="G93" s="2">
        <f t="shared" si="13"/>
        <v>0</v>
      </c>
      <c r="H93" s="2">
        <f t="shared" si="13"/>
        <v>0</v>
      </c>
      <c r="I93" s="2">
        <f t="shared" si="13"/>
        <v>32</v>
      </c>
      <c r="J93" s="2">
        <f t="shared" si="13"/>
        <v>0</v>
      </c>
      <c r="K93" s="2">
        <f t="shared" si="13"/>
        <v>34</v>
      </c>
      <c r="L93" s="2">
        <f t="shared" si="13"/>
        <v>0</v>
      </c>
      <c r="M93" s="2"/>
      <c r="N93" s="2"/>
      <c r="O93" s="2" t="str">
        <f t="shared" si="11"/>
        <v>6001,6004</v>
      </c>
      <c r="P93" s="52">
        <v>800</v>
      </c>
      <c r="Q93" s="52">
        <v>800</v>
      </c>
      <c r="R93" s="2" t="str">
        <f>"201,202,203,204"</f>
        <v>201,202,203,204</v>
      </c>
    </row>
    <row r="94" spans="1:18" ht="14.25" customHeight="1">
      <c r="A94" s="2">
        <f t="shared" si="12"/>
        <v>84002</v>
      </c>
      <c r="B94" s="6" t="s">
        <v>3671</v>
      </c>
      <c r="C94" s="8" t="s">
        <v>3679</v>
      </c>
      <c r="D94" s="6" t="s">
        <v>77</v>
      </c>
      <c r="E94" s="2"/>
      <c r="F94" s="2">
        <f t="shared" si="13"/>
        <v>111</v>
      </c>
      <c r="G94" s="2">
        <f t="shared" si="13"/>
        <v>0</v>
      </c>
      <c r="H94" s="2">
        <f t="shared" si="13"/>
        <v>0</v>
      </c>
      <c r="I94" s="2">
        <f t="shared" si="13"/>
        <v>26</v>
      </c>
      <c r="J94" s="2">
        <f t="shared" si="13"/>
        <v>0</v>
      </c>
      <c r="K94" s="2">
        <f t="shared" si="13"/>
        <v>0</v>
      </c>
      <c r="L94" s="2">
        <f t="shared" si="13"/>
        <v>0</v>
      </c>
      <c r="M94" s="2"/>
      <c r="N94" s="2"/>
      <c r="O94" s="2" t="str">
        <f t="shared" si="11"/>
        <v>6001,6004</v>
      </c>
      <c r="P94" s="52">
        <v>800</v>
      </c>
      <c r="Q94" s="52">
        <v>800</v>
      </c>
      <c r="R94" s="2" t="str">
        <f>"209,210,211,212"</f>
        <v>209,210,211,212</v>
      </c>
    </row>
    <row r="95" spans="1:18" ht="14.25" customHeight="1">
      <c r="A95" s="2">
        <f t="shared" si="12"/>
        <v>85002</v>
      </c>
      <c r="B95" s="6" t="s">
        <v>3673</v>
      </c>
      <c r="C95" s="8" t="s">
        <v>3680</v>
      </c>
      <c r="D95" s="6" t="s">
        <v>77</v>
      </c>
      <c r="E95" s="2"/>
      <c r="F95" s="2">
        <f t="shared" si="13"/>
        <v>0</v>
      </c>
      <c r="G95" s="2">
        <f t="shared" si="13"/>
        <v>0</v>
      </c>
      <c r="H95" s="2">
        <f t="shared" si="13"/>
        <v>0</v>
      </c>
      <c r="I95" s="2">
        <f t="shared" si="13"/>
        <v>46</v>
      </c>
      <c r="J95" s="2">
        <f t="shared" si="13"/>
        <v>0</v>
      </c>
      <c r="K95" s="2">
        <f t="shared" si="13"/>
        <v>29</v>
      </c>
      <c r="L95" s="2">
        <f t="shared" si="13"/>
        <v>0</v>
      </c>
      <c r="M95" s="2"/>
      <c r="N95" s="2"/>
      <c r="O95" s="2" t="str">
        <f t="shared" si="11"/>
        <v>6001,6004</v>
      </c>
      <c r="P95" s="52">
        <v>800</v>
      </c>
      <c r="Q95" s="52">
        <v>800</v>
      </c>
      <c r="R95" s="2" t="str">
        <f>"209,210,211,212"</f>
        <v>209,210,211,212</v>
      </c>
    </row>
    <row r="96" spans="1:18" ht="14.25" customHeight="1">
      <c r="A96" s="2">
        <f t="shared" si="12"/>
        <v>80003</v>
      </c>
      <c r="B96" s="6" t="s">
        <v>1457</v>
      </c>
      <c r="C96" s="8" t="s">
        <v>3681</v>
      </c>
      <c r="D96" s="6" t="s">
        <v>77</v>
      </c>
      <c r="E96" s="2"/>
      <c r="F96" s="2">
        <f t="shared" ref="F96:L101" si="14">IF(F90=0,,ROUND(F90*1.2,0))</f>
        <v>0</v>
      </c>
      <c r="G96" s="2">
        <f t="shared" si="14"/>
        <v>0</v>
      </c>
      <c r="H96" s="2">
        <f t="shared" si="14"/>
        <v>59</v>
      </c>
      <c r="I96" s="2">
        <f t="shared" si="14"/>
        <v>0</v>
      </c>
      <c r="J96" s="2">
        <f t="shared" si="14"/>
        <v>0</v>
      </c>
      <c r="K96" s="2">
        <f t="shared" si="14"/>
        <v>0</v>
      </c>
      <c r="L96" s="2">
        <f t="shared" si="14"/>
        <v>0</v>
      </c>
      <c r="M96" s="2"/>
      <c r="N96" s="2"/>
      <c r="O96" s="2" t="str">
        <f t="shared" si="11"/>
        <v>6001,6004</v>
      </c>
      <c r="P96" s="52">
        <v>800</v>
      </c>
      <c r="Q96" s="52">
        <v>800</v>
      </c>
      <c r="R96" s="2" t="str">
        <f>"201,202,203,204"</f>
        <v>201,202,203,204</v>
      </c>
    </row>
    <row r="97" spans="1:18" ht="14.25" customHeight="1">
      <c r="A97" s="2">
        <f t="shared" si="12"/>
        <v>81003</v>
      </c>
      <c r="B97" s="6" t="s">
        <v>3666</v>
      </c>
      <c r="C97" s="8" t="s">
        <v>3682</v>
      </c>
      <c r="D97" s="6" t="s">
        <v>77</v>
      </c>
      <c r="E97" s="2"/>
      <c r="F97" s="2">
        <f t="shared" si="14"/>
        <v>163</v>
      </c>
      <c r="G97" s="2">
        <f t="shared" si="14"/>
        <v>0</v>
      </c>
      <c r="H97" s="2">
        <f t="shared" si="14"/>
        <v>0</v>
      </c>
      <c r="I97" s="2">
        <f t="shared" si="14"/>
        <v>0</v>
      </c>
      <c r="J97" s="2">
        <f t="shared" si="14"/>
        <v>31</v>
      </c>
      <c r="K97" s="2">
        <f t="shared" si="14"/>
        <v>0</v>
      </c>
      <c r="L97" s="2">
        <f t="shared" si="14"/>
        <v>0</v>
      </c>
      <c r="M97" s="2"/>
      <c r="N97" s="2"/>
      <c r="O97" s="2" t="str">
        <f t="shared" si="11"/>
        <v>6001,6004</v>
      </c>
      <c r="P97" s="52">
        <v>800</v>
      </c>
      <c r="Q97" s="52">
        <v>800</v>
      </c>
      <c r="R97" s="2" t="str">
        <f>"205,206,207,208"</f>
        <v>205,206,207,208</v>
      </c>
    </row>
    <row r="98" spans="1:18" ht="14.25" customHeight="1">
      <c r="A98" s="2">
        <f t="shared" si="12"/>
        <v>82003</v>
      </c>
      <c r="B98" s="6" t="s">
        <v>3667</v>
      </c>
      <c r="C98" s="8" t="s">
        <v>3683</v>
      </c>
      <c r="D98" s="6" t="s">
        <v>77</v>
      </c>
      <c r="E98" s="2"/>
      <c r="F98" s="2">
        <f t="shared" si="14"/>
        <v>0</v>
      </c>
      <c r="G98" s="2">
        <f t="shared" si="14"/>
        <v>0</v>
      </c>
      <c r="H98" s="2">
        <f t="shared" si="14"/>
        <v>24</v>
      </c>
      <c r="I98" s="2">
        <f t="shared" si="14"/>
        <v>0</v>
      </c>
      <c r="J98" s="2">
        <f t="shared" si="14"/>
        <v>55</v>
      </c>
      <c r="K98" s="2">
        <f t="shared" si="14"/>
        <v>0</v>
      </c>
      <c r="L98" s="2">
        <f t="shared" si="14"/>
        <v>0</v>
      </c>
      <c r="M98" s="2"/>
      <c r="N98" s="2"/>
      <c r="O98" s="2" t="str">
        <f t="shared" si="11"/>
        <v>6001,6004</v>
      </c>
      <c r="P98" s="52">
        <v>800</v>
      </c>
      <c r="Q98" s="52">
        <v>800</v>
      </c>
      <c r="R98" s="2" t="str">
        <f>"205,206,207,208"</f>
        <v>205,206,207,208</v>
      </c>
    </row>
    <row r="99" spans="1:18" ht="14.25" customHeight="1">
      <c r="A99" s="2">
        <f t="shared" si="12"/>
        <v>83003</v>
      </c>
      <c r="B99" s="6" t="s">
        <v>3669</v>
      </c>
      <c r="C99" s="8" t="s">
        <v>3684</v>
      </c>
      <c r="D99" s="6" t="s">
        <v>77</v>
      </c>
      <c r="E99" s="2"/>
      <c r="F99" s="2">
        <f t="shared" si="14"/>
        <v>0</v>
      </c>
      <c r="G99" s="2">
        <f t="shared" si="14"/>
        <v>0</v>
      </c>
      <c r="H99" s="2">
        <f t="shared" si="14"/>
        <v>0</v>
      </c>
      <c r="I99" s="2">
        <f t="shared" si="14"/>
        <v>38</v>
      </c>
      <c r="J99" s="2">
        <f t="shared" si="14"/>
        <v>0</v>
      </c>
      <c r="K99" s="2">
        <f t="shared" si="14"/>
        <v>41</v>
      </c>
      <c r="L99" s="2">
        <f t="shared" si="14"/>
        <v>0</v>
      </c>
      <c r="M99" s="2"/>
      <c r="N99" s="2"/>
      <c r="O99" s="2" t="str">
        <f t="shared" si="11"/>
        <v>6001,6004</v>
      </c>
      <c r="P99" s="52">
        <v>800</v>
      </c>
      <c r="Q99" s="52">
        <v>800</v>
      </c>
      <c r="R99" s="2" t="str">
        <f>"201,202,203,204"</f>
        <v>201,202,203,204</v>
      </c>
    </row>
    <row r="100" spans="1:18" ht="14.25" customHeight="1">
      <c r="A100" s="2">
        <f t="shared" si="12"/>
        <v>84003</v>
      </c>
      <c r="B100" s="6" t="s">
        <v>3671</v>
      </c>
      <c r="C100" s="8" t="s">
        <v>3685</v>
      </c>
      <c r="D100" s="6" t="s">
        <v>77</v>
      </c>
      <c r="E100" s="2"/>
      <c r="F100" s="2">
        <f t="shared" si="14"/>
        <v>133</v>
      </c>
      <c r="G100" s="2">
        <f t="shared" si="14"/>
        <v>0</v>
      </c>
      <c r="H100" s="2">
        <f t="shared" si="14"/>
        <v>0</v>
      </c>
      <c r="I100" s="2">
        <f t="shared" si="14"/>
        <v>31</v>
      </c>
      <c r="J100" s="2">
        <f t="shared" si="14"/>
        <v>0</v>
      </c>
      <c r="K100" s="2">
        <f t="shared" si="14"/>
        <v>0</v>
      </c>
      <c r="L100" s="2">
        <f t="shared" si="14"/>
        <v>0</v>
      </c>
      <c r="M100" s="2"/>
      <c r="N100" s="2"/>
      <c r="O100" s="2" t="str">
        <f t="shared" si="11"/>
        <v>6001,6004</v>
      </c>
      <c r="P100" s="52">
        <v>800</v>
      </c>
      <c r="Q100" s="52">
        <v>800</v>
      </c>
      <c r="R100" s="2" t="str">
        <f>"209,210,211,212"</f>
        <v>209,210,211,212</v>
      </c>
    </row>
    <row r="101" spans="1:18" ht="14.25" customHeight="1">
      <c r="A101" s="2">
        <f t="shared" si="12"/>
        <v>85003</v>
      </c>
      <c r="B101" s="6" t="s">
        <v>3673</v>
      </c>
      <c r="C101" s="8" t="s">
        <v>3686</v>
      </c>
      <c r="D101" s="6" t="s">
        <v>77</v>
      </c>
      <c r="E101" s="2"/>
      <c r="F101" s="2">
        <f t="shared" si="14"/>
        <v>0</v>
      </c>
      <c r="G101" s="2">
        <f t="shared" si="14"/>
        <v>0</v>
      </c>
      <c r="H101" s="2">
        <f t="shared" si="14"/>
        <v>0</v>
      </c>
      <c r="I101" s="2">
        <f t="shared" si="14"/>
        <v>55</v>
      </c>
      <c r="J101" s="2">
        <f t="shared" si="14"/>
        <v>0</v>
      </c>
      <c r="K101" s="2">
        <f t="shared" si="14"/>
        <v>35</v>
      </c>
      <c r="L101" s="2">
        <f t="shared" si="14"/>
        <v>0</v>
      </c>
      <c r="M101" s="2"/>
      <c r="N101" s="2"/>
      <c r="O101" s="2" t="str">
        <f t="shared" si="11"/>
        <v>6001,6004</v>
      </c>
      <c r="P101" s="52">
        <v>800</v>
      </c>
      <c r="Q101" s="52">
        <v>800</v>
      </c>
      <c r="R101" s="2" t="str">
        <f>"209,210,211,212"</f>
        <v>209,210,211,212</v>
      </c>
    </row>
    <row r="102" spans="1:18" ht="14.25" customHeight="1">
      <c r="A102" s="2">
        <f t="shared" si="12"/>
        <v>80004</v>
      </c>
      <c r="B102" s="6" t="s">
        <v>1457</v>
      </c>
      <c r="C102" s="114" t="s">
        <v>3687</v>
      </c>
      <c r="D102" s="6" t="s">
        <v>75</v>
      </c>
      <c r="E102" s="2"/>
      <c r="F102" s="2">
        <f t="shared" ref="F102:K107" si="15">IF(F90=0,,ROUND(F90*1.7,0))</f>
        <v>0</v>
      </c>
      <c r="G102" s="2">
        <f t="shared" si="15"/>
        <v>0</v>
      </c>
      <c r="H102" s="2">
        <f t="shared" si="15"/>
        <v>83</v>
      </c>
      <c r="I102" s="2">
        <f t="shared" si="15"/>
        <v>0</v>
      </c>
      <c r="J102" s="2">
        <f t="shared" si="15"/>
        <v>0</v>
      </c>
      <c r="K102" s="2">
        <f t="shared" si="15"/>
        <v>0</v>
      </c>
      <c r="L102" s="2"/>
      <c r="M102" s="2"/>
      <c r="N102" s="2"/>
      <c r="O102" s="2" t="str">
        <f t="shared" si="11"/>
        <v>6001,6004</v>
      </c>
      <c r="P102" s="52">
        <v>800</v>
      </c>
      <c r="Q102" s="52">
        <v>800</v>
      </c>
      <c r="R102" s="2" t="str">
        <f>"201,202,203,204"</f>
        <v>201,202,203,204</v>
      </c>
    </row>
    <row r="103" spans="1:18" ht="14.25" customHeight="1">
      <c r="A103" s="2">
        <f t="shared" si="12"/>
        <v>81004</v>
      </c>
      <c r="B103" s="6" t="s">
        <v>3666</v>
      </c>
      <c r="C103" s="8" t="s">
        <v>3688</v>
      </c>
      <c r="D103" s="6" t="s">
        <v>75</v>
      </c>
      <c r="E103" s="2"/>
      <c r="F103" s="2">
        <f t="shared" si="15"/>
        <v>231</v>
      </c>
      <c r="G103" s="2">
        <f t="shared" si="15"/>
        <v>0</v>
      </c>
      <c r="H103" s="2">
        <f t="shared" si="15"/>
        <v>0</v>
      </c>
      <c r="I103" s="2">
        <f t="shared" si="15"/>
        <v>0</v>
      </c>
      <c r="J103" s="2">
        <f t="shared" si="15"/>
        <v>44</v>
      </c>
      <c r="K103" s="2">
        <f t="shared" si="15"/>
        <v>0</v>
      </c>
      <c r="L103" s="2"/>
      <c r="M103" s="2"/>
      <c r="N103" s="2"/>
      <c r="O103" s="2" t="str">
        <f t="shared" si="11"/>
        <v>6001,6004</v>
      </c>
      <c r="P103" s="52">
        <v>800</v>
      </c>
      <c r="Q103" s="52">
        <v>800</v>
      </c>
      <c r="R103" s="2" t="str">
        <f>"205,206,207,208"</f>
        <v>205,206,207,208</v>
      </c>
    </row>
    <row r="104" spans="1:18" ht="14.25" customHeight="1">
      <c r="A104" s="2">
        <f t="shared" si="12"/>
        <v>82004</v>
      </c>
      <c r="B104" s="6" t="s">
        <v>3667</v>
      </c>
      <c r="C104" s="8" t="s">
        <v>3689</v>
      </c>
      <c r="D104" s="6" t="s">
        <v>75</v>
      </c>
      <c r="E104" s="2"/>
      <c r="F104" s="2">
        <f t="shared" si="15"/>
        <v>0</v>
      </c>
      <c r="G104" s="2">
        <f t="shared" si="15"/>
        <v>0</v>
      </c>
      <c r="H104" s="2">
        <f t="shared" si="15"/>
        <v>34</v>
      </c>
      <c r="I104" s="2">
        <f t="shared" si="15"/>
        <v>0</v>
      </c>
      <c r="J104" s="2">
        <f t="shared" si="15"/>
        <v>78</v>
      </c>
      <c r="K104" s="2">
        <f t="shared" si="15"/>
        <v>0</v>
      </c>
      <c r="L104" s="2"/>
      <c r="M104" s="2"/>
      <c r="N104" s="2"/>
      <c r="O104" s="2" t="str">
        <f t="shared" si="11"/>
        <v>6001,6004</v>
      </c>
      <c r="P104" s="52">
        <v>800</v>
      </c>
      <c r="Q104" s="52">
        <v>800</v>
      </c>
      <c r="R104" s="2" t="str">
        <f>"205,206,207,208"</f>
        <v>205,206,207,208</v>
      </c>
    </row>
    <row r="105" spans="1:18" ht="14.25" customHeight="1">
      <c r="A105" s="2">
        <f t="shared" si="12"/>
        <v>83004</v>
      </c>
      <c r="B105" s="6" t="s">
        <v>3669</v>
      </c>
      <c r="C105" s="8" t="s">
        <v>3690</v>
      </c>
      <c r="D105" s="6" t="s">
        <v>75</v>
      </c>
      <c r="E105" s="2"/>
      <c r="F105" s="2">
        <f t="shared" si="15"/>
        <v>0</v>
      </c>
      <c r="G105" s="2">
        <f t="shared" si="15"/>
        <v>0</v>
      </c>
      <c r="H105" s="2">
        <f t="shared" si="15"/>
        <v>0</v>
      </c>
      <c r="I105" s="2">
        <f t="shared" si="15"/>
        <v>54</v>
      </c>
      <c r="J105" s="2">
        <f t="shared" si="15"/>
        <v>0</v>
      </c>
      <c r="K105" s="2">
        <f t="shared" si="15"/>
        <v>58</v>
      </c>
      <c r="L105" s="2"/>
      <c r="M105" s="2"/>
      <c r="N105" s="2"/>
      <c r="O105" s="2" t="str">
        <f t="shared" si="11"/>
        <v>6001,6004</v>
      </c>
      <c r="P105" s="52">
        <v>800</v>
      </c>
      <c r="Q105" s="52">
        <v>800</v>
      </c>
      <c r="R105" s="2" t="str">
        <f>"201,202,203,204"</f>
        <v>201,202,203,204</v>
      </c>
    </row>
    <row r="106" spans="1:18" ht="14.25" customHeight="1">
      <c r="A106" s="2">
        <f t="shared" si="12"/>
        <v>84004</v>
      </c>
      <c r="B106" s="6" t="s">
        <v>3671</v>
      </c>
      <c r="C106" s="8" t="s">
        <v>3691</v>
      </c>
      <c r="D106" s="6" t="s">
        <v>75</v>
      </c>
      <c r="E106" s="2"/>
      <c r="F106" s="2">
        <f t="shared" si="15"/>
        <v>189</v>
      </c>
      <c r="G106" s="2">
        <f t="shared" si="15"/>
        <v>0</v>
      </c>
      <c r="H106" s="2">
        <f t="shared" si="15"/>
        <v>0</v>
      </c>
      <c r="I106" s="2">
        <f t="shared" si="15"/>
        <v>44</v>
      </c>
      <c r="J106" s="2">
        <f t="shared" si="15"/>
        <v>0</v>
      </c>
      <c r="K106" s="2">
        <f t="shared" si="15"/>
        <v>0</v>
      </c>
      <c r="L106" s="2"/>
      <c r="M106" s="2"/>
      <c r="N106" s="2"/>
      <c r="O106" s="2" t="str">
        <f t="shared" si="11"/>
        <v>6001,6004</v>
      </c>
      <c r="P106" s="52">
        <v>800</v>
      </c>
      <c r="Q106" s="52">
        <v>800</v>
      </c>
      <c r="R106" s="2" t="str">
        <f>"209,210,211,212"</f>
        <v>209,210,211,212</v>
      </c>
    </row>
    <row r="107" spans="1:18" ht="14.25" customHeight="1">
      <c r="A107" s="2">
        <f t="shared" si="12"/>
        <v>85004</v>
      </c>
      <c r="B107" s="6" t="s">
        <v>3673</v>
      </c>
      <c r="C107" s="8" t="s">
        <v>3692</v>
      </c>
      <c r="D107" s="6" t="s">
        <v>75</v>
      </c>
      <c r="E107" s="2"/>
      <c r="F107" s="2">
        <f t="shared" si="15"/>
        <v>0</v>
      </c>
      <c r="G107" s="2">
        <f t="shared" si="15"/>
        <v>0</v>
      </c>
      <c r="H107" s="2">
        <f t="shared" si="15"/>
        <v>0</v>
      </c>
      <c r="I107" s="2">
        <f t="shared" si="15"/>
        <v>78</v>
      </c>
      <c r="J107" s="2">
        <f t="shared" si="15"/>
        <v>0</v>
      </c>
      <c r="K107" s="2">
        <f t="shared" si="15"/>
        <v>49</v>
      </c>
      <c r="L107" s="2"/>
      <c r="M107" s="2"/>
      <c r="N107" s="2"/>
      <c r="O107" s="2" t="str">
        <f t="shared" si="11"/>
        <v>6001,6004</v>
      </c>
      <c r="P107" s="52">
        <v>800</v>
      </c>
      <c r="Q107" s="52">
        <v>800</v>
      </c>
      <c r="R107" s="2" t="str">
        <f>"209,210,211,212"</f>
        <v>209,210,211,212</v>
      </c>
    </row>
    <row r="108" spans="1:18" ht="14.25" customHeight="1">
      <c r="A108" s="2">
        <f t="shared" si="12"/>
        <v>80005</v>
      </c>
      <c r="B108" s="6" t="s">
        <v>1457</v>
      </c>
      <c r="C108" s="8" t="s">
        <v>3693</v>
      </c>
      <c r="D108" s="6" t="s">
        <v>79</v>
      </c>
      <c r="E108" s="2"/>
      <c r="F108" s="2"/>
      <c r="G108" s="2">
        <v>27</v>
      </c>
      <c r="H108" s="2">
        <v>22</v>
      </c>
      <c r="I108" s="2"/>
      <c r="J108" s="2"/>
      <c r="K108" s="2"/>
      <c r="L108" s="2"/>
      <c r="M108" s="2"/>
      <c r="N108" s="2"/>
      <c r="O108" s="2" t="str">
        <f t="shared" ref="O108:O131" si="16">"6002,6005"</f>
        <v>6002,6005</v>
      </c>
      <c r="P108" s="52">
        <v>800</v>
      </c>
      <c r="Q108" s="52">
        <v>800</v>
      </c>
      <c r="R108" s="2" t="str">
        <f>"201,202,203,204"</f>
        <v>201,202,203,204</v>
      </c>
    </row>
    <row r="109" spans="1:18" ht="14.25" customHeight="1">
      <c r="A109" s="2">
        <f t="shared" si="12"/>
        <v>81005</v>
      </c>
      <c r="B109" s="6" t="s">
        <v>3666</v>
      </c>
      <c r="C109" s="8" t="s">
        <v>3694</v>
      </c>
      <c r="D109" s="6" t="s">
        <v>79</v>
      </c>
      <c r="E109" s="2"/>
      <c r="F109" s="2">
        <v>75</v>
      </c>
      <c r="G109" s="2"/>
      <c r="H109" s="2"/>
      <c r="I109" s="2">
        <v>9</v>
      </c>
      <c r="J109" s="2"/>
      <c r="K109" s="2"/>
      <c r="L109" s="2"/>
      <c r="M109" s="2"/>
      <c r="N109" s="2"/>
      <c r="O109" s="2" t="str">
        <f t="shared" si="16"/>
        <v>6002,6005</v>
      </c>
      <c r="P109" s="52">
        <v>800</v>
      </c>
      <c r="Q109" s="52">
        <v>800</v>
      </c>
      <c r="R109" s="2" t="str">
        <f>"205,206,207,208"</f>
        <v>205,206,207,208</v>
      </c>
    </row>
    <row r="110" spans="1:18" ht="14.25" customHeight="1">
      <c r="A110" s="2">
        <f t="shared" si="12"/>
        <v>82005</v>
      </c>
      <c r="B110" s="6" t="s">
        <v>3667</v>
      </c>
      <c r="C110" s="8" t="s">
        <v>3695</v>
      </c>
      <c r="D110" s="6" t="s">
        <v>79</v>
      </c>
      <c r="E110" s="2"/>
      <c r="F110" s="2"/>
      <c r="G110" s="2"/>
      <c r="H110" s="2"/>
      <c r="I110" s="2">
        <v>11</v>
      </c>
      <c r="J110" s="2">
        <v>5</v>
      </c>
      <c r="K110" s="2"/>
      <c r="L110" s="2"/>
      <c r="M110" s="2"/>
      <c r="N110" s="2"/>
      <c r="O110" s="2" t="str">
        <f t="shared" si="16"/>
        <v>6002,6005</v>
      </c>
      <c r="P110" s="52">
        <v>800</v>
      </c>
      <c r="Q110" s="52">
        <v>800</v>
      </c>
      <c r="R110" s="2" t="str">
        <f>"205,206,207,208"</f>
        <v>205,206,207,208</v>
      </c>
    </row>
    <row r="111" spans="1:18" ht="14.25" customHeight="1">
      <c r="A111" s="2">
        <f t="shared" si="12"/>
        <v>83005</v>
      </c>
      <c r="B111" s="6" t="s">
        <v>3669</v>
      </c>
      <c r="C111" s="8" t="s">
        <v>3696</v>
      </c>
      <c r="D111" s="6" t="s">
        <v>79</v>
      </c>
      <c r="E111" s="2"/>
      <c r="F111" s="2">
        <v>29</v>
      </c>
      <c r="G111" s="2"/>
      <c r="H111" s="2"/>
      <c r="I111" s="2"/>
      <c r="J111" s="2">
        <v>5</v>
      </c>
      <c r="K111" s="2"/>
      <c r="L111" s="2"/>
      <c r="M111" s="2"/>
      <c r="N111" s="2"/>
      <c r="O111" s="2" t="str">
        <f t="shared" si="16"/>
        <v>6002,6005</v>
      </c>
      <c r="P111" s="52">
        <v>800</v>
      </c>
      <c r="Q111" s="52">
        <v>800</v>
      </c>
      <c r="R111" s="2" t="str">
        <f>"201,202,203,204"</f>
        <v>201,202,203,204</v>
      </c>
    </row>
    <row r="112" spans="1:18" ht="14.25" customHeight="1">
      <c r="A112" s="2">
        <f t="shared" si="12"/>
        <v>84005</v>
      </c>
      <c r="B112" s="6" t="s">
        <v>3671</v>
      </c>
      <c r="C112" s="8" t="s">
        <v>3697</v>
      </c>
      <c r="D112" s="6" t="s">
        <v>79</v>
      </c>
      <c r="E112" s="2"/>
      <c r="F112" s="2"/>
      <c r="G112" s="2">
        <v>10</v>
      </c>
      <c r="H112" s="2"/>
      <c r="I112" s="2">
        <v>8</v>
      </c>
      <c r="J112" s="2"/>
      <c r="K112" s="2"/>
      <c r="L112" s="2"/>
      <c r="M112" s="2"/>
      <c r="N112" s="2"/>
      <c r="O112" s="2" t="str">
        <f t="shared" si="16"/>
        <v>6002,6005</v>
      </c>
      <c r="P112" s="52">
        <v>800</v>
      </c>
      <c r="Q112" s="52">
        <v>800</v>
      </c>
      <c r="R112" s="2" t="str">
        <f>"209,210,211,212"</f>
        <v>209,210,211,212</v>
      </c>
    </row>
    <row r="113" spans="1:18" ht="14.25" customHeight="1">
      <c r="A113" s="2">
        <f t="shared" si="12"/>
        <v>85005</v>
      </c>
      <c r="B113" s="6" t="s">
        <v>3673</v>
      </c>
      <c r="C113" s="8" t="s">
        <v>3698</v>
      </c>
      <c r="D113" s="6" t="s">
        <v>79</v>
      </c>
      <c r="E113" s="2"/>
      <c r="F113" s="2"/>
      <c r="G113" s="2">
        <v>9</v>
      </c>
      <c r="H113" s="2"/>
      <c r="I113" s="2"/>
      <c r="J113" s="2"/>
      <c r="K113" s="2">
        <v>12</v>
      </c>
      <c r="L113" s="2"/>
      <c r="M113" s="2"/>
      <c r="N113" s="2"/>
      <c r="O113" s="2" t="str">
        <f t="shared" si="16"/>
        <v>6002,6005</v>
      </c>
      <c r="P113" s="52">
        <v>800</v>
      </c>
      <c r="Q113" s="52">
        <v>800</v>
      </c>
      <c r="R113" s="2" t="str">
        <f>"209,210,211,212"</f>
        <v>209,210,211,212</v>
      </c>
    </row>
    <row r="114" spans="1:18" ht="14.25" customHeight="1">
      <c r="A114" s="2">
        <f t="shared" si="12"/>
        <v>80006</v>
      </c>
      <c r="B114" s="6" t="s">
        <v>1457</v>
      </c>
      <c r="C114" s="114" t="s">
        <v>3699</v>
      </c>
      <c r="D114" s="6" t="s">
        <v>77</v>
      </c>
      <c r="E114" s="2"/>
      <c r="F114" s="2">
        <f t="shared" ref="F114:K119" si="17">IF(F108=0,,ROUND(F108*1.7,0))</f>
        <v>0</v>
      </c>
      <c r="G114" s="2">
        <f t="shared" si="17"/>
        <v>46</v>
      </c>
      <c r="H114" s="2">
        <f t="shared" si="17"/>
        <v>37</v>
      </c>
      <c r="I114" s="2">
        <f t="shared" si="17"/>
        <v>0</v>
      </c>
      <c r="J114" s="2">
        <f t="shared" si="17"/>
        <v>0</v>
      </c>
      <c r="K114" s="2">
        <f t="shared" si="17"/>
        <v>0</v>
      </c>
      <c r="L114" s="2"/>
      <c r="M114" s="2"/>
      <c r="N114" s="2"/>
      <c r="O114" s="2" t="str">
        <f t="shared" si="16"/>
        <v>6002,6005</v>
      </c>
      <c r="P114" s="52">
        <v>800</v>
      </c>
      <c r="Q114" s="52">
        <v>800</v>
      </c>
      <c r="R114" s="2" t="str">
        <f>"201,202,203,204"</f>
        <v>201,202,203,204</v>
      </c>
    </row>
    <row r="115" spans="1:18" ht="14.25" customHeight="1">
      <c r="A115" s="2">
        <f t="shared" si="12"/>
        <v>81006</v>
      </c>
      <c r="B115" s="6" t="s">
        <v>3666</v>
      </c>
      <c r="C115" s="8" t="s">
        <v>3700</v>
      </c>
      <c r="D115" s="6" t="s">
        <v>77</v>
      </c>
      <c r="E115" s="2"/>
      <c r="F115" s="2">
        <f t="shared" si="17"/>
        <v>128</v>
      </c>
      <c r="G115" s="2">
        <f t="shared" si="17"/>
        <v>0</v>
      </c>
      <c r="H115" s="2">
        <f t="shared" si="17"/>
        <v>0</v>
      </c>
      <c r="I115" s="2">
        <f t="shared" si="17"/>
        <v>15</v>
      </c>
      <c r="J115" s="2">
        <f t="shared" si="17"/>
        <v>0</v>
      </c>
      <c r="K115" s="2">
        <f t="shared" si="17"/>
        <v>0</v>
      </c>
      <c r="L115" s="2"/>
      <c r="M115" s="2"/>
      <c r="N115" s="2"/>
      <c r="O115" s="2" t="str">
        <f t="shared" si="16"/>
        <v>6002,6005</v>
      </c>
      <c r="P115" s="52">
        <v>800</v>
      </c>
      <c r="Q115" s="52">
        <v>800</v>
      </c>
      <c r="R115" s="2" t="str">
        <f>"205,206,207,208"</f>
        <v>205,206,207,208</v>
      </c>
    </row>
    <row r="116" spans="1:18" ht="14.25" customHeight="1">
      <c r="A116" s="2">
        <f t="shared" si="12"/>
        <v>82006</v>
      </c>
      <c r="B116" s="6" t="s">
        <v>3667</v>
      </c>
      <c r="C116" s="8" t="s">
        <v>3701</v>
      </c>
      <c r="D116" s="6" t="s">
        <v>77</v>
      </c>
      <c r="E116" s="2"/>
      <c r="F116" s="2">
        <f t="shared" si="17"/>
        <v>0</v>
      </c>
      <c r="G116" s="2">
        <f t="shared" si="17"/>
        <v>0</v>
      </c>
      <c r="H116" s="2">
        <f t="shared" si="17"/>
        <v>0</v>
      </c>
      <c r="I116" s="2">
        <f t="shared" si="17"/>
        <v>19</v>
      </c>
      <c r="J116" s="2">
        <f t="shared" si="17"/>
        <v>9</v>
      </c>
      <c r="K116" s="2">
        <f t="shared" si="17"/>
        <v>0</v>
      </c>
      <c r="L116" s="2"/>
      <c r="M116" s="2"/>
      <c r="N116" s="2"/>
      <c r="O116" s="2" t="str">
        <f t="shared" si="16"/>
        <v>6002,6005</v>
      </c>
      <c r="P116" s="52">
        <v>800</v>
      </c>
      <c r="Q116" s="52">
        <v>800</v>
      </c>
      <c r="R116" s="2" t="str">
        <f>"205,206,207,208"</f>
        <v>205,206,207,208</v>
      </c>
    </row>
    <row r="117" spans="1:18" ht="14.25" customHeight="1">
      <c r="A117" s="2">
        <f t="shared" si="12"/>
        <v>83006</v>
      </c>
      <c r="B117" s="6" t="s">
        <v>3669</v>
      </c>
      <c r="C117" s="8" t="s">
        <v>3702</v>
      </c>
      <c r="D117" s="6" t="s">
        <v>77</v>
      </c>
      <c r="E117" s="2"/>
      <c r="F117" s="2">
        <f t="shared" si="17"/>
        <v>49</v>
      </c>
      <c r="G117" s="2">
        <f t="shared" si="17"/>
        <v>0</v>
      </c>
      <c r="H117" s="2">
        <f t="shared" si="17"/>
        <v>0</v>
      </c>
      <c r="I117" s="2">
        <f t="shared" si="17"/>
        <v>0</v>
      </c>
      <c r="J117" s="2">
        <f t="shared" si="17"/>
        <v>9</v>
      </c>
      <c r="K117" s="2">
        <f t="shared" si="17"/>
        <v>0</v>
      </c>
      <c r="L117" s="2"/>
      <c r="M117" s="2"/>
      <c r="N117" s="2"/>
      <c r="O117" s="2" t="str">
        <f t="shared" si="16"/>
        <v>6002,6005</v>
      </c>
      <c r="P117" s="52">
        <v>800</v>
      </c>
      <c r="Q117" s="52">
        <v>800</v>
      </c>
      <c r="R117" s="2" t="str">
        <f>"201,202,203,204"</f>
        <v>201,202,203,204</v>
      </c>
    </row>
    <row r="118" spans="1:18" ht="14.25" customHeight="1">
      <c r="A118" s="2">
        <f t="shared" si="12"/>
        <v>84006</v>
      </c>
      <c r="B118" s="6" t="s">
        <v>3671</v>
      </c>
      <c r="C118" s="8" t="s">
        <v>3703</v>
      </c>
      <c r="D118" s="6" t="s">
        <v>77</v>
      </c>
      <c r="E118" s="2"/>
      <c r="F118" s="2">
        <f t="shared" si="17"/>
        <v>0</v>
      </c>
      <c r="G118" s="2">
        <f t="shared" si="17"/>
        <v>17</v>
      </c>
      <c r="H118" s="2">
        <f t="shared" si="17"/>
        <v>0</v>
      </c>
      <c r="I118" s="2">
        <f t="shared" si="17"/>
        <v>14</v>
      </c>
      <c r="J118" s="2">
        <f t="shared" si="17"/>
        <v>0</v>
      </c>
      <c r="K118" s="2">
        <f t="shared" si="17"/>
        <v>0</v>
      </c>
      <c r="L118" s="2"/>
      <c r="M118" s="2"/>
      <c r="N118" s="2"/>
      <c r="O118" s="2" t="str">
        <f t="shared" si="16"/>
        <v>6002,6005</v>
      </c>
      <c r="P118" s="52">
        <v>800</v>
      </c>
      <c r="Q118" s="52">
        <v>800</v>
      </c>
      <c r="R118" s="2" t="str">
        <f>"209,210,211,212"</f>
        <v>209,210,211,212</v>
      </c>
    </row>
    <row r="119" spans="1:18" ht="14.25" customHeight="1">
      <c r="A119" s="2">
        <f t="shared" si="12"/>
        <v>85006</v>
      </c>
      <c r="B119" s="6" t="s">
        <v>3673</v>
      </c>
      <c r="C119" s="8" t="s">
        <v>3704</v>
      </c>
      <c r="D119" s="6" t="s">
        <v>77</v>
      </c>
      <c r="E119" s="2"/>
      <c r="F119" s="2">
        <f t="shared" si="17"/>
        <v>0</v>
      </c>
      <c r="G119" s="2">
        <f t="shared" si="17"/>
        <v>15</v>
      </c>
      <c r="H119" s="2">
        <f t="shared" si="17"/>
        <v>0</v>
      </c>
      <c r="I119" s="2">
        <f t="shared" si="17"/>
        <v>0</v>
      </c>
      <c r="J119" s="2">
        <f t="shared" si="17"/>
        <v>0</v>
      </c>
      <c r="K119" s="2">
        <f t="shared" si="17"/>
        <v>20</v>
      </c>
      <c r="L119" s="2"/>
      <c r="M119" s="2"/>
      <c r="N119" s="2"/>
      <c r="O119" s="2" t="str">
        <f t="shared" si="16"/>
        <v>6002,6005</v>
      </c>
      <c r="P119" s="52">
        <v>800</v>
      </c>
      <c r="Q119" s="52">
        <v>800</v>
      </c>
      <c r="R119" s="2" t="str">
        <f>"209,210,211,212"</f>
        <v>209,210,211,212</v>
      </c>
    </row>
    <row r="120" spans="1:18" ht="14.25" customHeight="1">
      <c r="A120" s="2">
        <f t="shared" si="12"/>
        <v>80007</v>
      </c>
      <c r="B120" s="6" t="s">
        <v>1457</v>
      </c>
      <c r="C120" s="8" t="s">
        <v>3705</v>
      </c>
      <c r="D120" s="6" t="s">
        <v>77</v>
      </c>
      <c r="E120" s="2"/>
      <c r="F120" s="2">
        <f t="shared" ref="F120:K125" si="18">IF(F114=0,,ROUND(F114*1.2,0))</f>
        <v>0</v>
      </c>
      <c r="G120" s="2">
        <f t="shared" si="18"/>
        <v>55</v>
      </c>
      <c r="H120" s="2">
        <f t="shared" si="18"/>
        <v>44</v>
      </c>
      <c r="I120" s="2">
        <f t="shared" si="18"/>
        <v>0</v>
      </c>
      <c r="J120" s="2">
        <f t="shared" si="18"/>
        <v>0</v>
      </c>
      <c r="K120" s="2">
        <f t="shared" si="18"/>
        <v>0</v>
      </c>
      <c r="L120" s="2"/>
      <c r="M120" s="2"/>
      <c r="N120" s="2"/>
      <c r="O120" s="2" t="str">
        <f t="shared" si="16"/>
        <v>6002,6005</v>
      </c>
      <c r="P120" s="52">
        <v>800</v>
      </c>
      <c r="Q120" s="52">
        <v>800</v>
      </c>
      <c r="R120" s="2" t="str">
        <f>"201,202,203,204"</f>
        <v>201,202,203,204</v>
      </c>
    </row>
    <row r="121" spans="1:18" ht="14.25" customHeight="1">
      <c r="A121" s="2">
        <f t="shared" si="12"/>
        <v>81007</v>
      </c>
      <c r="B121" s="6" t="s">
        <v>3666</v>
      </c>
      <c r="C121" s="8" t="s">
        <v>3706</v>
      </c>
      <c r="D121" s="6" t="s">
        <v>77</v>
      </c>
      <c r="E121" s="2"/>
      <c r="F121" s="2">
        <f t="shared" si="18"/>
        <v>154</v>
      </c>
      <c r="G121" s="2">
        <f t="shared" si="18"/>
        <v>0</v>
      </c>
      <c r="H121" s="2">
        <f t="shared" si="18"/>
        <v>0</v>
      </c>
      <c r="I121" s="2">
        <f t="shared" si="18"/>
        <v>18</v>
      </c>
      <c r="J121" s="2">
        <f t="shared" si="18"/>
        <v>0</v>
      </c>
      <c r="K121" s="2">
        <f t="shared" si="18"/>
        <v>0</v>
      </c>
      <c r="L121" s="2"/>
      <c r="M121" s="2"/>
      <c r="N121" s="2"/>
      <c r="O121" s="2" t="str">
        <f t="shared" si="16"/>
        <v>6002,6005</v>
      </c>
      <c r="P121" s="52">
        <v>800</v>
      </c>
      <c r="Q121" s="52">
        <v>800</v>
      </c>
      <c r="R121" s="2" t="str">
        <f>"205,206,207,208"</f>
        <v>205,206,207,208</v>
      </c>
    </row>
    <row r="122" spans="1:18" ht="14.25" customHeight="1">
      <c r="A122" s="2">
        <f t="shared" ref="A122:A153" si="19">A116+1</f>
        <v>82007</v>
      </c>
      <c r="B122" s="6" t="s">
        <v>3667</v>
      </c>
      <c r="C122" s="8" t="s">
        <v>3707</v>
      </c>
      <c r="D122" s="6" t="s">
        <v>77</v>
      </c>
      <c r="E122" s="2"/>
      <c r="F122" s="2">
        <f t="shared" si="18"/>
        <v>0</v>
      </c>
      <c r="G122" s="2">
        <f t="shared" si="18"/>
        <v>0</v>
      </c>
      <c r="H122" s="2">
        <f t="shared" si="18"/>
        <v>0</v>
      </c>
      <c r="I122" s="2">
        <f t="shared" si="18"/>
        <v>23</v>
      </c>
      <c r="J122" s="2">
        <f t="shared" si="18"/>
        <v>11</v>
      </c>
      <c r="K122" s="2">
        <f t="shared" si="18"/>
        <v>0</v>
      </c>
      <c r="L122" s="2"/>
      <c r="M122" s="2"/>
      <c r="N122" s="2"/>
      <c r="O122" s="2" t="str">
        <f t="shared" si="16"/>
        <v>6002,6005</v>
      </c>
      <c r="P122" s="52">
        <v>800</v>
      </c>
      <c r="Q122" s="52">
        <v>800</v>
      </c>
      <c r="R122" s="2" t="str">
        <f>"205,206,207,208"</f>
        <v>205,206,207,208</v>
      </c>
    </row>
    <row r="123" spans="1:18" ht="14.25" customHeight="1">
      <c r="A123" s="2">
        <f t="shared" si="19"/>
        <v>83007</v>
      </c>
      <c r="B123" s="6" t="s">
        <v>3669</v>
      </c>
      <c r="C123" s="8" t="s">
        <v>3708</v>
      </c>
      <c r="D123" s="6" t="s">
        <v>77</v>
      </c>
      <c r="E123" s="2"/>
      <c r="F123" s="2">
        <f t="shared" si="18"/>
        <v>59</v>
      </c>
      <c r="G123" s="2">
        <f t="shared" si="18"/>
        <v>0</v>
      </c>
      <c r="H123" s="2">
        <f t="shared" si="18"/>
        <v>0</v>
      </c>
      <c r="I123" s="2">
        <f t="shared" si="18"/>
        <v>0</v>
      </c>
      <c r="J123" s="2">
        <f t="shared" si="18"/>
        <v>11</v>
      </c>
      <c r="K123" s="2">
        <f t="shared" si="18"/>
        <v>0</v>
      </c>
      <c r="L123" s="2"/>
      <c r="M123" s="2"/>
      <c r="N123" s="2"/>
      <c r="O123" s="2" t="str">
        <f t="shared" si="16"/>
        <v>6002,6005</v>
      </c>
      <c r="P123" s="52">
        <v>800</v>
      </c>
      <c r="Q123" s="52">
        <v>800</v>
      </c>
      <c r="R123" s="2" t="str">
        <f>"201,202,203,204"</f>
        <v>201,202,203,204</v>
      </c>
    </row>
    <row r="124" spans="1:18" ht="14.25" customHeight="1">
      <c r="A124" s="2">
        <f t="shared" si="19"/>
        <v>84007</v>
      </c>
      <c r="B124" s="6" t="s">
        <v>3671</v>
      </c>
      <c r="C124" s="8" t="s">
        <v>3709</v>
      </c>
      <c r="D124" s="6" t="s">
        <v>77</v>
      </c>
      <c r="E124" s="2"/>
      <c r="F124" s="2">
        <f t="shared" si="18"/>
        <v>0</v>
      </c>
      <c r="G124" s="2">
        <f t="shared" si="18"/>
        <v>20</v>
      </c>
      <c r="H124" s="2">
        <f t="shared" si="18"/>
        <v>0</v>
      </c>
      <c r="I124" s="2">
        <f t="shared" si="18"/>
        <v>17</v>
      </c>
      <c r="J124" s="2">
        <f t="shared" si="18"/>
        <v>0</v>
      </c>
      <c r="K124" s="2">
        <f t="shared" si="18"/>
        <v>0</v>
      </c>
      <c r="L124" s="2"/>
      <c r="M124" s="2"/>
      <c r="N124" s="2"/>
      <c r="O124" s="2" t="str">
        <f t="shared" si="16"/>
        <v>6002,6005</v>
      </c>
      <c r="P124" s="52">
        <v>800</v>
      </c>
      <c r="Q124" s="52">
        <v>800</v>
      </c>
      <c r="R124" s="2" t="str">
        <f>"209,210,211,212"</f>
        <v>209,210,211,212</v>
      </c>
    </row>
    <row r="125" spans="1:18" ht="14.25" customHeight="1">
      <c r="A125" s="2">
        <f t="shared" si="19"/>
        <v>85007</v>
      </c>
      <c r="B125" s="6" t="s">
        <v>3673</v>
      </c>
      <c r="C125" s="8" t="s">
        <v>3710</v>
      </c>
      <c r="D125" s="6" t="s">
        <v>77</v>
      </c>
      <c r="E125" s="2"/>
      <c r="F125" s="2">
        <f t="shared" si="18"/>
        <v>0</v>
      </c>
      <c r="G125" s="2">
        <f t="shared" si="18"/>
        <v>18</v>
      </c>
      <c r="H125" s="2">
        <f t="shared" si="18"/>
        <v>0</v>
      </c>
      <c r="I125" s="2">
        <f t="shared" si="18"/>
        <v>0</v>
      </c>
      <c r="J125" s="2">
        <f t="shared" si="18"/>
        <v>0</v>
      </c>
      <c r="K125" s="2">
        <f t="shared" si="18"/>
        <v>24</v>
      </c>
      <c r="L125" s="2"/>
      <c r="M125" s="2"/>
      <c r="N125" s="2"/>
      <c r="O125" s="2" t="str">
        <f t="shared" si="16"/>
        <v>6002,6005</v>
      </c>
      <c r="P125" s="52">
        <v>800</v>
      </c>
      <c r="Q125" s="52">
        <v>800</v>
      </c>
      <c r="R125" s="2" t="str">
        <f>"209,210,211,212"</f>
        <v>209,210,211,212</v>
      </c>
    </row>
    <row r="126" spans="1:18" ht="14.25" customHeight="1">
      <c r="A126" s="2">
        <f t="shared" si="19"/>
        <v>80008</v>
      </c>
      <c r="B126" s="6" t="s">
        <v>1457</v>
      </c>
      <c r="C126" s="3" t="s">
        <v>3711</v>
      </c>
      <c r="D126" s="6" t="s">
        <v>75</v>
      </c>
      <c r="E126" s="2"/>
      <c r="F126" s="2">
        <f t="shared" ref="F126:K131" si="20">IF(F114=0,,ROUND(F114*1.7,0))</f>
        <v>0</v>
      </c>
      <c r="G126" s="2">
        <f t="shared" si="20"/>
        <v>78</v>
      </c>
      <c r="H126" s="2">
        <f t="shared" si="20"/>
        <v>63</v>
      </c>
      <c r="I126" s="2">
        <f t="shared" si="20"/>
        <v>0</v>
      </c>
      <c r="J126" s="2">
        <f t="shared" si="20"/>
        <v>0</v>
      </c>
      <c r="K126" s="2">
        <f t="shared" si="20"/>
        <v>0</v>
      </c>
      <c r="L126" s="2"/>
      <c r="M126" s="2"/>
      <c r="N126" s="2"/>
      <c r="O126" s="2" t="str">
        <f t="shared" si="16"/>
        <v>6002,6005</v>
      </c>
      <c r="P126" s="52">
        <v>800</v>
      </c>
      <c r="Q126" s="52">
        <v>800</v>
      </c>
      <c r="R126" s="2" t="str">
        <f>"201,202,203,204"</f>
        <v>201,202,203,204</v>
      </c>
    </row>
    <row r="127" spans="1:18" ht="14.25" customHeight="1">
      <c r="A127" s="2">
        <f t="shared" si="19"/>
        <v>81008</v>
      </c>
      <c r="B127" s="6" t="s">
        <v>3666</v>
      </c>
      <c r="C127" s="8" t="s">
        <v>3712</v>
      </c>
      <c r="D127" s="6" t="s">
        <v>75</v>
      </c>
      <c r="E127" s="2"/>
      <c r="F127" s="2">
        <f t="shared" si="20"/>
        <v>218</v>
      </c>
      <c r="G127" s="2">
        <f t="shared" si="20"/>
        <v>0</v>
      </c>
      <c r="H127" s="2">
        <f t="shared" si="20"/>
        <v>0</v>
      </c>
      <c r="I127" s="2">
        <f t="shared" si="20"/>
        <v>26</v>
      </c>
      <c r="J127" s="2">
        <f t="shared" si="20"/>
        <v>0</v>
      </c>
      <c r="K127" s="2">
        <f t="shared" si="20"/>
        <v>0</v>
      </c>
      <c r="L127" s="2"/>
      <c r="M127" s="2"/>
      <c r="N127" s="2"/>
      <c r="O127" s="2" t="str">
        <f t="shared" si="16"/>
        <v>6002,6005</v>
      </c>
      <c r="P127" s="52">
        <v>800</v>
      </c>
      <c r="Q127" s="52">
        <v>800</v>
      </c>
      <c r="R127" s="2" t="str">
        <f>"205,206,207,208"</f>
        <v>205,206,207,208</v>
      </c>
    </row>
    <row r="128" spans="1:18" ht="14.25" customHeight="1">
      <c r="A128" s="2">
        <f t="shared" si="19"/>
        <v>82008</v>
      </c>
      <c r="B128" s="6" t="s">
        <v>3667</v>
      </c>
      <c r="C128" s="8" t="s">
        <v>3713</v>
      </c>
      <c r="D128" s="6" t="s">
        <v>75</v>
      </c>
      <c r="E128" s="2"/>
      <c r="F128" s="2">
        <f t="shared" si="20"/>
        <v>0</v>
      </c>
      <c r="G128" s="2">
        <f t="shared" si="20"/>
        <v>0</v>
      </c>
      <c r="H128" s="2">
        <f t="shared" si="20"/>
        <v>0</v>
      </c>
      <c r="I128" s="2">
        <f t="shared" si="20"/>
        <v>32</v>
      </c>
      <c r="J128" s="2">
        <f t="shared" si="20"/>
        <v>15</v>
      </c>
      <c r="K128" s="2">
        <f t="shared" si="20"/>
        <v>0</v>
      </c>
      <c r="L128" s="2"/>
      <c r="M128" s="2"/>
      <c r="N128" s="2"/>
      <c r="O128" s="2" t="str">
        <f t="shared" si="16"/>
        <v>6002,6005</v>
      </c>
      <c r="P128" s="52">
        <v>800</v>
      </c>
      <c r="Q128" s="52">
        <v>800</v>
      </c>
      <c r="R128" s="2" t="str">
        <f>"205,206,207,208"</f>
        <v>205,206,207,208</v>
      </c>
    </row>
    <row r="129" spans="1:18" ht="14.25" customHeight="1">
      <c r="A129" s="2">
        <f t="shared" si="19"/>
        <v>83008</v>
      </c>
      <c r="B129" s="6" t="s">
        <v>3669</v>
      </c>
      <c r="C129" s="8" t="s">
        <v>3714</v>
      </c>
      <c r="D129" s="6" t="s">
        <v>75</v>
      </c>
      <c r="E129" s="2"/>
      <c r="F129" s="2">
        <f t="shared" si="20"/>
        <v>83</v>
      </c>
      <c r="G129" s="2">
        <f t="shared" si="20"/>
        <v>0</v>
      </c>
      <c r="H129" s="2">
        <f t="shared" si="20"/>
        <v>0</v>
      </c>
      <c r="I129" s="2">
        <f t="shared" si="20"/>
        <v>0</v>
      </c>
      <c r="J129" s="2">
        <f t="shared" si="20"/>
        <v>15</v>
      </c>
      <c r="K129" s="2">
        <f t="shared" si="20"/>
        <v>0</v>
      </c>
      <c r="L129" s="2"/>
      <c r="M129" s="2"/>
      <c r="N129" s="2"/>
      <c r="O129" s="2" t="str">
        <f t="shared" si="16"/>
        <v>6002,6005</v>
      </c>
      <c r="P129" s="52">
        <v>800</v>
      </c>
      <c r="Q129" s="52">
        <v>800</v>
      </c>
      <c r="R129" s="2" t="str">
        <f>"201,202,203,204"</f>
        <v>201,202,203,204</v>
      </c>
    </row>
    <row r="130" spans="1:18" ht="14.25" customHeight="1">
      <c r="A130" s="2">
        <f t="shared" si="19"/>
        <v>84008</v>
      </c>
      <c r="B130" s="6" t="s">
        <v>3671</v>
      </c>
      <c r="C130" s="8" t="s">
        <v>3715</v>
      </c>
      <c r="D130" s="6" t="s">
        <v>75</v>
      </c>
      <c r="E130" s="2"/>
      <c r="F130" s="2">
        <f t="shared" si="20"/>
        <v>0</v>
      </c>
      <c r="G130" s="2">
        <f t="shared" si="20"/>
        <v>29</v>
      </c>
      <c r="H130" s="2">
        <f t="shared" si="20"/>
        <v>0</v>
      </c>
      <c r="I130" s="2">
        <f t="shared" si="20"/>
        <v>24</v>
      </c>
      <c r="J130" s="2">
        <f t="shared" si="20"/>
        <v>0</v>
      </c>
      <c r="K130" s="2">
        <f t="shared" si="20"/>
        <v>0</v>
      </c>
      <c r="L130" s="2"/>
      <c r="M130" s="2"/>
      <c r="N130" s="2"/>
      <c r="O130" s="2" t="str">
        <f t="shared" si="16"/>
        <v>6002,6005</v>
      </c>
      <c r="P130" s="52">
        <v>800</v>
      </c>
      <c r="Q130" s="52">
        <v>800</v>
      </c>
      <c r="R130" s="2" t="str">
        <f>"209,210,211,212"</f>
        <v>209,210,211,212</v>
      </c>
    </row>
    <row r="131" spans="1:18" ht="14.25" customHeight="1">
      <c r="A131" s="2">
        <f t="shared" si="19"/>
        <v>85008</v>
      </c>
      <c r="B131" s="6" t="s">
        <v>3673</v>
      </c>
      <c r="C131" s="8" t="s">
        <v>3716</v>
      </c>
      <c r="D131" s="6" t="s">
        <v>75</v>
      </c>
      <c r="E131" s="2"/>
      <c r="F131" s="2">
        <f t="shared" si="20"/>
        <v>0</v>
      </c>
      <c r="G131" s="2">
        <f t="shared" si="20"/>
        <v>26</v>
      </c>
      <c r="H131" s="2">
        <f t="shared" si="20"/>
        <v>0</v>
      </c>
      <c r="I131" s="2">
        <f t="shared" si="20"/>
        <v>0</v>
      </c>
      <c r="J131" s="2">
        <f t="shared" si="20"/>
        <v>0</v>
      </c>
      <c r="K131" s="2">
        <f t="shared" si="20"/>
        <v>34</v>
      </c>
      <c r="L131" s="2"/>
      <c r="M131" s="2"/>
      <c r="N131" s="2"/>
      <c r="O131" s="2" t="str">
        <f t="shared" si="16"/>
        <v>6002,6005</v>
      </c>
      <c r="P131" s="52">
        <v>800</v>
      </c>
      <c r="Q131" s="52">
        <v>800</v>
      </c>
      <c r="R131" s="2" t="str">
        <f>"209,210,211,212"</f>
        <v>209,210,211,212</v>
      </c>
    </row>
    <row r="132" spans="1:18" ht="14.25" customHeight="1">
      <c r="A132" s="2">
        <f t="shared" si="19"/>
        <v>80009</v>
      </c>
      <c r="B132" s="6" t="s">
        <v>1457</v>
      </c>
      <c r="C132" s="8" t="s">
        <v>3717</v>
      </c>
      <c r="D132" s="6" t="s">
        <v>79</v>
      </c>
      <c r="E132" s="2"/>
      <c r="F132" s="2"/>
      <c r="G132" s="2">
        <v>15</v>
      </c>
      <c r="H132" s="2"/>
      <c r="I132" s="2">
        <v>5</v>
      </c>
      <c r="J132" s="2"/>
      <c r="K132" s="2"/>
      <c r="L132" s="2"/>
      <c r="M132" s="2"/>
      <c r="N132" s="2"/>
      <c r="O132" s="2" t="str">
        <f t="shared" ref="O132:O155" si="21">"6003,6006"</f>
        <v>6003,6006</v>
      </c>
      <c r="P132" s="52">
        <v>800</v>
      </c>
      <c r="Q132" s="52">
        <v>800</v>
      </c>
      <c r="R132" s="2" t="str">
        <f>"201,202,203,204"</f>
        <v>201,202,203,204</v>
      </c>
    </row>
    <row r="133" spans="1:18" ht="14.25" customHeight="1">
      <c r="A133" s="2">
        <f t="shared" si="19"/>
        <v>81009</v>
      </c>
      <c r="B133" s="6" t="s">
        <v>3666</v>
      </c>
      <c r="C133" s="8" t="s">
        <v>3718</v>
      </c>
      <c r="D133" s="6" t="s">
        <v>79</v>
      </c>
      <c r="E133" s="2"/>
      <c r="F133" s="2"/>
      <c r="G133" s="2"/>
      <c r="H133" s="2"/>
      <c r="I133" s="2">
        <v>17</v>
      </c>
      <c r="J133" s="2"/>
      <c r="K133" s="2"/>
      <c r="L133" s="2"/>
      <c r="M133" s="2"/>
      <c r="N133" s="2"/>
      <c r="O133" s="2" t="str">
        <f t="shared" si="21"/>
        <v>6003,6006</v>
      </c>
      <c r="P133" s="52">
        <v>800</v>
      </c>
      <c r="Q133" s="52">
        <v>800</v>
      </c>
      <c r="R133" s="2" t="str">
        <f>"205,206,207,208"</f>
        <v>205,206,207,208</v>
      </c>
    </row>
    <row r="134" spans="1:18" ht="14.25" customHeight="1">
      <c r="A134" s="2">
        <f t="shared" si="19"/>
        <v>82009</v>
      </c>
      <c r="B134" s="6" t="s">
        <v>3667</v>
      </c>
      <c r="C134" s="114" t="s">
        <v>642</v>
      </c>
      <c r="D134" s="6" t="s">
        <v>79</v>
      </c>
      <c r="E134" s="2"/>
      <c r="F134" s="2">
        <v>95</v>
      </c>
      <c r="G134" s="2"/>
      <c r="H134" s="2"/>
      <c r="I134" s="2">
        <v>16</v>
      </c>
      <c r="J134" s="2"/>
      <c r="K134" s="2"/>
      <c r="L134" s="2"/>
      <c r="M134" s="2"/>
      <c r="N134" s="2"/>
      <c r="O134" s="2" t="str">
        <f t="shared" si="21"/>
        <v>6003,6006</v>
      </c>
      <c r="P134" s="52">
        <v>800</v>
      </c>
      <c r="Q134" s="52">
        <v>800</v>
      </c>
      <c r="R134" s="2" t="str">
        <f>"205,206,207,208"</f>
        <v>205,206,207,208</v>
      </c>
    </row>
    <row r="135" spans="1:18" ht="14.25" customHeight="1">
      <c r="A135" s="2">
        <f t="shared" si="19"/>
        <v>83009</v>
      </c>
      <c r="B135" s="6" t="s">
        <v>3669</v>
      </c>
      <c r="C135" s="8" t="s">
        <v>3719</v>
      </c>
      <c r="D135" s="6" t="s">
        <v>79</v>
      </c>
      <c r="E135" s="2"/>
      <c r="F135" s="2"/>
      <c r="G135" s="2"/>
      <c r="H135" s="2"/>
      <c r="I135" s="2">
        <v>19</v>
      </c>
      <c r="J135" s="2">
        <v>12</v>
      </c>
      <c r="K135" s="2"/>
      <c r="L135" s="2"/>
      <c r="M135" s="2"/>
      <c r="N135" s="2"/>
      <c r="O135" s="2" t="str">
        <f t="shared" si="21"/>
        <v>6003,6006</v>
      </c>
      <c r="P135" s="52">
        <v>800</v>
      </c>
      <c r="Q135" s="52">
        <v>800</v>
      </c>
      <c r="R135" s="2" t="str">
        <f>"201,202,203,204"</f>
        <v>201,202,203,204</v>
      </c>
    </row>
    <row r="136" spans="1:18" ht="14.25" customHeight="1">
      <c r="A136" s="2">
        <f t="shared" si="19"/>
        <v>84009</v>
      </c>
      <c r="B136" s="6" t="s">
        <v>3671</v>
      </c>
      <c r="C136" s="8" t="s">
        <v>3720</v>
      </c>
      <c r="D136" s="6" t="s">
        <v>79</v>
      </c>
      <c r="E136" s="2"/>
      <c r="F136" s="2">
        <v>79</v>
      </c>
      <c r="G136" s="2"/>
      <c r="H136" s="2"/>
      <c r="I136" s="2">
        <v>29</v>
      </c>
      <c r="J136" s="2"/>
      <c r="K136" s="2"/>
      <c r="L136" s="2"/>
      <c r="M136" s="2"/>
      <c r="N136" s="2"/>
      <c r="O136" s="2" t="str">
        <f t="shared" si="21"/>
        <v>6003,6006</v>
      </c>
      <c r="P136" s="52">
        <v>800</v>
      </c>
      <c r="Q136" s="52">
        <v>800</v>
      </c>
      <c r="R136" s="2" t="str">
        <f>"209,210,211,212"</f>
        <v>209,210,211,212</v>
      </c>
    </row>
    <row r="137" spans="1:18" ht="14.25" customHeight="1">
      <c r="A137" s="2">
        <f t="shared" si="19"/>
        <v>85009</v>
      </c>
      <c r="B137" s="6" t="s">
        <v>3673</v>
      </c>
      <c r="C137" s="8" t="s">
        <v>3721</v>
      </c>
      <c r="D137" s="6" t="s">
        <v>79</v>
      </c>
      <c r="E137" s="2"/>
      <c r="F137" s="2">
        <v>57</v>
      </c>
      <c r="G137" s="2">
        <v>6</v>
      </c>
      <c r="H137" s="2"/>
      <c r="I137" s="2"/>
      <c r="J137" s="2">
        <v>11</v>
      </c>
      <c r="K137" s="2"/>
      <c r="L137" s="2"/>
      <c r="M137" s="2"/>
      <c r="N137" s="2"/>
      <c r="O137" s="2" t="str">
        <f t="shared" si="21"/>
        <v>6003,6006</v>
      </c>
      <c r="P137" s="52">
        <v>800</v>
      </c>
      <c r="Q137" s="52">
        <v>800</v>
      </c>
      <c r="R137" s="2" t="str">
        <f>"209,210,211,212"</f>
        <v>209,210,211,212</v>
      </c>
    </row>
    <row r="138" spans="1:18" ht="14.25" customHeight="1">
      <c r="A138" s="2">
        <f t="shared" si="19"/>
        <v>80010</v>
      </c>
      <c r="B138" s="6" t="s">
        <v>1457</v>
      </c>
      <c r="C138" s="8" t="s">
        <v>3722</v>
      </c>
      <c r="D138" s="6" t="s">
        <v>77</v>
      </c>
      <c r="E138" s="2"/>
      <c r="F138" s="2">
        <f t="shared" ref="F138:K143" si="22">IF(F132=0,,ROUND(F132*1.7,0))</f>
        <v>0</v>
      </c>
      <c r="G138" s="2">
        <f t="shared" si="22"/>
        <v>26</v>
      </c>
      <c r="H138" s="2">
        <f t="shared" si="22"/>
        <v>0</v>
      </c>
      <c r="I138" s="2">
        <f t="shared" si="22"/>
        <v>9</v>
      </c>
      <c r="J138" s="2">
        <f t="shared" si="22"/>
        <v>0</v>
      </c>
      <c r="K138" s="2">
        <f t="shared" si="22"/>
        <v>0</v>
      </c>
      <c r="L138" s="2"/>
      <c r="M138" s="2"/>
      <c r="N138" s="2"/>
      <c r="O138" s="2" t="str">
        <f t="shared" si="21"/>
        <v>6003,6006</v>
      </c>
      <c r="P138" s="52">
        <v>800</v>
      </c>
      <c r="Q138" s="52">
        <v>800</v>
      </c>
      <c r="R138" s="2" t="str">
        <f>"201,202,203,204"</f>
        <v>201,202,203,204</v>
      </c>
    </row>
    <row r="139" spans="1:18" ht="14.25" customHeight="1">
      <c r="A139" s="2">
        <f t="shared" si="19"/>
        <v>81010</v>
      </c>
      <c r="B139" s="6" t="s">
        <v>3666</v>
      </c>
      <c r="C139" s="8" t="s">
        <v>3723</v>
      </c>
      <c r="D139" s="6" t="s">
        <v>77</v>
      </c>
      <c r="E139" s="2"/>
      <c r="F139" s="2">
        <f t="shared" si="22"/>
        <v>0</v>
      </c>
      <c r="G139" s="2">
        <f t="shared" si="22"/>
        <v>0</v>
      </c>
      <c r="H139" s="2">
        <f t="shared" si="22"/>
        <v>0</v>
      </c>
      <c r="I139" s="2">
        <f t="shared" si="22"/>
        <v>29</v>
      </c>
      <c r="J139" s="2">
        <f t="shared" si="22"/>
        <v>0</v>
      </c>
      <c r="K139" s="2">
        <f t="shared" si="22"/>
        <v>0</v>
      </c>
      <c r="L139" s="2"/>
      <c r="M139" s="2"/>
      <c r="N139" s="2"/>
      <c r="O139" s="2" t="str">
        <f t="shared" si="21"/>
        <v>6003,6006</v>
      </c>
      <c r="P139" s="52">
        <v>800</v>
      </c>
      <c r="Q139" s="52">
        <v>800</v>
      </c>
      <c r="R139" s="2" t="str">
        <f>"205,206,207,208"</f>
        <v>205,206,207,208</v>
      </c>
    </row>
    <row r="140" spans="1:18" ht="14.25" customHeight="1">
      <c r="A140" s="2">
        <f t="shared" si="19"/>
        <v>82010</v>
      </c>
      <c r="B140" s="6" t="s">
        <v>3667</v>
      </c>
      <c r="C140" s="114" t="s">
        <v>3724</v>
      </c>
      <c r="D140" s="6" t="s">
        <v>77</v>
      </c>
      <c r="E140" s="2"/>
      <c r="F140" s="2">
        <f t="shared" si="22"/>
        <v>162</v>
      </c>
      <c r="G140" s="2">
        <f t="shared" si="22"/>
        <v>0</v>
      </c>
      <c r="H140" s="2">
        <f t="shared" si="22"/>
        <v>0</v>
      </c>
      <c r="I140" s="2">
        <f t="shared" si="22"/>
        <v>27</v>
      </c>
      <c r="J140" s="2">
        <f t="shared" si="22"/>
        <v>0</v>
      </c>
      <c r="K140" s="2">
        <f t="shared" si="22"/>
        <v>0</v>
      </c>
      <c r="L140" s="2"/>
      <c r="M140" s="2"/>
      <c r="N140" s="2"/>
      <c r="O140" s="2" t="str">
        <f t="shared" si="21"/>
        <v>6003,6006</v>
      </c>
      <c r="P140" s="52">
        <v>800</v>
      </c>
      <c r="Q140" s="52">
        <v>800</v>
      </c>
      <c r="R140" s="2" t="str">
        <f>"205,206,207,208"</f>
        <v>205,206,207,208</v>
      </c>
    </row>
    <row r="141" spans="1:18" ht="14.25" customHeight="1">
      <c r="A141" s="2">
        <f t="shared" si="19"/>
        <v>83010</v>
      </c>
      <c r="B141" s="6" t="s">
        <v>3669</v>
      </c>
      <c r="C141" s="8" t="s">
        <v>3725</v>
      </c>
      <c r="D141" s="6" t="s">
        <v>77</v>
      </c>
      <c r="E141" s="2"/>
      <c r="F141" s="2">
        <f t="shared" si="22"/>
        <v>0</v>
      </c>
      <c r="G141" s="2">
        <f t="shared" si="22"/>
        <v>0</v>
      </c>
      <c r="H141" s="2">
        <f t="shared" si="22"/>
        <v>0</v>
      </c>
      <c r="I141" s="2">
        <f t="shared" si="22"/>
        <v>32</v>
      </c>
      <c r="J141" s="2">
        <f t="shared" si="22"/>
        <v>20</v>
      </c>
      <c r="K141" s="2">
        <f t="shared" si="22"/>
        <v>0</v>
      </c>
      <c r="L141" s="2"/>
      <c r="M141" s="2"/>
      <c r="N141" s="2"/>
      <c r="O141" s="2" t="str">
        <f t="shared" si="21"/>
        <v>6003,6006</v>
      </c>
      <c r="P141" s="52">
        <v>800</v>
      </c>
      <c r="Q141" s="52">
        <v>800</v>
      </c>
      <c r="R141" s="2" t="str">
        <f>"201,202,203,204"</f>
        <v>201,202,203,204</v>
      </c>
    </row>
    <row r="142" spans="1:18" ht="14.25" customHeight="1">
      <c r="A142" s="2">
        <f t="shared" si="19"/>
        <v>84010</v>
      </c>
      <c r="B142" s="6" t="s">
        <v>3671</v>
      </c>
      <c r="C142" s="8" t="s">
        <v>3726</v>
      </c>
      <c r="D142" s="6" t="s">
        <v>77</v>
      </c>
      <c r="E142" s="2"/>
      <c r="F142" s="2">
        <f t="shared" si="22"/>
        <v>134</v>
      </c>
      <c r="G142" s="2">
        <f t="shared" si="22"/>
        <v>0</v>
      </c>
      <c r="H142" s="2">
        <f t="shared" si="22"/>
        <v>0</v>
      </c>
      <c r="I142" s="2">
        <f t="shared" si="22"/>
        <v>49</v>
      </c>
      <c r="J142" s="2">
        <f t="shared" si="22"/>
        <v>0</v>
      </c>
      <c r="K142" s="2">
        <f t="shared" si="22"/>
        <v>0</v>
      </c>
      <c r="L142" s="2"/>
      <c r="M142" s="2"/>
      <c r="N142" s="2"/>
      <c r="O142" s="2" t="str">
        <f t="shared" si="21"/>
        <v>6003,6006</v>
      </c>
      <c r="P142" s="52">
        <v>800</v>
      </c>
      <c r="Q142" s="52">
        <v>800</v>
      </c>
      <c r="R142" s="2" t="str">
        <f>"209,210,211,212"</f>
        <v>209,210,211,212</v>
      </c>
    </row>
    <row r="143" spans="1:18" ht="14.25" customHeight="1">
      <c r="A143" s="2">
        <f t="shared" si="19"/>
        <v>85010</v>
      </c>
      <c r="B143" s="6" t="s">
        <v>3673</v>
      </c>
      <c r="C143" s="8" t="s">
        <v>3727</v>
      </c>
      <c r="D143" s="6" t="s">
        <v>77</v>
      </c>
      <c r="E143" s="2"/>
      <c r="F143" s="2">
        <f t="shared" si="22"/>
        <v>97</v>
      </c>
      <c r="G143" s="2">
        <f t="shared" si="22"/>
        <v>10</v>
      </c>
      <c r="H143" s="2">
        <f t="shared" si="22"/>
        <v>0</v>
      </c>
      <c r="I143" s="2">
        <f t="shared" si="22"/>
        <v>0</v>
      </c>
      <c r="J143" s="2">
        <f t="shared" si="22"/>
        <v>19</v>
      </c>
      <c r="K143" s="2">
        <f t="shared" si="22"/>
        <v>0</v>
      </c>
      <c r="L143" s="2"/>
      <c r="M143" s="2"/>
      <c r="N143" s="2"/>
      <c r="O143" s="2" t="str">
        <f t="shared" si="21"/>
        <v>6003,6006</v>
      </c>
      <c r="P143" s="52">
        <v>800</v>
      </c>
      <c r="Q143" s="52">
        <v>800</v>
      </c>
      <c r="R143" s="2" t="str">
        <f>"209,210,211,212"</f>
        <v>209,210,211,212</v>
      </c>
    </row>
    <row r="144" spans="1:18" ht="14.25" customHeight="1">
      <c r="A144" s="2">
        <f t="shared" si="19"/>
        <v>80011</v>
      </c>
      <c r="B144" s="6" t="s">
        <v>1457</v>
      </c>
      <c r="C144" s="8" t="s">
        <v>3728</v>
      </c>
      <c r="D144" s="6" t="s">
        <v>77</v>
      </c>
      <c r="E144" s="2"/>
      <c r="F144" s="2">
        <f t="shared" ref="F144:K149" si="23">IF(F138=0,,ROUND(F138*1.2,0))</f>
        <v>0</v>
      </c>
      <c r="G144" s="2">
        <f t="shared" si="23"/>
        <v>31</v>
      </c>
      <c r="H144" s="2">
        <f t="shared" si="23"/>
        <v>0</v>
      </c>
      <c r="I144" s="2">
        <f t="shared" si="23"/>
        <v>11</v>
      </c>
      <c r="J144" s="2">
        <f t="shared" si="23"/>
        <v>0</v>
      </c>
      <c r="K144" s="2">
        <f t="shared" si="23"/>
        <v>0</v>
      </c>
      <c r="L144" s="2"/>
      <c r="M144" s="2"/>
      <c r="N144" s="2"/>
      <c r="O144" s="2" t="str">
        <f t="shared" si="21"/>
        <v>6003,6006</v>
      </c>
      <c r="P144" s="52">
        <v>800</v>
      </c>
      <c r="Q144" s="52">
        <v>800</v>
      </c>
      <c r="R144" s="2" t="str">
        <f>"201,202,203,204"</f>
        <v>201,202,203,204</v>
      </c>
    </row>
    <row r="145" spans="1:18" ht="14.25" customHeight="1">
      <c r="A145" s="2">
        <f t="shared" si="19"/>
        <v>81011</v>
      </c>
      <c r="B145" s="6" t="s">
        <v>3666</v>
      </c>
      <c r="C145" s="8" t="s">
        <v>3729</v>
      </c>
      <c r="D145" s="6" t="s">
        <v>77</v>
      </c>
      <c r="E145" s="2"/>
      <c r="F145" s="2">
        <f t="shared" si="23"/>
        <v>0</v>
      </c>
      <c r="G145" s="2">
        <f t="shared" si="23"/>
        <v>0</v>
      </c>
      <c r="H145" s="2">
        <f t="shared" si="23"/>
        <v>0</v>
      </c>
      <c r="I145" s="2">
        <f t="shared" si="23"/>
        <v>35</v>
      </c>
      <c r="J145" s="2">
        <f t="shared" si="23"/>
        <v>0</v>
      </c>
      <c r="K145" s="2">
        <f t="shared" si="23"/>
        <v>0</v>
      </c>
      <c r="L145" s="2"/>
      <c r="M145" s="2"/>
      <c r="N145" s="2"/>
      <c r="O145" s="2" t="str">
        <f t="shared" si="21"/>
        <v>6003,6006</v>
      </c>
      <c r="P145" s="52">
        <v>800</v>
      </c>
      <c r="Q145" s="52">
        <v>800</v>
      </c>
      <c r="R145" s="2" t="str">
        <f>"205,206,207,208"</f>
        <v>205,206,207,208</v>
      </c>
    </row>
    <row r="146" spans="1:18" ht="14.25" customHeight="1">
      <c r="A146" s="2">
        <f t="shared" si="19"/>
        <v>82011</v>
      </c>
      <c r="B146" s="6" t="s">
        <v>3667</v>
      </c>
      <c r="C146" s="8" t="s">
        <v>3730</v>
      </c>
      <c r="D146" s="6" t="s">
        <v>77</v>
      </c>
      <c r="E146" s="2"/>
      <c r="F146" s="2">
        <f t="shared" si="23"/>
        <v>194</v>
      </c>
      <c r="G146" s="2">
        <f t="shared" si="23"/>
        <v>0</v>
      </c>
      <c r="H146" s="2">
        <f t="shared" si="23"/>
        <v>0</v>
      </c>
      <c r="I146" s="2">
        <f t="shared" si="23"/>
        <v>32</v>
      </c>
      <c r="J146" s="2">
        <f t="shared" si="23"/>
        <v>0</v>
      </c>
      <c r="K146" s="2">
        <f t="shared" si="23"/>
        <v>0</v>
      </c>
      <c r="L146" s="2"/>
      <c r="M146" s="2"/>
      <c r="N146" s="2"/>
      <c r="O146" s="2" t="str">
        <f t="shared" si="21"/>
        <v>6003,6006</v>
      </c>
      <c r="P146" s="52">
        <v>800</v>
      </c>
      <c r="Q146" s="52">
        <v>800</v>
      </c>
      <c r="R146" s="2" t="str">
        <f>"205,206,207,208"</f>
        <v>205,206,207,208</v>
      </c>
    </row>
    <row r="147" spans="1:18" ht="14.25" customHeight="1">
      <c r="A147" s="2">
        <f t="shared" si="19"/>
        <v>83011</v>
      </c>
      <c r="B147" s="6" t="s">
        <v>3669</v>
      </c>
      <c r="C147" s="8" t="s">
        <v>3731</v>
      </c>
      <c r="D147" s="6" t="s">
        <v>77</v>
      </c>
      <c r="E147" s="2"/>
      <c r="F147" s="2">
        <f t="shared" si="23"/>
        <v>0</v>
      </c>
      <c r="G147" s="2">
        <f t="shared" si="23"/>
        <v>0</v>
      </c>
      <c r="H147" s="2">
        <f t="shared" si="23"/>
        <v>0</v>
      </c>
      <c r="I147" s="2">
        <f t="shared" si="23"/>
        <v>38</v>
      </c>
      <c r="J147" s="2">
        <f t="shared" si="23"/>
        <v>24</v>
      </c>
      <c r="K147" s="2">
        <f t="shared" si="23"/>
        <v>0</v>
      </c>
      <c r="L147" s="2"/>
      <c r="M147" s="2"/>
      <c r="N147" s="2"/>
      <c r="O147" s="2" t="str">
        <f t="shared" si="21"/>
        <v>6003,6006</v>
      </c>
      <c r="P147" s="52">
        <v>800</v>
      </c>
      <c r="Q147" s="52">
        <v>800</v>
      </c>
      <c r="R147" s="2" t="str">
        <f>"201,202,203,204"</f>
        <v>201,202,203,204</v>
      </c>
    </row>
    <row r="148" spans="1:18" ht="14.25" customHeight="1">
      <c r="A148" s="2">
        <f t="shared" si="19"/>
        <v>84011</v>
      </c>
      <c r="B148" s="6" t="s">
        <v>3671</v>
      </c>
      <c r="C148" s="8" t="s">
        <v>3732</v>
      </c>
      <c r="D148" s="6" t="s">
        <v>77</v>
      </c>
      <c r="E148" s="2"/>
      <c r="F148" s="2">
        <f t="shared" si="23"/>
        <v>161</v>
      </c>
      <c r="G148" s="2">
        <f t="shared" si="23"/>
        <v>0</v>
      </c>
      <c r="H148" s="2">
        <f t="shared" si="23"/>
        <v>0</v>
      </c>
      <c r="I148" s="2">
        <f t="shared" si="23"/>
        <v>59</v>
      </c>
      <c r="J148" s="2">
        <f t="shared" si="23"/>
        <v>0</v>
      </c>
      <c r="K148" s="2">
        <f t="shared" si="23"/>
        <v>0</v>
      </c>
      <c r="L148" s="2"/>
      <c r="M148" s="2"/>
      <c r="N148" s="2"/>
      <c r="O148" s="2" t="str">
        <f t="shared" si="21"/>
        <v>6003,6006</v>
      </c>
      <c r="P148" s="52">
        <v>800</v>
      </c>
      <c r="Q148" s="52">
        <v>800</v>
      </c>
      <c r="R148" s="2" t="str">
        <f>"209,210,211,212"</f>
        <v>209,210,211,212</v>
      </c>
    </row>
    <row r="149" spans="1:18" ht="14.25" customHeight="1">
      <c r="A149" s="2">
        <f t="shared" si="19"/>
        <v>85011</v>
      </c>
      <c r="B149" s="6" t="s">
        <v>3673</v>
      </c>
      <c r="C149" s="8" t="s">
        <v>3733</v>
      </c>
      <c r="D149" s="6" t="s">
        <v>77</v>
      </c>
      <c r="E149" s="2"/>
      <c r="F149" s="2">
        <f t="shared" si="23"/>
        <v>116</v>
      </c>
      <c r="G149" s="2">
        <f t="shared" si="23"/>
        <v>12</v>
      </c>
      <c r="H149" s="2">
        <f t="shared" si="23"/>
        <v>0</v>
      </c>
      <c r="I149" s="2">
        <f t="shared" si="23"/>
        <v>0</v>
      </c>
      <c r="J149" s="2">
        <f t="shared" si="23"/>
        <v>23</v>
      </c>
      <c r="K149" s="2">
        <f t="shared" si="23"/>
        <v>0</v>
      </c>
      <c r="L149" s="2"/>
      <c r="M149" s="2"/>
      <c r="N149" s="2"/>
      <c r="O149" s="2" t="str">
        <f t="shared" si="21"/>
        <v>6003,6006</v>
      </c>
      <c r="P149" s="52">
        <v>800</v>
      </c>
      <c r="Q149" s="52">
        <v>800</v>
      </c>
      <c r="R149" s="2" t="str">
        <f>"209,210,211,212"</f>
        <v>209,210,211,212</v>
      </c>
    </row>
    <row r="150" spans="1:18" ht="14.25" customHeight="1">
      <c r="A150" s="2">
        <f t="shared" si="19"/>
        <v>80012</v>
      </c>
      <c r="B150" s="6" t="s">
        <v>1457</v>
      </c>
      <c r="C150" s="8" t="s">
        <v>3734</v>
      </c>
      <c r="D150" s="6" t="s">
        <v>75</v>
      </c>
      <c r="E150" s="2"/>
      <c r="F150" s="2">
        <f t="shared" ref="F150:K155" si="24">IF(F138=0,,ROUND(F138*1.7,0))</f>
        <v>0</v>
      </c>
      <c r="G150" s="2">
        <f t="shared" si="24"/>
        <v>44</v>
      </c>
      <c r="H150" s="2">
        <f t="shared" si="24"/>
        <v>0</v>
      </c>
      <c r="I150" s="2">
        <f t="shared" si="24"/>
        <v>15</v>
      </c>
      <c r="J150" s="2">
        <f t="shared" si="24"/>
        <v>0</v>
      </c>
      <c r="K150" s="2">
        <f t="shared" si="24"/>
        <v>0</v>
      </c>
      <c r="L150" s="2"/>
      <c r="M150" s="2"/>
      <c r="N150" s="2"/>
      <c r="O150" s="2" t="str">
        <f t="shared" si="21"/>
        <v>6003,6006</v>
      </c>
      <c r="P150" s="52">
        <v>800</v>
      </c>
      <c r="Q150" s="52">
        <v>800</v>
      </c>
      <c r="R150" s="2" t="str">
        <f>"201,202,203,204"</f>
        <v>201,202,203,204</v>
      </c>
    </row>
    <row r="151" spans="1:18" ht="14.25" customHeight="1">
      <c r="A151" s="2">
        <f t="shared" si="19"/>
        <v>81012</v>
      </c>
      <c r="B151" s="6" t="s">
        <v>3666</v>
      </c>
      <c r="C151" s="8" t="s">
        <v>3735</v>
      </c>
      <c r="D151" s="6" t="s">
        <v>75</v>
      </c>
      <c r="E151" s="2"/>
      <c r="F151" s="2">
        <f t="shared" si="24"/>
        <v>0</v>
      </c>
      <c r="G151" s="2">
        <f t="shared" si="24"/>
        <v>0</v>
      </c>
      <c r="H151" s="2">
        <f t="shared" si="24"/>
        <v>0</v>
      </c>
      <c r="I151" s="2">
        <f t="shared" si="24"/>
        <v>49</v>
      </c>
      <c r="J151" s="2">
        <f t="shared" si="24"/>
        <v>0</v>
      </c>
      <c r="K151" s="2">
        <f t="shared" si="24"/>
        <v>0</v>
      </c>
      <c r="L151" s="2"/>
      <c r="M151" s="2"/>
      <c r="N151" s="2"/>
      <c r="O151" s="2" t="str">
        <f t="shared" si="21"/>
        <v>6003,6006</v>
      </c>
      <c r="P151" s="52">
        <v>800</v>
      </c>
      <c r="Q151" s="52">
        <v>800</v>
      </c>
      <c r="R151" s="2" t="str">
        <f>"205,206,207,208"</f>
        <v>205,206,207,208</v>
      </c>
    </row>
    <row r="152" spans="1:18" ht="14.25" customHeight="1">
      <c r="A152" s="2">
        <f t="shared" si="19"/>
        <v>82012</v>
      </c>
      <c r="B152" s="6" t="s">
        <v>3667</v>
      </c>
      <c r="C152" s="8" t="s">
        <v>645</v>
      </c>
      <c r="D152" s="6" t="s">
        <v>75</v>
      </c>
      <c r="E152" s="2"/>
      <c r="F152" s="2">
        <f t="shared" si="24"/>
        <v>275</v>
      </c>
      <c r="G152" s="2">
        <f t="shared" si="24"/>
        <v>0</v>
      </c>
      <c r="H152" s="2">
        <f t="shared" si="24"/>
        <v>0</v>
      </c>
      <c r="I152" s="2">
        <f t="shared" si="24"/>
        <v>46</v>
      </c>
      <c r="J152" s="2">
        <f t="shared" si="24"/>
        <v>0</v>
      </c>
      <c r="K152" s="2">
        <f t="shared" si="24"/>
        <v>0</v>
      </c>
      <c r="L152" s="2"/>
      <c r="M152" s="2"/>
      <c r="N152" s="2"/>
      <c r="O152" s="2" t="str">
        <f t="shared" si="21"/>
        <v>6003,6006</v>
      </c>
      <c r="P152" s="52">
        <v>800</v>
      </c>
      <c r="Q152" s="52">
        <v>800</v>
      </c>
      <c r="R152" s="2" t="str">
        <f>"205,206,207,208"</f>
        <v>205,206,207,208</v>
      </c>
    </row>
    <row r="153" spans="1:18" ht="14.25" customHeight="1">
      <c r="A153" s="2">
        <f t="shared" si="19"/>
        <v>83012</v>
      </c>
      <c r="B153" s="6" t="s">
        <v>3669</v>
      </c>
      <c r="C153" s="8" t="s">
        <v>3736</v>
      </c>
      <c r="D153" s="6" t="s">
        <v>75</v>
      </c>
      <c r="E153" s="2"/>
      <c r="F153" s="2">
        <f t="shared" si="24"/>
        <v>0</v>
      </c>
      <c r="G153" s="2">
        <f t="shared" si="24"/>
        <v>0</v>
      </c>
      <c r="H153" s="2">
        <f t="shared" si="24"/>
        <v>0</v>
      </c>
      <c r="I153" s="2">
        <f t="shared" si="24"/>
        <v>54</v>
      </c>
      <c r="J153" s="2">
        <f t="shared" si="24"/>
        <v>34</v>
      </c>
      <c r="K153" s="2">
        <f t="shared" si="24"/>
        <v>0</v>
      </c>
      <c r="L153" s="2"/>
      <c r="M153" s="2"/>
      <c r="N153" s="2"/>
      <c r="O153" s="2" t="str">
        <f t="shared" si="21"/>
        <v>6003,6006</v>
      </c>
      <c r="P153" s="52">
        <v>800</v>
      </c>
      <c r="Q153" s="52">
        <v>800</v>
      </c>
      <c r="R153" s="2" t="str">
        <f>"201,202,203,204"</f>
        <v>201,202,203,204</v>
      </c>
    </row>
    <row r="154" spans="1:18" ht="14.25" customHeight="1">
      <c r="A154" s="2">
        <f t="shared" ref="A154:A155" si="25">A148+1</f>
        <v>84012</v>
      </c>
      <c r="B154" s="6" t="s">
        <v>3671</v>
      </c>
      <c r="C154" s="8" t="s">
        <v>3737</v>
      </c>
      <c r="D154" s="6" t="s">
        <v>75</v>
      </c>
      <c r="E154" s="2"/>
      <c r="F154" s="2">
        <f t="shared" si="24"/>
        <v>228</v>
      </c>
      <c r="G154" s="2">
        <f t="shared" si="24"/>
        <v>0</v>
      </c>
      <c r="H154" s="2">
        <f t="shared" si="24"/>
        <v>0</v>
      </c>
      <c r="I154" s="2">
        <f t="shared" si="24"/>
        <v>83</v>
      </c>
      <c r="J154" s="2">
        <f t="shared" si="24"/>
        <v>0</v>
      </c>
      <c r="K154" s="2">
        <f t="shared" si="24"/>
        <v>0</v>
      </c>
      <c r="L154" s="2"/>
      <c r="M154" s="2"/>
      <c r="N154" s="2"/>
      <c r="O154" s="2" t="str">
        <f t="shared" si="21"/>
        <v>6003,6006</v>
      </c>
      <c r="P154" s="52">
        <v>800</v>
      </c>
      <c r="Q154" s="52">
        <v>800</v>
      </c>
      <c r="R154" s="2" t="str">
        <f>"209,210,211,212"</f>
        <v>209,210,211,212</v>
      </c>
    </row>
    <row r="155" spans="1:18" ht="14.25" customHeight="1">
      <c r="A155" s="2">
        <f t="shared" si="25"/>
        <v>85012</v>
      </c>
      <c r="B155" s="6" t="s">
        <v>3673</v>
      </c>
      <c r="C155" s="8" t="s">
        <v>3738</v>
      </c>
      <c r="D155" s="6" t="s">
        <v>75</v>
      </c>
      <c r="E155" s="2"/>
      <c r="F155" s="2">
        <f t="shared" si="24"/>
        <v>165</v>
      </c>
      <c r="G155" s="2">
        <f t="shared" si="24"/>
        <v>17</v>
      </c>
      <c r="H155" s="2">
        <f t="shared" si="24"/>
        <v>0</v>
      </c>
      <c r="I155" s="2">
        <f t="shared" si="24"/>
        <v>0</v>
      </c>
      <c r="J155" s="2">
        <f t="shared" si="24"/>
        <v>32</v>
      </c>
      <c r="K155" s="2">
        <f t="shared" si="24"/>
        <v>0</v>
      </c>
      <c r="L155" s="2"/>
      <c r="M155" s="2"/>
      <c r="N155" s="2"/>
      <c r="O155" s="2" t="str">
        <f t="shared" si="21"/>
        <v>6003,6006</v>
      </c>
      <c r="P155" s="52">
        <v>800</v>
      </c>
      <c r="Q155" s="52">
        <v>800</v>
      </c>
      <c r="R155" s="2" t="str">
        <f>"209,210,211,212"</f>
        <v>209,210,211,212</v>
      </c>
    </row>
    <row r="156" spans="1:18" ht="14.25" customHeight="1">
      <c r="A156" s="40" t="s">
        <v>0</v>
      </c>
      <c r="B156" s="40" t="s">
        <v>733</v>
      </c>
      <c r="C156" s="40" t="s">
        <v>1</v>
      </c>
      <c r="D156" s="40" t="s">
        <v>1425</v>
      </c>
      <c r="E156" s="40" t="s">
        <v>1172</v>
      </c>
      <c r="F156" s="40" t="s">
        <v>37</v>
      </c>
      <c r="G156" s="40" t="s">
        <v>685</v>
      </c>
      <c r="H156" s="40" t="s">
        <v>686</v>
      </c>
      <c r="I156" s="40" t="s">
        <v>687</v>
      </c>
      <c r="J156" s="40" t="s">
        <v>688</v>
      </c>
      <c r="K156" s="40" t="s">
        <v>39</v>
      </c>
      <c r="L156" s="40" t="s">
        <v>691</v>
      </c>
      <c r="M156" s="40" t="s">
        <v>3658</v>
      </c>
      <c r="N156" s="40" t="s">
        <v>3659</v>
      </c>
      <c r="O156" s="40" t="s">
        <v>3660</v>
      </c>
      <c r="P156" s="50" t="s">
        <v>3661</v>
      </c>
      <c r="Q156" s="50" t="s">
        <v>3662</v>
      </c>
      <c r="R156" s="50" t="s">
        <v>3663</v>
      </c>
    </row>
    <row r="157" spans="1:18" ht="14.25" customHeight="1">
      <c r="A157" s="2">
        <v>88000</v>
      </c>
      <c r="B157" s="6" t="s">
        <v>1457</v>
      </c>
      <c r="C157" s="4" t="s">
        <v>3739</v>
      </c>
      <c r="D157" s="6" t="s">
        <v>79</v>
      </c>
      <c r="E157" s="2"/>
      <c r="F157" s="2">
        <v>138</v>
      </c>
      <c r="G157" s="2"/>
      <c r="H157" s="2"/>
      <c r="I157" s="2">
        <v>25</v>
      </c>
      <c r="J157" s="2"/>
      <c r="K157" s="2"/>
      <c r="L157" s="2"/>
      <c r="M157" s="2"/>
      <c r="N157" s="2"/>
      <c r="O157" s="2" t="str">
        <f t="shared" ref="O157:O198" si="26">"6007,6008,6009,6010,6011"</f>
        <v>6007,6008,6009,6010,6011</v>
      </c>
      <c r="P157" s="52">
        <v>800</v>
      </c>
      <c r="Q157" s="52">
        <v>800</v>
      </c>
      <c r="R157" s="2" t="str">
        <f>"201,202,203,204"</f>
        <v>201,202,203,204</v>
      </c>
    </row>
    <row r="158" spans="1:18" ht="14.25" customHeight="1">
      <c r="A158" s="2">
        <v>88001</v>
      </c>
      <c r="B158" s="6" t="s">
        <v>1457</v>
      </c>
      <c r="C158" s="4" t="s">
        <v>3740</v>
      </c>
      <c r="D158" s="6" t="s">
        <v>79</v>
      </c>
      <c r="E158" s="2"/>
      <c r="F158" s="2"/>
      <c r="G158" s="2">
        <v>22</v>
      </c>
      <c r="H158" s="2"/>
      <c r="I158" s="2">
        <v>8</v>
      </c>
      <c r="J158" s="2"/>
      <c r="K158" s="2"/>
      <c r="L158" s="2"/>
      <c r="M158" s="2"/>
      <c r="N158" s="2"/>
      <c r="O158" s="2" t="str">
        <f t="shared" si="26"/>
        <v>6007,6008,6009,6010,6011</v>
      </c>
      <c r="P158" s="52">
        <v>800</v>
      </c>
      <c r="Q158" s="52">
        <v>800</v>
      </c>
      <c r="R158" s="2" t="str">
        <f>"201,202,203,204"</f>
        <v>201,202,203,204</v>
      </c>
    </row>
    <row r="159" spans="1:18" ht="14.25" customHeight="1">
      <c r="A159" s="2">
        <v>88002</v>
      </c>
      <c r="B159" s="6" t="s">
        <v>1457</v>
      </c>
      <c r="C159" s="4" t="s">
        <v>3741</v>
      </c>
      <c r="D159" s="6" t="s">
        <v>79</v>
      </c>
      <c r="E159" s="2"/>
      <c r="F159" s="2"/>
      <c r="G159" s="2"/>
      <c r="H159" s="2">
        <v>22</v>
      </c>
      <c r="I159" s="2"/>
      <c r="J159" s="2">
        <v>8</v>
      </c>
      <c r="K159" s="2"/>
      <c r="L159" s="2"/>
      <c r="M159" s="2"/>
      <c r="N159" s="2"/>
      <c r="O159" s="2" t="str">
        <f t="shared" si="26"/>
        <v>6007,6008,6009,6010,6011</v>
      </c>
      <c r="P159" s="52">
        <v>800</v>
      </c>
      <c r="Q159" s="52">
        <v>800</v>
      </c>
      <c r="R159" s="2" t="str">
        <f>"201,202,203,204"</f>
        <v>201,202,203,204</v>
      </c>
    </row>
    <row r="160" spans="1:18" ht="14.25" customHeight="1">
      <c r="A160" s="2">
        <v>88003</v>
      </c>
      <c r="B160" s="6" t="s">
        <v>3666</v>
      </c>
      <c r="C160" s="4" t="s">
        <v>653</v>
      </c>
      <c r="D160" s="6" t="s">
        <v>79</v>
      </c>
      <c r="E160" s="2"/>
      <c r="F160" s="2"/>
      <c r="G160" s="2"/>
      <c r="H160" s="2"/>
      <c r="I160" s="2">
        <v>25</v>
      </c>
      <c r="J160" s="2"/>
      <c r="K160" s="2"/>
      <c r="L160" s="2"/>
      <c r="M160" s="2"/>
      <c r="N160" s="2"/>
      <c r="O160" s="2" t="str">
        <f t="shared" si="26"/>
        <v>6007,6008,6009,6010,6011</v>
      </c>
      <c r="P160" s="52">
        <v>800</v>
      </c>
      <c r="Q160" s="52">
        <v>800</v>
      </c>
      <c r="R160" s="2" t="str">
        <f>"205,206,207,208"</f>
        <v>205,206,207,208</v>
      </c>
    </row>
    <row r="161" spans="1:18" ht="14.25" customHeight="1">
      <c r="A161" s="2">
        <v>88004</v>
      </c>
      <c r="B161" s="6" t="s">
        <v>3667</v>
      </c>
      <c r="C161" s="4" t="s">
        <v>659</v>
      </c>
      <c r="D161" s="6" t="s">
        <v>79</v>
      </c>
      <c r="E161" s="2"/>
      <c r="F161" s="2">
        <v>138</v>
      </c>
      <c r="G161" s="2"/>
      <c r="H161" s="2"/>
      <c r="I161" s="2">
        <v>23</v>
      </c>
      <c r="J161" s="2"/>
      <c r="K161" s="2"/>
      <c r="L161" s="2"/>
      <c r="M161" s="2"/>
      <c r="N161" s="2"/>
      <c r="O161" s="2" t="str">
        <f t="shared" si="26"/>
        <v>6007,6008,6009,6010,6011</v>
      </c>
      <c r="P161" s="52">
        <v>800</v>
      </c>
      <c r="Q161" s="52">
        <v>800</v>
      </c>
      <c r="R161" s="2" t="str">
        <f>"205,206,207,208"</f>
        <v>205,206,207,208</v>
      </c>
    </row>
    <row r="162" spans="1:18" ht="14.25" customHeight="1">
      <c r="A162" s="2">
        <v>88005</v>
      </c>
      <c r="B162" s="6" t="s">
        <v>3669</v>
      </c>
      <c r="C162" s="4" t="s">
        <v>665</v>
      </c>
      <c r="D162" s="6" t="s">
        <v>79</v>
      </c>
      <c r="E162" s="2"/>
      <c r="F162" s="2"/>
      <c r="G162" s="2"/>
      <c r="H162" s="2"/>
      <c r="I162" s="2">
        <v>27</v>
      </c>
      <c r="J162" s="2">
        <v>17</v>
      </c>
      <c r="K162" s="2"/>
      <c r="L162" s="2"/>
      <c r="M162" s="2"/>
      <c r="N162" s="2"/>
      <c r="O162" s="2" t="str">
        <f t="shared" si="26"/>
        <v>6007,6008,6009,6010,6011</v>
      </c>
      <c r="P162" s="52">
        <v>800</v>
      </c>
      <c r="Q162" s="52">
        <v>800</v>
      </c>
      <c r="R162" s="2" t="str">
        <f>"201,202,203,204"</f>
        <v>201,202,203,204</v>
      </c>
    </row>
    <row r="163" spans="1:18" ht="14.25" customHeight="1">
      <c r="A163" s="2">
        <v>88006</v>
      </c>
      <c r="B163" s="6" t="s">
        <v>3671</v>
      </c>
      <c r="C163" s="4" t="s">
        <v>671</v>
      </c>
      <c r="D163" s="6" t="s">
        <v>79</v>
      </c>
      <c r="E163" s="2"/>
      <c r="F163" s="2">
        <v>115</v>
      </c>
      <c r="G163" s="2"/>
      <c r="H163" s="2"/>
      <c r="I163" s="2">
        <v>42</v>
      </c>
      <c r="J163" s="2"/>
      <c r="K163" s="2"/>
      <c r="L163" s="2"/>
      <c r="M163" s="2"/>
      <c r="N163" s="2"/>
      <c r="O163" s="2" t="str">
        <f t="shared" si="26"/>
        <v>6007,6008,6009,6010,6011</v>
      </c>
      <c r="P163" s="52">
        <v>800</v>
      </c>
      <c r="Q163" s="52">
        <v>800</v>
      </c>
      <c r="R163" s="2" t="str">
        <f>"209,210,211,212"</f>
        <v>209,210,211,212</v>
      </c>
    </row>
    <row r="164" spans="1:18" ht="14.25" customHeight="1">
      <c r="A164" s="2">
        <v>88007</v>
      </c>
      <c r="B164" s="6" t="s">
        <v>3673</v>
      </c>
      <c r="C164" s="4" t="s">
        <v>677</v>
      </c>
      <c r="D164" s="6" t="s">
        <v>79</v>
      </c>
      <c r="E164" s="2"/>
      <c r="F164" s="2">
        <v>82</v>
      </c>
      <c r="G164" s="2">
        <v>8</v>
      </c>
      <c r="H164" s="2"/>
      <c r="I164" s="2"/>
      <c r="J164" s="2">
        <v>16</v>
      </c>
      <c r="K164" s="2"/>
      <c r="L164" s="2"/>
      <c r="M164" s="2"/>
      <c r="N164" s="2"/>
      <c r="O164" s="2" t="str">
        <f t="shared" si="26"/>
        <v>6007,6008,6009,6010,6011</v>
      </c>
      <c r="P164" s="52">
        <v>800</v>
      </c>
      <c r="Q164" s="52">
        <v>800</v>
      </c>
      <c r="R164" s="2" t="str">
        <f>"209,210,211,212"</f>
        <v>209,210,211,212</v>
      </c>
    </row>
    <row r="165" spans="1:18" ht="14.25" customHeight="1">
      <c r="A165" s="2">
        <v>88008</v>
      </c>
      <c r="B165" s="6" t="s">
        <v>1457</v>
      </c>
      <c r="C165" s="4" t="s">
        <v>648</v>
      </c>
      <c r="D165" s="6" t="s">
        <v>79</v>
      </c>
      <c r="E165" s="2"/>
      <c r="F165" s="2"/>
      <c r="G165" s="2">
        <v>22</v>
      </c>
      <c r="H165" s="2"/>
      <c r="I165" s="2">
        <v>8</v>
      </c>
      <c r="J165" s="2"/>
      <c r="K165" s="2"/>
      <c r="L165" s="2"/>
      <c r="M165" s="2"/>
      <c r="N165" s="2"/>
      <c r="O165" s="2" t="str">
        <f t="shared" si="26"/>
        <v>6007,6008,6009,6010,6011</v>
      </c>
      <c r="P165" s="52">
        <v>800</v>
      </c>
      <c r="Q165" s="52">
        <v>800</v>
      </c>
      <c r="R165" s="2" t="str">
        <f>"201,202,203,204"</f>
        <v>201,202,203,204</v>
      </c>
    </row>
    <row r="166" spans="1:18" ht="14.25" customHeight="1">
      <c r="A166" s="2">
        <v>88009</v>
      </c>
      <c r="B166" s="6" t="s">
        <v>3666</v>
      </c>
      <c r="C166" s="4" t="s">
        <v>654</v>
      </c>
      <c r="D166" s="6" t="s">
        <v>79</v>
      </c>
      <c r="E166" s="2"/>
      <c r="F166" s="2"/>
      <c r="G166" s="2"/>
      <c r="H166" s="2"/>
      <c r="I166" s="2">
        <v>25</v>
      </c>
      <c r="J166" s="2"/>
      <c r="K166" s="2"/>
      <c r="L166" s="2"/>
      <c r="M166" s="2"/>
      <c r="N166" s="2"/>
      <c r="O166" s="2" t="str">
        <f t="shared" si="26"/>
        <v>6007,6008,6009,6010,6011</v>
      </c>
      <c r="P166" s="52">
        <v>800</v>
      </c>
      <c r="Q166" s="52">
        <v>800</v>
      </c>
      <c r="R166" s="2" t="str">
        <f>"205,206,207,208"</f>
        <v>205,206,207,208</v>
      </c>
    </row>
    <row r="167" spans="1:18" ht="14.25" customHeight="1">
      <c r="A167" s="2">
        <v>88010</v>
      </c>
      <c r="B167" s="6" t="s">
        <v>3667</v>
      </c>
      <c r="C167" s="4" t="s">
        <v>660</v>
      </c>
      <c r="D167" s="6" t="s">
        <v>79</v>
      </c>
      <c r="E167" s="2"/>
      <c r="F167" s="2">
        <v>138</v>
      </c>
      <c r="G167" s="2"/>
      <c r="H167" s="2"/>
      <c r="I167" s="2">
        <v>23</v>
      </c>
      <c r="J167" s="2"/>
      <c r="K167" s="2"/>
      <c r="L167" s="2"/>
      <c r="M167" s="2"/>
      <c r="N167" s="2"/>
      <c r="O167" s="2" t="str">
        <f t="shared" si="26"/>
        <v>6007,6008,6009,6010,6011</v>
      </c>
      <c r="P167" s="52">
        <v>800</v>
      </c>
      <c r="Q167" s="52">
        <v>800</v>
      </c>
      <c r="R167" s="2" t="str">
        <f>"205,206,207,208"</f>
        <v>205,206,207,208</v>
      </c>
    </row>
    <row r="168" spans="1:18" ht="14.25" customHeight="1">
      <c r="A168" s="2">
        <v>88011</v>
      </c>
      <c r="B168" s="6" t="s">
        <v>3669</v>
      </c>
      <c r="C168" s="4" t="s">
        <v>666</v>
      </c>
      <c r="D168" s="6" t="s">
        <v>79</v>
      </c>
      <c r="E168" s="2"/>
      <c r="F168" s="2"/>
      <c r="G168" s="2"/>
      <c r="H168" s="2"/>
      <c r="I168" s="2">
        <v>27</v>
      </c>
      <c r="J168" s="2">
        <v>17</v>
      </c>
      <c r="K168" s="2"/>
      <c r="L168" s="2"/>
      <c r="M168" s="2"/>
      <c r="N168" s="2"/>
      <c r="O168" s="2" t="str">
        <f t="shared" si="26"/>
        <v>6007,6008,6009,6010,6011</v>
      </c>
      <c r="P168" s="52">
        <v>800</v>
      </c>
      <c r="Q168" s="52">
        <v>800</v>
      </c>
      <c r="R168" s="2" t="str">
        <f>"201,202,203,204"</f>
        <v>201,202,203,204</v>
      </c>
    </row>
    <row r="169" spans="1:18" ht="14.25" customHeight="1">
      <c r="A169" s="2">
        <v>88012</v>
      </c>
      <c r="B169" s="6" t="s">
        <v>3671</v>
      </c>
      <c r="C169" s="4" t="s">
        <v>672</v>
      </c>
      <c r="D169" s="6" t="s">
        <v>79</v>
      </c>
      <c r="E169" s="2"/>
      <c r="F169" s="2">
        <v>115</v>
      </c>
      <c r="G169" s="2"/>
      <c r="H169" s="2"/>
      <c r="I169" s="2">
        <v>42</v>
      </c>
      <c r="J169" s="2"/>
      <c r="K169" s="2"/>
      <c r="L169" s="2"/>
      <c r="M169" s="2"/>
      <c r="N169" s="2"/>
      <c r="O169" s="2" t="str">
        <f t="shared" si="26"/>
        <v>6007,6008,6009,6010,6011</v>
      </c>
      <c r="P169" s="52">
        <v>800</v>
      </c>
      <c r="Q169" s="52">
        <v>800</v>
      </c>
      <c r="R169" s="2" t="str">
        <f>"209,210,211,212"</f>
        <v>209,210,211,212</v>
      </c>
    </row>
    <row r="170" spans="1:18" ht="14.25" customHeight="1">
      <c r="A170" s="2">
        <v>88013</v>
      </c>
      <c r="B170" s="6" t="s">
        <v>3673</v>
      </c>
      <c r="C170" s="4" t="s">
        <v>678</v>
      </c>
      <c r="D170" s="6" t="s">
        <v>79</v>
      </c>
      <c r="E170" s="2"/>
      <c r="F170" s="2">
        <v>82</v>
      </c>
      <c r="G170" s="2">
        <v>8</v>
      </c>
      <c r="H170" s="2"/>
      <c r="I170" s="2"/>
      <c r="J170" s="2">
        <v>16</v>
      </c>
      <c r="K170" s="2"/>
      <c r="L170" s="2"/>
      <c r="M170" s="2"/>
      <c r="N170" s="2"/>
      <c r="O170" s="2" t="str">
        <f t="shared" si="26"/>
        <v>6007,6008,6009,6010,6011</v>
      </c>
      <c r="P170" s="52">
        <v>800</v>
      </c>
      <c r="Q170" s="52">
        <v>800</v>
      </c>
      <c r="R170" s="2" t="str">
        <f>"209,210,211,212"</f>
        <v>209,210,211,212</v>
      </c>
    </row>
    <row r="171" spans="1:18" ht="14.25" customHeight="1">
      <c r="A171" s="2">
        <v>88014</v>
      </c>
      <c r="B171" s="6" t="s">
        <v>1457</v>
      </c>
      <c r="C171" s="4" t="s">
        <v>649</v>
      </c>
      <c r="D171" s="6" t="s">
        <v>79</v>
      </c>
      <c r="E171" s="2"/>
      <c r="F171" s="2"/>
      <c r="G171" s="2">
        <v>22</v>
      </c>
      <c r="H171" s="2"/>
      <c r="I171" s="2">
        <v>8</v>
      </c>
      <c r="J171" s="2"/>
      <c r="K171" s="2"/>
      <c r="L171" s="2"/>
      <c r="M171" s="2"/>
      <c r="N171" s="2"/>
      <c r="O171" s="2" t="str">
        <f t="shared" si="26"/>
        <v>6007,6008,6009,6010,6011</v>
      </c>
      <c r="P171" s="52">
        <v>800</v>
      </c>
      <c r="Q171" s="52">
        <v>800</v>
      </c>
      <c r="R171" s="2" t="str">
        <f>"201,202,203,204"</f>
        <v>201,202,203,204</v>
      </c>
    </row>
    <row r="172" spans="1:18" ht="14.25" customHeight="1">
      <c r="A172" s="2">
        <v>88015</v>
      </c>
      <c r="B172" s="6" t="s">
        <v>3666</v>
      </c>
      <c r="C172" s="4" t="s">
        <v>655</v>
      </c>
      <c r="D172" s="6" t="s">
        <v>79</v>
      </c>
      <c r="E172" s="2"/>
      <c r="F172" s="2"/>
      <c r="G172" s="2"/>
      <c r="H172" s="2"/>
      <c r="I172" s="2">
        <v>25</v>
      </c>
      <c r="J172" s="2"/>
      <c r="K172" s="2"/>
      <c r="L172" s="2"/>
      <c r="M172" s="2"/>
      <c r="N172" s="2"/>
      <c r="O172" s="2" t="str">
        <f t="shared" si="26"/>
        <v>6007,6008,6009,6010,6011</v>
      </c>
      <c r="P172" s="52">
        <v>800</v>
      </c>
      <c r="Q172" s="52">
        <v>800</v>
      </c>
      <c r="R172" s="2" t="str">
        <f>"205,206,207,208"</f>
        <v>205,206,207,208</v>
      </c>
    </row>
    <row r="173" spans="1:18" ht="14.25" customHeight="1">
      <c r="A173" s="2">
        <v>88016</v>
      </c>
      <c r="B173" s="6" t="s">
        <v>3667</v>
      </c>
      <c r="C173" s="4" t="s">
        <v>661</v>
      </c>
      <c r="D173" s="6" t="s">
        <v>79</v>
      </c>
      <c r="E173" s="2"/>
      <c r="F173" s="2">
        <v>138</v>
      </c>
      <c r="G173" s="2"/>
      <c r="H173" s="2"/>
      <c r="I173" s="2">
        <v>23</v>
      </c>
      <c r="J173" s="2"/>
      <c r="K173" s="2"/>
      <c r="L173" s="2"/>
      <c r="M173" s="2"/>
      <c r="N173" s="2"/>
      <c r="O173" s="2" t="str">
        <f t="shared" si="26"/>
        <v>6007,6008,6009,6010,6011</v>
      </c>
      <c r="P173" s="52">
        <v>800</v>
      </c>
      <c r="Q173" s="52">
        <v>800</v>
      </c>
      <c r="R173" s="2" t="str">
        <f>"205,206,207,208"</f>
        <v>205,206,207,208</v>
      </c>
    </row>
    <row r="174" spans="1:18" ht="14.25" customHeight="1">
      <c r="A174" s="2">
        <v>88017</v>
      </c>
      <c r="B174" s="6" t="s">
        <v>3669</v>
      </c>
      <c r="C174" s="4" t="s">
        <v>667</v>
      </c>
      <c r="D174" s="6" t="s">
        <v>79</v>
      </c>
      <c r="E174" s="2"/>
      <c r="F174" s="2"/>
      <c r="G174" s="2"/>
      <c r="H174" s="2"/>
      <c r="I174" s="2">
        <v>27</v>
      </c>
      <c r="J174" s="2">
        <v>17</v>
      </c>
      <c r="K174" s="2"/>
      <c r="L174" s="2"/>
      <c r="M174" s="2"/>
      <c r="N174" s="2"/>
      <c r="O174" s="2" t="str">
        <f t="shared" si="26"/>
        <v>6007,6008,6009,6010,6011</v>
      </c>
      <c r="P174" s="52">
        <v>800</v>
      </c>
      <c r="Q174" s="52">
        <v>800</v>
      </c>
      <c r="R174" s="2" t="str">
        <f>"201,202,203,204"</f>
        <v>201,202,203,204</v>
      </c>
    </row>
    <row r="175" spans="1:18" ht="14.25" customHeight="1">
      <c r="A175" s="2">
        <v>88018</v>
      </c>
      <c r="B175" s="6" t="s">
        <v>3671</v>
      </c>
      <c r="C175" s="4" t="s">
        <v>673</v>
      </c>
      <c r="D175" s="6" t="s">
        <v>79</v>
      </c>
      <c r="E175" s="2"/>
      <c r="F175" s="2">
        <v>115</v>
      </c>
      <c r="G175" s="2"/>
      <c r="H175" s="2"/>
      <c r="I175" s="2">
        <v>42</v>
      </c>
      <c r="J175" s="2"/>
      <c r="K175" s="2"/>
      <c r="L175" s="2"/>
      <c r="M175" s="2"/>
      <c r="N175" s="2"/>
      <c r="O175" s="2" t="str">
        <f t="shared" si="26"/>
        <v>6007,6008,6009,6010,6011</v>
      </c>
      <c r="P175" s="52">
        <v>800</v>
      </c>
      <c r="Q175" s="52">
        <v>800</v>
      </c>
      <c r="R175" s="2" t="str">
        <f>"209,210,211,212"</f>
        <v>209,210,211,212</v>
      </c>
    </row>
    <row r="176" spans="1:18" ht="14.25" customHeight="1">
      <c r="A176" s="2">
        <v>88019</v>
      </c>
      <c r="B176" s="6" t="s">
        <v>3673</v>
      </c>
      <c r="C176" s="4" t="s">
        <v>679</v>
      </c>
      <c r="D176" s="6" t="s">
        <v>79</v>
      </c>
      <c r="E176" s="2"/>
      <c r="F176" s="2">
        <v>82</v>
      </c>
      <c r="G176" s="2">
        <v>8</v>
      </c>
      <c r="H176" s="2"/>
      <c r="I176" s="2"/>
      <c r="J176" s="2">
        <v>16</v>
      </c>
      <c r="K176" s="2"/>
      <c r="L176" s="2"/>
      <c r="M176" s="2"/>
      <c r="N176" s="2"/>
      <c r="O176" s="2" t="str">
        <f t="shared" si="26"/>
        <v>6007,6008,6009,6010,6011</v>
      </c>
      <c r="P176" s="52">
        <v>800</v>
      </c>
      <c r="Q176" s="52">
        <v>800</v>
      </c>
      <c r="R176" s="2" t="str">
        <f>"209,210,211,212"</f>
        <v>209,210,211,212</v>
      </c>
    </row>
    <row r="177" spans="1:18" ht="14.25" customHeight="1">
      <c r="A177" s="2">
        <v>88020</v>
      </c>
      <c r="B177" s="6" t="s">
        <v>1457</v>
      </c>
      <c r="C177" s="4" t="s">
        <v>650</v>
      </c>
      <c r="D177" s="6" t="s">
        <v>77</v>
      </c>
      <c r="E177" s="2"/>
      <c r="F177" s="2"/>
      <c r="G177" s="2">
        <v>31</v>
      </c>
      <c r="H177" s="2"/>
      <c r="I177" s="2">
        <v>11</v>
      </c>
      <c r="J177" s="2"/>
      <c r="K177" s="2"/>
      <c r="L177" s="2"/>
      <c r="M177" s="2"/>
      <c r="N177" s="2"/>
      <c r="O177" s="2" t="str">
        <f t="shared" si="26"/>
        <v>6007,6008,6009,6010,6011</v>
      </c>
      <c r="P177" s="52">
        <v>800</v>
      </c>
      <c r="Q177" s="52">
        <v>800</v>
      </c>
      <c r="R177" s="2" t="str">
        <f>"201,202,203,204"</f>
        <v>201,202,203,204</v>
      </c>
    </row>
    <row r="178" spans="1:18" ht="14.25" customHeight="1">
      <c r="A178" s="2">
        <v>88021</v>
      </c>
      <c r="B178" s="6" t="s">
        <v>3666</v>
      </c>
      <c r="C178" s="4" t="s">
        <v>656</v>
      </c>
      <c r="D178" s="6" t="s">
        <v>77</v>
      </c>
      <c r="E178" s="2"/>
      <c r="F178" s="2"/>
      <c r="G178" s="2"/>
      <c r="H178" s="2"/>
      <c r="I178" s="2">
        <v>35</v>
      </c>
      <c r="J178" s="2"/>
      <c r="K178" s="2"/>
      <c r="L178" s="2"/>
      <c r="M178" s="2"/>
      <c r="N178" s="2"/>
      <c r="O178" s="2" t="str">
        <f t="shared" si="26"/>
        <v>6007,6008,6009,6010,6011</v>
      </c>
      <c r="P178" s="52">
        <v>800</v>
      </c>
      <c r="Q178" s="52">
        <v>800</v>
      </c>
      <c r="R178" s="2" t="str">
        <f>"205,206,207,208"</f>
        <v>205,206,207,208</v>
      </c>
    </row>
    <row r="179" spans="1:18" ht="14.25" customHeight="1">
      <c r="A179" s="2">
        <v>88022</v>
      </c>
      <c r="B179" s="6" t="s">
        <v>3667</v>
      </c>
      <c r="C179" s="4" t="s">
        <v>662</v>
      </c>
      <c r="D179" s="6" t="s">
        <v>77</v>
      </c>
      <c r="E179" s="2"/>
      <c r="F179" s="2">
        <v>194</v>
      </c>
      <c r="G179" s="2"/>
      <c r="H179" s="2"/>
      <c r="I179" s="2">
        <v>32</v>
      </c>
      <c r="J179" s="2"/>
      <c r="K179" s="2"/>
      <c r="L179" s="2"/>
      <c r="M179" s="2"/>
      <c r="N179" s="2"/>
      <c r="O179" s="2" t="str">
        <f t="shared" si="26"/>
        <v>6007,6008,6009,6010,6011</v>
      </c>
      <c r="P179" s="52">
        <v>800</v>
      </c>
      <c r="Q179" s="52">
        <v>800</v>
      </c>
      <c r="R179" s="2" t="str">
        <f>"205,206,207,208"</f>
        <v>205,206,207,208</v>
      </c>
    </row>
    <row r="180" spans="1:18" ht="14.25" customHeight="1">
      <c r="A180" s="2">
        <v>88023</v>
      </c>
      <c r="B180" s="6" t="s">
        <v>3669</v>
      </c>
      <c r="C180" s="4" t="s">
        <v>668</v>
      </c>
      <c r="D180" s="6" t="s">
        <v>77</v>
      </c>
      <c r="E180" s="2"/>
      <c r="F180" s="2"/>
      <c r="G180" s="2"/>
      <c r="H180" s="2"/>
      <c r="I180" s="2">
        <v>38</v>
      </c>
      <c r="J180" s="2">
        <v>24</v>
      </c>
      <c r="K180" s="2"/>
      <c r="L180" s="2"/>
      <c r="M180" s="2"/>
      <c r="N180" s="2"/>
      <c r="O180" s="2" t="str">
        <f t="shared" si="26"/>
        <v>6007,6008,6009,6010,6011</v>
      </c>
      <c r="P180" s="52">
        <v>800</v>
      </c>
      <c r="Q180" s="52">
        <v>800</v>
      </c>
      <c r="R180" s="2" t="str">
        <f>"201,202,203,204"</f>
        <v>201,202,203,204</v>
      </c>
    </row>
    <row r="181" spans="1:18" ht="14.25" customHeight="1">
      <c r="A181" s="2">
        <v>88024</v>
      </c>
      <c r="B181" s="6" t="s">
        <v>3671</v>
      </c>
      <c r="C181" s="4" t="s">
        <v>674</v>
      </c>
      <c r="D181" s="6" t="s">
        <v>77</v>
      </c>
      <c r="E181" s="2"/>
      <c r="F181" s="2">
        <v>161</v>
      </c>
      <c r="G181" s="2"/>
      <c r="H181" s="2"/>
      <c r="I181" s="2">
        <v>59</v>
      </c>
      <c r="J181" s="2"/>
      <c r="K181" s="2"/>
      <c r="L181" s="2"/>
      <c r="M181" s="2"/>
      <c r="N181" s="2"/>
      <c r="O181" s="2" t="str">
        <f t="shared" si="26"/>
        <v>6007,6008,6009,6010,6011</v>
      </c>
      <c r="P181" s="52">
        <v>800</v>
      </c>
      <c r="Q181" s="52">
        <v>800</v>
      </c>
      <c r="R181" s="2" t="str">
        <f>"209,210,211,212"</f>
        <v>209,210,211,212</v>
      </c>
    </row>
    <row r="182" spans="1:18" ht="14.25" customHeight="1">
      <c r="A182" s="2">
        <v>88025</v>
      </c>
      <c r="B182" s="6" t="s">
        <v>3673</v>
      </c>
      <c r="C182" s="4" t="s">
        <v>680</v>
      </c>
      <c r="D182" s="6" t="s">
        <v>77</v>
      </c>
      <c r="E182" s="2"/>
      <c r="F182" s="2">
        <v>116</v>
      </c>
      <c r="G182" s="2">
        <v>12</v>
      </c>
      <c r="H182" s="2"/>
      <c r="I182" s="2"/>
      <c r="J182" s="2">
        <v>23</v>
      </c>
      <c r="K182" s="2"/>
      <c r="L182" s="2"/>
      <c r="M182" s="2"/>
      <c r="N182" s="2"/>
      <c r="O182" s="2" t="str">
        <f t="shared" si="26"/>
        <v>6007,6008,6009,6010,6011</v>
      </c>
      <c r="P182" s="52">
        <v>800</v>
      </c>
      <c r="Q182" s="52">
        <v>800</v>
      </c>
      <c r="R182" s="2" t="str">
        <f>"209,210,211,212"</f>
        <v>209,210,211,212</v>
      </c>
    </row>
    <row r="183" spans="1:18" ht="14.25" customHeight="1">
      <c r="A183" s="2">
        <v>88026</v>
      </c>
      <c r="B183" s="6" t="s">
        <v>1457</v>
      </c>
      <c r="C183" s="4" t="s">
        <v>651</v>
      </c>
      <c r="D183" s="6" t="s">
        <v>77</v>
      </c>
      <c r="E183" s="2"/>
      <c r="F183" s="2"/>
      <c r="G183" s="2">
        <v>31</v>
      </c>
      <c r="H183" s="2"/>
      <c r="I183" s="2">
        <v>11</v>
      </c>
      <c r="J183" s="2"/>
      <c r="K183" s="2"/>
      <c r="L183" s="2"/>
      <c r="M183" s="2"/>
      <c r="N183" s="2"/>
      <c r="O183" s="2" t="str">
        <f t="shared" si="26"/>
        <v>6007,6008,6009,6010,6011</v>
      </c>
      <c r="P183" s="52">
        <v>800</v>
      </c>
      <c r="Q183" s="52">
        <v>800</v>
      </c>
      <c r="R183" s="2" t="str">
        <f>"201,202,203,204"</f>
        <v>201,202,203,204</v>
      </c>
    </row>
    <row r="184" spans="1:18" ht="14.25" customHeight="1">
      <c r="A184" s="2">
        <v>88027</v>
      </c>
      <c r="B184" s="6" t="s">
        <v>3666</v>
      </c>
      <c r="C184" s="4" t="s">
        <v>657</v>
      </c>
      <c r="D184" s="6" t="s">
        <v>77</v>
      </c>
      <c r="E184" s="2"/>
      <c r="F184" s="2"/>
      <c r="G184" s="2"/>
      <c r="H184" s="2"/>
      <c r="I184" s="2">
        <v>35</v>
      </c>
      <c r="J184" s="2"/>
      <c r="K184" s="2"/>
      <c r="L184" s="2"/>
      <c r="M184" s="2"/>
      <c r="N184" s="2"/>
      <c r="O184" s="2" t="str">
        <f t="shared" si="26"/>
        <v>6007,6008,6009,6010,6011</v>
      </c>
      <c r="P184" s="52">
        <v>800</v>
      </c>
      <c r="Q184" s="52">
        <v>800</v>
      </c>
      <c r="R184" s="2" t="str">
        <f>"205,206,207,208"</f>
        <v>205,206,207,208</v>
      </c>
    </row>
    <row r="185" spans="1:18" ht="14.25" customHeight="1">
      <c r="A185" s="2">
        <v>88028</v>
      </c>
      <c r="B185" s="6" t="s">
        <v>3667</v>
      </c>
      <c r="C185" s="4" t="s">
        <v>663</v>
      </c>
      <c r="D185" s="6" t="s">
        <v>77</v>
      </c>
      <c r="E185" s="2"/>
      <c r="F185" s="2">
        <v>194</v>
      </c>
      <c r="G185" s="2"/>
      <c r="H185" s="2"/>
      <c r="I185" s="2">
        <v>32</v>
      </c>
      <c r="J185" s="2"/>
      <c r="K185" s="2"/>
      <c r="L185" s="2"/>
      <c r="M185" s="2"/>
      <c r="N185" s="2"/>
      <c r="O185" s="2" t="str">
        <f t="shared" si="26"/>
        <v>6007,6008,6009,6010,6011</v>
      </c>
      <c r="P185" s="52">
        <v>800</v>
      </c>
      <c r="Q185" s="52">
        <v>800</v>
      </c>
      <c r="R185" s="2" t="str">
        <f>"205,206,207,208"</f>
        <v>205,206,207,208</v>
      </c>
    </row>
    <row r="186" spans="1:18" ht="14.25" customHeight="1">
      <c r="A186" s="2">
        <v>88029</v>
      </c>
      <c r="B186" s="6" t="s">
        <v>3669</v>
      </c>
      <c r="C186" s="4" t="s">
        <v>669</v>
      </c>
      <c r="D186" s="6" t="s">
        <v>77</v>
      </c>
      <c r="E186" s="2"/>
      <c r="F186" s="2"/>
      <c r="G186" s="2"/>
      <c r="H186" s="2"/>
      <c r="I186" s="2">
        <v>38</v>
      </c>
      <c r="J186" s="2">
        <v>24</v>
      </c>
      <c r="K186" s="2"/>
      <c r="L186" s="2"/>
      <c r="M186" s="2"/>
      <c r="N186" s="2"/>
      <c r="O186" s="2" t="str">
        <f t="shared" si="26"/>
        <v>6007,6008,6009,6010,6011</v>
      </c>
      <c r="P186" s="52">
        <v>800</v>
      </c>
      <c r="Q186" s="52">
        <v>800</v>
      </c>
      <c r="R186" s="2" t="str">
        <f>"201,202,203,204"</f>
        <v>201,202,203,204</v>
      </c>
    </row>
    <row r="187" spans="1:18" ht="14.25" customHeight="1">
      <c r="A187" s="2">
        <v>88030</v>
      </c>
      <c r="B187" s="6" t="s">
        <v>3671</v>
      </c>
      <c r="C187" s="4" t="s">
        <v>675</v>
      </c>
      <c r="D187" s="6" t="s">
        <v>77</v>
      </c>
      <c r="E187" s="2"/>
      <c r="F187" s="2">
        <v>161</v>
      </c>
      <c r="G187" s="2"/>
      <c r="H187" s="2"/>
      <c r="I187" s="2">
        <v>59</v>
      </c>
      <c r="J187" s="2"/>
      <c r="K187" s="2"/>
      <c r="L187" s="2"/>
      <c r="M187" s="2"/>
      <c r="N187" s="2"/>
      <c r="O187" s="2" t="str">
        <f t="shared" si="26"/>
        <v>6007,6008,6009,6010,6011</v>
      </c>
      <c r="P187" s="52">
        <v>800</v>
      </c>
      <c r="Q187" s="52">
        <v>800</v>
      </c>
      <c r="R187" s="2" t="str">
        <f>"209,210,211,212"</f>
        <v>209,210,211,212</v>
      </c>
    </row>
    <row r="188" spans="1:18" ht="14.25" customHeight="1">
      <c r="A188" s="2">
        <v>88031</v>
      </c>
      <c r="B188" s="6" t="s">
        <v>3673</v>
      </c>
      <c r="C188" s="4" t="s">
        <v>681</v>
      </c>
      <c r="D188" s="6" t="s">
        <v>77</v>
      </c>
      <c r="E188" s="2"/>
      <c r="F188" s="2">
        <v>116</v>
      </c>
      <c r="G188" s="2">
        <v>12</v>
      </c>
      <c r="H188" s="2"/>
      <c r="I188" s="2"/>
      <c r="J188" s="2">
        <v>23</v>
      </c>
      <c r="K188" s="2"/>
      <c r="L188" s="2"/>
      <c r="M188" s="2"/>
      <c r="N188" s="2"/>
      <c r="O188" s="2" t="str">
        <f t="shared" si="26"/>
        <v>6007,6008,6009,6010,6011</v>
      </c>
      <c r="P188" s="52">
        <v>800</v>
      </c>
      <c r="Q188" s="52">
        <v>800</v>
      </c>
      <c r="R188" s="2" t="str">
        <f>"209,210,211,212"</f>
        <v>209,210,211,212</v>
      </c>
    </row>
    <row r="189" spans="1:18" ht="14.25" customHeight="1">
      <c r="A189" s="2">
        <v>88032</v>
      </c>
      <c r="B189" s="6" t="s">
        <v>1457</v>
      </c>
      <c r="C189" s="4" t="s">
        <v>3742</v>
      </c>
      <c r="D189" s="6" t="s">
        <v>75</v>
      </c>
      <c r="E189" s="2"/>
      <c r="F189" s="2"/>
      <c r="G189" s="2">
        <v>44</v>
      </c>
      <c r="H189" s="2"/>
      <c r="I189" s="2">
        <v>15</v>
      </c>
      <c r="J189" s="2"/>
      <c r="K189" s="2"/>
      <c r="L189" s="2"/>
      <c r="M189" s="2"/>
      <c r="N189" s="2"/>
      <c r="O189" s="2" t="str">
        <f t="shared" si="26"/>
        <v>6007,6008,6009,6010,6011</v>
      </c>
      <c r="P189" s="52">
        <v>800</v>
      </c>
      <c r="Q189" s="52">
        <v>800</v>
      </c>
      <c r="R189" s="2" t="str">
        <f>"201,202,203,204"</f>
        <v>201,202,203,204</v>
      </c>
    </row>
    <row r="190" spans="1:18" ht="14.25" customHeight="1">
      <c r="A190" s="2">
        <v>88033</v>
      </c>
      <c r="B190" s="6" t="s">
        <v>1457</v>
      </c>
      <c r="C190" s="4" t="s">
        <v>3743</v>
      </c>
      <c r="D190" s="6" t="s">
        <v>75</v>
      </c>
      <c r="E190" s="2"/>
      <c r="F190" s="2"/>
      <c r="G190" s="2"/>
      <c r="H190" s="2">
        <v>44</v>
      </c>
      <c r="I190" s="2"/>
      <c r="J190" s="2">
        <v>15</v>
      </c>
      <c r="K190" s="2"/>
      <c r="L190" s="2"/>
      <c r="M190" s="2"/>
      <c r="N190" s="2"/>
      <c r="O190" s="2" t="str">
        <f t="shared" si="26"/>
        <v>6007,6008,6009,6010,6011</v>
      </c>
      <c r="P190" s="52">
        <v>800</v>
      </c>
      <c r="Q190" s="52">
        <v>800</v>
      </c>
      <c r="R190" s="2" t="str">
        <f>"201,202,203,204"</f>
        <v>201,202,203,204</v>
      </c>
    </row>
    <row r="191" spans="1:18" ht="14.25" customHeight="1">
      <c r="A191" s="2">
        <v>88034</v>
      </c>
      <c r="B191" s="6" t="s">
        <v>1457</v>
      </c>
      <c r="C191" s="4" t="s">
        <v>3744</v>
      </c>
      <c r="D191" s="6" t="s">
        <v>75</v>
      </c>
      <c r="E191" s="2"/>
      <c r="F191" s="2"/>
      <c r="G191" s="2">
        <v>44</v>
      </c>
      <c r="H191" s="2"/>
      <c r="I191" s="2">
        <v>15</v>
      </c>
      <c r="J191" s="2"/>
      <c r="K191" s="2"/>
      <c r="L191" s="2"/>
      <c r="M191" s="2"/>
      <c r="N191" s="2"/>
      <c r="O191" s="2" t="str">
        <f t="shared" si="26"/>
        <v>6007,6008,6009,6010,6011</v>
      </c>
      <c r="P191" s="52">
        <v>800</v>
      </c>
      <c r="Q191" s="52">
        <v>800</v>
      </c>
      <c r="R191" s="2" t="str">
        <f>"205,206,207,208"</f>
        <v>205,206,207,208</v>
      </c>
    </row>
    <row r="192" spans="1:18" ht="14.25" customHeight="1">
      <c r="A192" s="2">
        <v>88035</v>
      </c>
      <c r="B192" s="6" t="s">
        <v>3666</v>
      </c>
      <c r="C192" s="4" t="s">
        <v>658</v>
      </c>
      <c r="D192" s="6" t="s">
        <v>75</v>
      </c>
      <c r="E192" s="2"/>
      <c r="F192" s="2"/>
      <c r="G192" s="2"/>
      <c r="H192" s="2"/>
      <c r="I192" s="2">
        <v>49</v>
      </c>
      <c r="J192" s="2"/>
      <c r="K192" s="2"/>
      <c r="L192" s="2"/>
      <c r="M192" s="2"/>
      <c r="N192" s="2"/>
      <c r="O192" s="2" t="str">
        <f t="shared" si="26"/>
        <v>6007,6008,6009,6010,6011</v>
      </c>
      <c r="P192" s="52">
        <v>800</v>
      </c>
      <c r="Q192" s="52">
        <v>800</v>
      </c>
      <c r="R192" s="2" t="str">
        <f>"205,206,207,208"</f>
        <v>205,206,207,208</v>
      </c>
    </row>
    <row r="193" spans="1:18" ht="14.25" customHeight="1">
      <c r="A193" s="2">
        <v>88036</v>
      </c>
      <c r="B193" s="6" t="s">
        <v>3667</v>
      </c>
      <c r="C193" s="4" t="s">
        <v>664</v>
      </c>
      <c r="D193" s="6" t="s">
        <v>75</v>
      </c>
      <c r="E193" s="2"/>
      <c r="F193" s="2">
        <v>275</v>
      </c>
      <c r="G193" s="2"/>
      <c r="H193" s="2"/>
      <c r="I193" s="2">
        <v>46</v>
      </c>
      <c r="J193" s="2"/>
      <c r="K193" s="2"/>
      <c r="L193" s="2"/>
      <c r="M193" s="2"/>
      <c r="N193" s="2"/>
      <c r="O193" s="2" t="str">
        <f t="shared" si="26"/>
        <v>6007,6008,6009,6010,6011</v>
      </c>
      <c r="P193" s="52">
        <v>800</v>
      </c>
      <c r="Q193" s="52">
        <v>800</v>
      </c>
      <c r="R193" s="2" t="str">
        <f>"201,202,203,204"</f>
        <v>201,202,203,204</v>
      </c>
    </row>
    <row r="194" spans="1:18" ht="14.25" customHeight="1">
      <c r="A194" s="2">
        <v>88037</v>
      </c>
      <c r="B194" s="6" t="s">
        <v>3669</v>
      </c>
      <c r="C194" s="4" t="s">
        <v>670</v>
      </c>
      <c r="D194" s="6" t="s">
        <v>75</v>
      </c>
      <c r="E194" s="2"/>
      <c r="F194" s="2"/>
      <c r="G194" s="2"/>
      <c r="H194" s="2"/>
      <c r="I194" s="2">
        <v>54</v>
      </c>
      <c r="J194" s="2">
        <v>34</v>
      </c>
      <c r="K194" s="2"/>
      <c r="L194" s="2"/>
      <c r="M194" s="2"/>
      <c r="N194" s="2"/>
      <c r="O194" s="2" t="str">
        <f t="shared" si="26"/>
        <v>6007,6008,6009,6010,6011</v>
      </c>
      <c r="P194" s="52">
        <v>800</v>
      </c>
      <c r="Q194" s="52">
        <v>800</v>
      </c>
      <c r="R194" s="2" t="str">
        <f>"209,210,211,212"</f>
        <v>209,210,211,212</v>
      </c>
    </row>
    <row r="195" spans="1:18" ht="14.25" customHeight="1">
      <c r="A195" s="2">
        <v>88038</v>
      </c>
      <c r="B195" s="6" t="s">
        <v>3671</v>
      </c>
      <c r="C195" s="4" t="s">
        <v>676</v>
      </c>
      <c r="D195" s="6" t="s">
        <v>75</v>
      </c>
      <c r="E195" s="2"/>
      <c r="F195" s="2">
        <v>228</v>
      </c>
      <c r="G195" s="2"/>
      <c r="H195" s="2"/>
      <c r="I195" s="2">
        <v>83</v>
      </c>
      <c r="J195" s="2"/>
      <c r="K195" s="2"/>
      <c r="L195" s="2"/>
      <c r="M195" s="2"/>
      <c r="N195" s="2"/>
      <c r="O195" s="2" t="str">
        <f t="shared" si="26"/>
        <v>6007,6008,6009,6010,6011</v>
      </c>
      <c r="P195" s="52">
        <v>800</v>
      </c>
      <c r="Q195" s="52">
        <v>800</v>
      </c>
      <c r="R195" s="2" t="str">
        <f>"209,210,211,212"</f>
        <v>209,210,211,212</v>
      </c>
    </row>
    <row r="196" spans="1:18" ht="14.25" customHeight="1">
      <c r="A196" s="2">
        <v>88039</v>
      </c>
      <c r="B196" s="6" t="s">
        <v>3673</v>
      </c>
      <c r="C196" s="4" t="s">
        <v>682</v>
      </c>
      <c r="D196" s="6" t="s">
        <v>75</v>
      </c>
      <c r="E196" s="2"/>
      <c r="F196" s="2">
        <v>165</v>
      </c>
      <c r="G196" s="2">
        <v>17</v>
      </c>
      <c r="H196" s="2"/>
      <c r="I196" s="2"/>
      <c r="J196" s="2">
        <v>32</v>
      </c>
      <c r="K196" s="2"/>
      <c r="L196" s="2"/>
      <c r="M196" s="2"/>
      <c r="N196" s="2"/>
      <c r="O196" s="2" t="str">
        <f t="shared" si="26"/>
        <v>6007,6008,6009,6010,6011</v>
      </c>
      <c r="P196" s="52">
        <v>800</v>
      </c>
      <c r="Q196" s="52">
        <v>800</v>
      </c>
      <c r="R196" s="52" t="str">
        <f>"205,206,207,208"</f>
        <v>205,206,207,208</v>
      </c>
    </row>
    <row r="197" spans="1:18" ht="14.25" customHeight="1">
      <c r="A197" s="2">
        <v>88040</v>
      </c>
      <c r="B197" s="6" t="s">
        <v>1457</v>
      </c>
      <c r="C197" s="4" t="s">
        <v>646</v>
      </c>
      <c r="D197" s="6" t="s">
        <v>79</v>
      </c>
      <c r="E197" s="2"/>
      <c r="F197" s="2"/>
      <c r="G197" s="2"/>
      <c r="H197" s="2">
        <v>22</v>
      </c>
      <c r="I197" s="2"/>
      <c r="J197" s="2">
        <v>8</v>
      </c>
      <c r="K197" s="2"/>
      <c r="L197" s="2"/>
      <c r="M197" s="2"/>
      <c r="N197" s="2"/>
      <c r="O197" s="2" t="str">
        <f t="shared" si="26"/>
        <v>6007,6008,6009,6010,6011</v>
      </c>
      <c r="P197" s="52">
        <v>800</v>
      </c>
      <c r="Q197" s="52">
        <v>800</v>
      </c>
      <c r="R197" s="2" t="str">
        <f>"201,202,203,204"</f>
        <v>201,202,203,204</v>
      </c>
    </row>
    <row r="198" spans="1:18" ht="14.25" customHeight="1">
      <c r="A198" s="2">
        <v>88041</v>
      </c>
      <c r="B198" s="6" t="s">
        <v>1457</v>
      </c>
      <c r="C198" s="4" t="s">
        <v>647</v>
      </c>
      <c r="D198" s="6" t="s">
        <v>75</v>
      </c>
      <c r="E198" s="2"/>
      <c r="F198" s="2"/>
      <c r="G198" s="2"/>
      <c r="H198" s="2">
        <v>44</v>
      </c>
      <c r="I198" s="2"/>
      <c r="J198" s="2">
        <v>15</v>
      </c>
      <c r="K198" s="2"/>
      <c r="L198" s="2"/>
      <c r="M198" s="2"/>
      <c r="N198" s="2"/>
      <c r="O198" s="2" t="str">
        <f t="shared" si="26"/>
        <v>6007,6008,6009,6010,6011</v>
      </c>
      <c r="P198" s="52">
        <v>800</v>
      </c>
      <c r="Q198" s="52">
        <v>800</v>
      </c>
      <c r="R198" s="2" t="str">
        <f>"201,202,203,204"</f>
        <v>201,202,203,204</v>
      </c>
    </row>
    <row r="199" spans="1:18" ht="14.25" customHeight="1">
      <c r="D199" s="45"/>
    </row>
    <row r="200" spans="1:18" ht="14.25" customHeight="1">
      <c r="D200" s="45"/>
    </row>
    <row r="201" spans="1:18" ht="14.25" customHeight="1">
      <c r="D201" s="45"/>
    </row>
    <row r="202" spans="1:18" ht="14.25" customHeight="1">
      <c r="D202" s="45"/>
    </row>
    <row r="203" spans="1:18" ht="14.25" customHeight="1">
      <c r="D203" s="45"/>
    </row>
    <row r="204" spans="1:18" ht="14.25" customHeight="1">
      <c r="D204" s="45"/>
    </row>
    <row r="205" spans="1:18" ht="14.25" customHeight="1">
      <c r="D205" s="45"/>
    </row>
    <row r="206" spans="1:18" ht="14.25" customHeight="1">
      <c r="D206" s="45"/>
    </row>
    <row r="207" spans="1:18" ht="14.25" customHeight="1">
      <c r="D207" s="45"/>
    </row>
    <row r="208" spans="1:18" ht="14.25" customHeight="1">
      <c r="D208" s="45"/>
    </row>
    <row r="209" spans="4:4" ht="14.25" customHeight="1">
      <c r="D209" s="45"/>
    </row>
    <row r="210" spans="4:4" ht="14.25" customHeight="1">
      <c r="D210" s="45"/>
    </row>
    <row r="211" spans="4:4" ht="14.25" customHeight="1">
      <c r="D211" s="45"/>
    </row>
    <row r="212" spans="4:4" ht="14.25" customHeight="1">
      <c r="D212" s="45"/>
    </row>
    <row r="213" spans="4:4" ht="14.25" customHeight="1">
      <c r="D213" s="45"/>
    </row>
    <row r="214" spans="4:4" ht="14.25" customHeight="1">
      <c r="D214" s="45"/>
    </row>
    <row r="215" spans="4:4" ht="14.25" customHeight="1">
      <c r="D215" s="45"/>
    </row>
    <row r="216" spans="4:4" ht="14.25" customHeight="1">
      <c r="D216" s="45"/>
    </row>
    <row r="217" spans="4:4" ht="14.25" customHeight="1">
      <c r="D217" s="45"/>
    </row>
    <row r="218" spans="4:4" ht="14.25" customHeight="1">
      <c r="D218" s="45"/>
    </row>
    <row r="219" spans="4:4" ht="14.25" customHeight="1">
      <c r="D219" s="45"/>
    </row>
    <row r="220" spans="4:4" ht="14.25" customHeight="1">
      <c r="D220" s="45"/>
    </row>
    <row r="221" spans="4:4" ht="14.25" customHeight="1">
      <c r="D221" s="45"/>
    </row>
    <row r="222" spans="4:4" ht="14.25" customHeight="1">
      <c r="D222" s="45"/>
    </row>
    <row r="223" spans="4:4" ht="14.25" customHeight="1">
      <c r="D223" s="45"/>
    </row>
    <row r="224" spans="4:4" ht="14.25" customHeight="1">
      <c r="D224" s="45"/>
    </row>
    <row r="225" spans="4:4" ht="14.25" customHeight="1">
      <c r="D225" s="45"/>
    </row>
    <row r="226" spans="4:4" ht="14.25" customHeight="1">
      <c r="D226" s="45"/>
    </row>
    <row r="227" spans="4:4" ht="14.25" customHeight="1">
      <c r="D227" s="45"/>
    </row>
    <row r="228" spans="4:4" ht="14.25" customHeight="1">
      <c r="D228" s="45"/>
    </row>
    <row r="229" spans="4:4" ht="14.25" customHeight="1">
      <c r="D229" s="45"/>
    </row>
    <row r="230" spans="4:4" ht="14.25" customHeight="1">
      <c r="D230" s="45"/>
    </row>
    <row r="231" spans="4:4" ht="14.25" customHeight="1">
      <c r="D231" s="45"/>
    </row>
    <row r="232" spans="4:4" ht="14.25" customHeight="1">
      <c r="D232" s="45"/>
    </row>
    <row r="233" spans="4:4" ht="14.25" customHeight="1">
      <c r="D233" s="45"/>
    </row>
    <row r="234" spans="4:4" ht="14.25" customHeight="1">
      <c r="D234" s="45"/>
    </row>
    <row r="235" spans="4:4" ht="14.25" customHeight="1">
      <c r="D235" s="45"/>
    </row>
    <row r="236" spans="4:4" ht="14.25" customHeight="1">
      <c r="D236" s="45"/>
    </row>
    <row r="237" spans="4:4" ht="14.25" customHeight="1">
      <c r="D237" s="45"/>
    </row>
    <row r="238" spans="4:4" ht="14.25" customHeight="1">
      <c r="D238" s="45"/>
    </row>
    <row r="239" spans="4:4" ht="14.25" customHeight="1">
      <c r="D239" s="45"/>
    </row>
    <row r="240" spans="4:4" ht="14.25" customHeight="1">
      <c r="D240" s="45"/>
    </row>
    <row r="241" spans="4:4" ht="14.25" customHeight="1">
      <c r="D241" s="45"/>
    </row>
    <row r="242" spans="4:4" ht="14.25" customHeight="1">
      <c r="D242" s="45"/>
    </row>
    <row r="243" spans="4:4" ht="14.25" customHeight="1">
      <c r="D243" s="45"/>
    </row>
    <row r="244" spans="4:4" ht="14.25" customHeight="1">
      <c r="D244" s="45"/>
    </row>
    <row r="245" spans="4:4" ht="14.25" customHeight="1">
      <c r="D245" s="45"/>
    </row>
    <row r="246" spans="4:4" ht="14.25" customHeight="1">
      <c r="D246" s="45"/>
    </row>
    <row r="247" spans="4:4" ht="14.25" customHeight="1">
      <c r="D247" s="45"/>
    </row>
    <row r="248" spans="4:4" ht="14.25" customHeight="1">
      <c r="D248" s="45"/>
    </row>
    <row r="249" spans="4:4" ht="14.25" customHeight="1">
      <c r="D249" s="45"/>
    </row>
    <row r="250" spans="4:4" ht="14.25" customHeight="1">
      <c r="D250" s="45"/>
    </row>
    <row r="251" spans="4:4" ht="14.25" customHeight="1">
      <c r="D251" s="45"/>
    </row>
    <row r="252" spans="4:4" ht="14.25" customHeight="1">
      <c r="D252" s="45"/>
    </row>
    <row r="253" spans="4:4" ht="14.25" customHeight="1">
      <c r="D253" s="45"/>
    </row>
    <row r="254" spans="4:4" ht="14.25" customHeight="1">
      <c r="D254" s="45"/>
    </row>
    <row r="255" spans="4:4" ht="14.25" customHeight="1">
      <c r="D255" s="45"/>
    </row>
    <row r="256" spans="4:4" ht="14.25" customHeight="1">
      <c r="D256" s="45"/>
    </row>
    <row r="257" spans="4:4" ht="14.25" customHeight="1">
      <c r="D257" s="45"/>
    </row>
    <row r="258" spans="4:4" ht="14.25" customHeight="1">
      <c r="D258" s="45"/>
    </row>
    <row r="259" spans="4:4" ht="14.25" customHeight="1">
      <c r="D259" s="45"/>
    </row>
    <row r="260" spans="4:4" ht="14.25" customHeight="1">
      <c r="D260" s="45"/>
    </row>
    <row r="261" spans="4:4" ht="14.25" customHeight="1">
      <c r="D261" s="45"/>
    </row>
    <row r="262" spans="4:4" ht="14.25" customHeight="1">
      <c r="D262" s="45"/>
    </row>
    <row r="263" spans="4:4" ht="14.25" customHeight="1">
      <c r="D263" s="45"/>
    </row>
    <row r="264" spans="4:4" ht="14.25" customHeight="1">
      <c r="D264" s="45"/>
    </row>
    <row r="265" spans="4:4" ht="14.25" customHeight="1">
      <c r="D265" s="45"/>
    </row>
    <row r="266" spans="4:4" ht="14.25" customHeight="1">
      <c r="D266" s="45"/>
    </row>
    <row r="267" spans="4:4" ht="14.25" customHeight="1">
      <c r="D267" s="45"/>
    </row>
    <row r="268" spans="4:4" ht="14.25" customHeight="1">
      <c r="D268" s="45"/>
    </row>
    <row r="269" spans="4:4" ht="14.25" customHeight="1">
      <c r="D269" s="45"/>
    </row>
    <row r="270" spans="4:4" ht="14.25" customHeight="1">
      <c r="D270" s="45"/>
    </row>
    <row r="271" spans="4:4" ht="14.25" customHeight="1">
      <c r="D271" s="45"/>
    </row>
    <row r="272" spans="4:4" ht="14.25" customHeight="1">
      <c r="D272" s="45"/>
    </row>
    <row r="273" spans="4:4" ht="14.25" customHeight="1">
      <c r="D273" s="45"/>
    </row>
    <row r="274" spans="4:4" ht="14.25" customHeight="1">
      <c r="D274" s="45"/>
    </row>
    <row r="275" spans="4:4" ht="14.25" customHeight="1">
      <c r="D275" s="45"/>
    </row>
    <row r="276" spans="4:4" ht="14.25" customHeight="1">
      <c r="D276" s="45"/>
    </row>
    <row r="277" spans="4:4" ht="14.25" customHeight="1">
      <c r="D277" s="45"/>
    </row>
    <row r="278" spans="4:4" ht="14.25" customHeight="1">
      <c r="D278" s="45"/>
    </row>
    <row r="279" spans="4:4" ht="14.25" customHeight="1">
      <c r="D279" s="45"/>
    </row>
    <row r="280" spans="4:4" ht="14.25" customHeight="1">
      <c r="D280" s="45"/>
    </row>
    <row r="281" spans="4:4" ht="14.25" customHeight="1">
      <c r="D281" s="45"/>
    </row>
    <row r="282" spans="4:4" ht="14.25" customHeight="1">
      <c r="D282" s="45"/>
    </row>
    <row r="283" spans="4:4" ht="14.25" customHeight="1">
      <c r="D283" s="45"/>
    </row>
    <row r="284" spans="4:4" ht="14.25" customHeight="1">
      <c r="D284" s="45"/>
    </row>
    <row r="285" spans="4:4" ht="14.25" customHeight="1">
      <c r="D285" s="45"/>
    </row>
    <row r="286" spans="4:4" ht="14.25" customHeight="1">
      <c r="D286" s="45"/>
    </row>
    <row r="287" spans="4:4" ht="14.25" customHeight="1">
      <c r="D287" s="45"/>
    </row>
    <row r="288" spans="4:4" ht="14.25" customHeight="1">
      <c r="D288" s="45"/>
    </row>
    <row r="289" spans="4:4" ht="14.25" customHeight="1">
      <c r="D289" s="45"/>
    </row>
    <row r="290" spans="4:4" ht="14.25" customHeight="1">
      <c r="D290" s="45"/>
    </row>
    <row r="291" spans="4:4" ht="14.25" customHeight="1">
      <c r="D291" s="45"/>
    </row>
    <row r="292" spans="4:4" ht="14.25" customHeight="1">
      <c r="D292" s="45"/>
    </row>
    <row r="293" spans="4:4" ht="14.25" customHeight="1">
      <c r="D293" s="45"/>
    </row>
    <row r="294" spans="4:4" ht="14.25" customHeight="1">
      <c r="D294" s="45"/>
    </row>
    <row r="295" spans="4:4" ht="14.25" customHeight="1">
      <c r="D295" s="45"/>
    </row>
    <row r="296" spans="4:4" ht="14.25" customHeight="1">
      <c r="D296" s="45"/>
    </row>
    <row r="297" spans="4:4" ht="14.25" customHeight="1">
      <c r="D297" s="45"/>
    </row>
    <row r="298" spans="4:4" ht="14.25" customHeight="1">
      <c r="D298" s="45"/>
    </row>
    <row r="299" spans="4:4" ht="14.25" customHeight="1">
      <c r="D299" s="45"/>
    </row>
    <row r="300" spans="4:4" ht="14.25" customHeight="1">
      <c r="D300" s="45"/>
    </row>
    <row r="301" spans="4:4" ht="14.25" customHeight="1">
      <c r="D301" s="45"/>
    </row>
    <row r="302" spans="4:4" ht="14.25" customHeight="1">
      <c r="D302" s="45"/>
    </row>
    <row r="303" spans="4:4" ht="14.25" customHeight="1">
      <c r="D303" s="45"/>
    </row>
    <row r="304" spans="4:4" ht="14.25" customHeight="1">
      <c r="D304" s="45"/>
    </row>
    <row r="305" spans="4:4" ht="14.25" customHeight="1">
      <c r="D305" s="45"/>
    </row>
    <row r="306" spans="4:4" ht="14.25" customHeight="1">
      <c r="D306" s="45"/>
    </row>
    <row r="307" spans="4:4" ht="14.25" customHeight="1">
      <c r="D307" s="45"/>
    </row>
    <row r="308" spans="4:4" ht="14.25" customHeight="1">
      <c r="D308" s="45"/>
    </row>
    <row r="309" spans="4:4" ht="14.25" customHeight="1">
      <c r="D309" s="45"/>
    </row>
    <row r="310" spans="4:4" ht="14.25" customHeight="1">
      <c r="D310" s="45"/>
    </row>
    <row r="311" spans="4:4" ht="14.25" customHeight="1">
      <c r="D311" s="45"/>
    </row>
    <row r="312" spans="4:4" ht="14.25" customHeight="1">
      <c r="D312" s="45"/>
    </row>
    <row r="313" spans="4:4" ht="14.25" customHeight="1">
      <c r="D313" s="45"/>
    </row>
    <row r="314" spans="4:4" ht="14.25" customHeight="1">
      <c r="D314" s="45"/>
    </row>
    <row r="315" spans="4:4" ht="14.25" customHeight="1">
      <c r="D315" s="45"/>
    </row>
    <row r="316" spans="4:4" ht="14.25" customHeight="1">
      <c r="D316" s="45"/>
    </row>
    <row r="317" spans="4:4" ht="14.25" customHeight="1">
      <c r="D317" s="45"/>
    </row>
    <row r="318" spans="4:4" ht="14.25" customHeight="1">
      <c r="D318" s="45"/>
    </row>
    <row r="319" spans="4:4" ht="14.25" customHeight="1">
      <c r="D319" s="45"/>
    </row>
    <row r="320" spans="4:4" ht="14.25" customHeight="1">
      <c r="D320" s="45"/>
    </row>
    <row r="321" spans="4:4" ht="14.25" customHeight="1">
      <c r="D321" s="45"/>
    </row>
    <row r="322" spans="4:4" ht="14.25" customHeight="1">
      <c r="D322" s="45"/>
    </row>
    <row r="323" spans="4:4" ht="14.25" customHeight="1">
      <c r="D323" s="45"/>
    </row>
    <row r="324" spans="4:4" ht="14.25" customHeight="1">
      <c r="D324" s="45"/>
    </row>
    <row r="325" spans="4:4" ht="14.25" customHeight="1">
      <c r="D325" s="45"/>
    </row>
    <row r="326" spans="4:4" ht="14.25" customHeight="1">
      <c r="D326" s="45"/>
    </row>
    <row r="327" spans="4:4" ht="14.25" customHeight="1">
      <c r="D327" s="45"/>
    </row>
    <row r="328" spans="4:4" ht="14.25" customHeight="1">
      <c r="D328" s="45"/>
    </row>
    <row r="329" spans="4:4" ht="14.25" customHeight="1">
      <c r="D329" s="45"/>
    </row>
    <row r="330" spans="4:4" ht="14.25" customHeight="1">
      <c r="D330" s="45"/>
    </row>
    <row r="331" spans="4:4" ht="14.25" customHeight="1">
      <c r="D331" s="45"/>
    </row>
    <row r="332" spans="4:4" ht="14.25" customHeight="1">
      <c r="D332" s="45"/>
    </row>
    <row r="333" spans="4:4" ht="14.25" customHeight="1">
      <c r="D333" s="45"/>
    </row>
    <row r="334" spans="4:4" ht="14.25" customHeight="1">
      <c r="D334" s="45"/>
    </row>
    <row r="335" spans="4:4" ht="14.25" customHeight="1">
      <c r="D335" s="45"/>
    </row>
    <row r="336" spans="4:4" ht="14.25" customHeight="1">
      <c r="D336" s="45"/>
    </row>
    <row r="337" spans="4:4" ht="14.25" customHeight="1">
      <c r="D337" s="45"/>
    </row>
    <row r="338" spans="4:4" ht="14.25" customHeight="1">
      <c r="D338" s="45"/>
    </row>
    <row r="339" spans="4:4" ht="14.25" customHeight="1">
      <c r="D339" s="45"/>
    </row>
    <row r="340" spans="4:4" ht="14.25" customHeight="1">
      <c r="D340" s="45"/>
    </row>
    <row r="341" spans="4:4" ht="14.25" customHeight="1">
      <c r="D341" s="45"/>
    </row>
    <row r="342" spans="4:4" ht="14.25" customHeight="1">
      <c r="D342" s="45"/>
    </row>
    <row r="343" spans="4:4" ht="14.25" customHeight="1">
      <c r="D343" s="45"/>
    </row>
    <row r="344" spans="4:4" ht="14.25" customHeight="1">
      <c r="D344" s="45"/>
    </row>
    <row r="345" spans="4:4" ht="14.25" customHeight="1">
      <c r="D345" s="45"/>
    </row>
    <row r="346" spans="4:4" ht="14.25" customHeight="1">
      <c r="D346" s="45"/>
    </row>
    <row r="347" spans="4:4" ht="14.25" customHeight="1">
      <c r="D347" s="45"/>
    </row>
    <row r="348" spans="4:4" ht="14.25" customHeight="1">
      <c r="D348" s="45"/>
    </row>
    <row r="349" spans="4:4" ht="14.25" customHeight="1">
      <c r="D349" s="45"/>
    </row>
    <row r="350" spans="4:4" ht="14.25" customHeight="1">
      <c r="D350" s="45"/>
    </row>
    <row r="351" spans="4:4" ht="14.25" customHeight="1">
      <c r="D351" s="45"/>
    </row>
    <row r="352" spans="4:4" ht="14.25" customHeight="1">
      <c r="D352" s="45"/>
    </row>
    <row r="353" spans="4:4" ht="14.25" customHeight="1">
      <c r="D353" s="45"/>
    </row>
    <row r="354" spans="4:4" ht="14.25" customHeight="1">
      <c r="D354" s="45"/>
    </row>
    <row r="355" spans="4:4" ht="14.25" customHeight="1">
      <c r="D355" s="45"/>
    </row>
    <row r="356" spans="4:4" ht="14.25" customHeight="1">
      <c r="D356" s="45"/>
    </row>
    <row r="357" spans="4:4" ht="14.25" customHeight="1">
      <c r="D357" s="45"/>
    </row>
    <row r="358" spans="4:4" ht="14.25" customHeight="1">
      <c r="D358" s="45"/>
    </row>
    <row r="359" spans="4:4" ht="14.25" customHeight="1">
      <c r="D359" s="45"/>
    </row>
    <row r="360" spans="4:4" ht="14.25" customHeight="1">
      <c r="D360" s="45"/>
    </row>
    <row r="361" spans="4:4" ht="14.25" customHeight="1">
      <c r="D361" s="45"/>
    </row>
    <row r="362" spans="4:4" ht="14.25" customHeight="1">
      <c r="D362" s="45"/>
    </row>
    <row r="363" spans="4:4" ht="14.25" customHeight="1">
      <c r="D363" s="45"/>
    </row>
    <row r="364" spans="4:4" ht="14.25" customHeight="1">
      <c r="D364" s="45"/>
    </row>
    <row r="365" spans="4:4" ht="14.25" customHeight="1">
      <c r="D365" s="45"/>
    </row>
    <row r="366" spans="4:4" ht="14.25" customHeight="1">
      <c r="D366" s="45"/>
    </row>
    <row r="367" spans="4:4" ht="14.25" customHeight="1">
      <c r="D367" s="45"/>
    </row>
    <row r="368" spans="4:4" ht="14.25" customHeight="1">
      <c r="D368" s="45"/>
    </row>
    <row r="369" spans="4:4" ht="14.25" customHeight="1">
      <c r="D369" s="45"/>
    </row>
    <row r="370" spans="4:4" ht="14.25" customHeight="1">
      <c r="D370" s="45"/>
    </row>
    <row r="371" spans="4:4" ht="14.25" customHeight="1">
      <c r="D371" s="45"/>
    </row>
    <row r="372" spans="4:4" ht="14.25" customHeight="1">
      <c r="D372" s="45"/>
    </row>
    <row r="373" spans="4:4" ht="14.25" customHeight="1">
      <c r="D373" s="45"/>
    </row>
    <row r="374" spans="4:4" ht="14.25" customHeight="1">
      <c r="D374" s="45"/>
    </row>
    <row r="375" spans="4:4" ht="14.25" customHeight="1">
      <c r="D375" s="45"/>
    </row>
    <row r="376" spans="4:4" ht="14.25" customHeight="1">
      <c r="D376" s="45"/>
    </row>
    <row r="377" spans="4:4" ht="14.25" customHeight="1">
      <c r="D377" s="45"/>
    </row>
    <row r="378" spans="4:4" ht="14.25" customHeight="1">
      <c r="D378" s="45"/>
    </row>
    <row r="379" spans="4:4" ht="14.25" customHeight="1">
      <c r="D379" s="45"/>
    </row>
    <row r="380" spans="4:4" ht="14.25" customHeight="1">
      <c r="D380" s="45"/>
    </row>
    <row r="381" spans="4:4" ht="14.25" customHeight="1">
      <c r="D381" s="45"/>
    </row>
    <row r="382" spans="4:4" ht="14.25" customHeight="1">
      <c r="D382" s="45"/>
    </row>
    <row r="383" spans="4:4" ht="14.25" customHeight="1">
      <c r="D383" s="45"/>
    </row>
    <row r="384" spans="4:4" ht="14.25" customHeight="1">
      <c r="D384" s="45"/>
    </row>
    <row r="385" spans="4:4" ht="14.25" customHeight="1">
      <c r="D385" s="45"/>
    </row>
    <row r="386" spans="4:4" ht="14.25" customHeight="1">
      <c r="D386" s="45"/>
    </row>
    <row r="387" spans="4:4" ht="14.25" customHeight="1">
      <c r="D387" s="45"/>
    </row>
    <row r="388" spans="4:4" ht="14.25" customHeight="1">
      <c r="D388" s="45"/>
    </row>
    <row r="389" spans="4:4" ht="14.25" customHeight="1">
      <c r="D389" s="45"/>
    </row>
    <row r="390" spans="4:4" ht="14.25" customHeight="1">
      <c r="D390" s="45"/>
    </row>
    <row r="391" spans="4:4" ht="14.25" customHeight="1">
      <c r="D391" s="45"/>
    </row>
    <row r="392" spans="4:4" ht="14.25" customHeight="1">
      <c r="D392" s="45"/>
    </row>
    <row r="393" spans="4:4" ht="14.25" customHeight="1">
      <c r="D393" s="45"/>
    </row>
    <row r="394" spans="4:4" ht="14.25" customHeight="1">
      <c r="D394" s="45"/>
    </row>
    <row r="395" spans="4:4" ht="14.25" customHeight="1">
      <c r="D395" s="45"/>
    </row>
    <row r="396" spans="4:4" ht="14.25" customHeight="1">
      <c r="D396" s="45"/>
    </row>
    <row r="397" spans="4:4" ht="14.25" customHeight="1">
      <c r="D397" s="45"/>
    </row>
    <row r="398" spans="4:4" ht="14.25" customHeight="1">
      <c r="D398" s="45"/>
    </row>
    <row r="399" spans="4:4" ht="14.25" customHeight="1">
      <c r="D399" s="45"/>
    </row>
    <row r="400" spans="4:4" ht="14.25" customHeight="1">
      <c r="D400" s="45"/>
    </row>
    <row r="401" spans="4:4" ht="14.25" customHeight="1">
      <c r="D401" s="45"/>
    </row>
    <row r="402" spans="4:4" ht="14.25" customHeight="1">
      <c r="D402" s="45"/>
    </row>
    <row r="403" spans="4:4" ht="14.25" customHeight="1">
      <c r="D403" s="45"/>
    </row>
    <row r="404" spans="4:4" ht="14.25" customHeight="1">
      <c r="D404" s="45"/>
    </row>
    <row r="405" spans="4:4" ht="14.25" customHeight="1">
      <c r="D405" s="45"/>
    </row>
    <row r="406" spans="4:4" ht="14.25" customHeight="1">
      <c r="D406" s="45"/>
    </row>
    <row r="407" spans="4:4" ht="14.25" customHeight="1">
      <c r="D407" s="45"/>
    </row>
    <row r="408" spans="4:4" ht="14.25" customHeight="1">
      <c r="D408" s="45"/>
    </row>
    <row r="409" spans="4:4" ht="14.25" customHeight="1">
      <c r="D409" s="45"/>
    </row>
    <row r="410" spans="4:4" ht="14.25" customHeight="1">
      <c r="D410" s="45"/>
    </row>
    <row r="411" spans="4:4" ht="14.25" customHeight="1">
      <c r="D411" s="45"/>
    </row>
    <row r="412" spans="4:4" ht="14.25" customHeight="1">
      <c r="D412" s="45"/>
    </row>
    <row r="413" spans="4:4" ht="14.25" customHeight="1">
      <c r="D413" s="45"/>
    </row>
    <row r="414" spans="4:4" ht="14.25" customHeight="1">
      <c r="D414" s="45"/>
    </row>
    <row r="415" spans="4:4" ht="14.25" customHeight="1">
      <c r="D415" s="45"/>
    </row>
    <row r="416" spans="4:4" ht="14.25" customHeight="1">
      <c r="D416" s="45"/>
    </row>
    <row r="417" spans="4:4" ht="14.25" customHeight="1">
      <c r="D417" s="45"/>
    </row>
    <row r="418" spans="4:4" ht="14.25" customHeight="1">
      <c r="D418" s="45"/>
    </row>
    <row r="419" spans="4:4" ht="14.25" customHeight="1">
      <c r="D419" s="45"/>
    </row>
    <row r="420" spans="4:4" ht="14.25" customHeight="1">
      <c r="D420" s="45"/>
    </row>
    <row r="421" spans="4:4" ht="14.25" customHeight="1">
      <c r="D421" s="45"/>
    </row>
    <row r="422" spans="4:4" ht="14.25" customHeight="1">
      <c r="D422" s="45"/>
    </row>
    <row r="423" spans="4:4" ht="14.25" customHeight="1">
      <c r="D423" s="45"/>
    </row>
    <row r="424" spans="4:4" ht="14.25" customHeight="1">
      <c r="D424" s="45"/>
    </row>
    <row r="425" spans="4:4" ht="14.25" customHeight="1">
      <c r="D425" s="45"/>
    </row>
    <row r="426" spans="4:4" ht="14.25" customHeight="1">
      <c r="D426" s="45"/>
    </row>
    <row r="427" spans="4:4" ht="14.25" customHeight="1">
      <c r="D427" s="45"/>
    </row>
    <row r="428" spans="4:4" ht="14.25" customHeight="1">
      <c r="D428" s="45"/>
    </row>
    <row r="429" spans="4:4" ht="14.25" customHeight="1">
      <c r="D429" s="45"/>
    </row>
    <row r="430" spans="4:4" ht="14.25" customHeight="1">
      <c r="D430" s="45"/>
    </row>
    <row r="431" spans="4:4" ht="14.25" customHeight="1">
      <c r="D431" s="45"/>
    </row>
    <row r="432" spans="4:4" ht="14.25" customHeight="1">
      <c r="D432" s="45"/>
    </row>
    <row r="433" spans="4:4" ht="14.25" customHeight="1">
      <c r="D433" s="45"/>
    </row>
    <row r="434" spans="4:4" ht="14.25" customHeight="1">
      <c r="D434" s="45"/>
    </row>
    <row r="435" spans="4:4" ht="14.25" customHeight="1">
      <c r="D435" s="45"/>
    </row>
    <row r="436" spans="4:4" ht="14.25" customHeight="1">
      <c r="D436" s="45"/>
    </row>
    <row r="437" spans="4:4" ht="14.25" customHeight="1">
      <c r="D437" s="45"/>
    </row>
    <row r="438" spans="4:4" ht="14.25" customHeight="1">
      <c r="D438" s="45"/>
    </row>
    <row r="439" spans="4:4" ht="14.25" customHeight="1">
      <c r="D439" s="45"/>
    </row>
    <row r="440" spans="4:4" ht="14.25" customHeight="1">
      <c r="D440" s="45"/>
    </row>
    <row r="441" spans="4:4" ht="14.25" customHeight="1">
      <c r="D441" s="45"/>
    </row>
    <row r="442" spans="4:4" ht="14.25" customHeight="1">
      <c r="D442" s="45"/>
    </row>
    <row r="443" spans="4:4" ht="14.25" customHeight="1">
      <c r="D443" s="45"/>
    </row>
    <row r="444" spans="4:4" ht="14.25" customHeight="1">
      <c r="D444" s="45"/>
    </row>
    <row r="445" spans="4:4" ht="14.25" customHeight="1">
      <c r="D445" s="45"/>
    </row>
    <row r="446" spans="4:4" ht="14.25" customHeight="1">
      <c r="D446" s="45"/>
    </row>
    <row r="447" spans="4:4" ht="14.25" customHeight="1">
      <c r="D447" s="45"/>
    </row>
    <row r="448" spans="4:4" ht="14.25" customHeight="1">
      <c r="D448" s="45"/>
    </row>
    <row r="449" spans="4:4" ht="14.25" customHeight="1">
      <c r="D449" s="45"/>
    </row>
    <row r="450" spans="4:4" ht="14.25" customHeight="1">
      <c r="D450" s="45"/>
    </row>
    <row r="451" spans="4:4" ht="14.25" customHeight="1">
      <c r="D451" s="45"/>
    </row>
    <row r="452" spans="4:4" ht="14.25" customHeight="1">
      <c r="D452" s="45"/>
    </row>
    <row r="453" spans="4:4" ht="14.25" customHeight="1">
      <c r="D453" s="45"/>
    </row>
    <row r="454" spans="4:4" ht="14.25" customHeight="1">
      <c r="D454" s="45"/>
    </row>
    <row r="455" spans="4:4" ht="14.25" customHeight="1">
      <c r="D455" s="45"/>
    </row>
    <row r="456" spans="4:4" ht="14.25" customHeight="1">
      <c r="D456" s="45"/>
    </row>
    <row r="457" spans="4:4" ht="14.25" customHeight="1">
      <c r="D457" s="45"/>
    </row>
    <row r="458" spans="4:4" ht="14.25" customHeight="1">
      <c r="D458" s="45"/>
    </row>
    <row r="459" spans="4:4" ht="14.25" customHeight="1">
      <c r="D459" s="45"/>
    </row>
    <row r="460" spans="4:4" ht="14.25" customHeight="1">
      <c r="D460" s="45"/>
    </row>
    <row r="461" spans="4:4" ht="14.25" customHeight="1">
      <c r="D461" s="45"/>
    </row>
    <row r="462" spans="4:4" ht="14.25" customHeight="1">
      <c r="D462" s="45"/>
    </row>
    <row r="463" spans="4:4" ht="14.25" customHeight="1">
      <c r="D463" s="45"/>
    </row>
    <row r="464" spans="4:4" ht="14.25" customHeight="1">
      <c r="D464" s="45"/>
    </row>
    <row r="465" spans="4:4" ht="14.25" customHeight="1">
      <c r="D465" s="45"/>
    </row>
    <row r="466" spans="4:4" ht="14.25" customHeight="1">
      <c r="D466" s="45"/>
    </row>
    <row r="467" spans="4:4" ht="14.25" customHeight="1">
      <c r="D467" s="45"/>
    </row>
    <row r="468" spans="4:4" ht="14.25" customHeight="1">
      <c r="D468" s="45"/>
    </row>
    <row r="469" spans="4:4" ht="14.25" customHeight="1">
      <c r="D469" s="45"/>
    </row>
    <row r="470" spans="4:4" ht="14.25" customHeight="1">
      <c r="D470" s="45"/>
    </row>
    <row r="471" spans="4:4" ht="14.25" customHeight="1">
      <c r="D471" s="45"/>
    </row>
    <row r="472" spans="4:4" ht="14.25" customHeight="1">
      <c r="D472" s="45"/>
    </row>
    <row r="473" spans="4:4" ht="14.25" customHeight="1">
      <c r="D473" s="45"/>
    </row>
    <row r="474" spans="4:4" ht="14.25" customHeight="1">
      <c r="D474" s="45"/>
    </row>
    <row r="475" spans="4:4" ht="14.25" customHeight="1">
      <c r="D475" s="45"/>
    </row>
    <row r="476" spans="4:4" ht="14.25" customHeight="1">
      <c r="D476" s="45"/>
    </row>
    <row r="477" spans="4:4" ht="14.25" customHeight="1">
      <c r="D477" s="45"/>
    </row>
    <row r="478" spans="4:4" ht="14.25" customHeight="1">
      <c r="D478" s="45"/>
    </row>
    <row r="479" spans="4:4" ht="14.25" customHeight="1">
      <c r="D479" s="45"/>
    </row>
    <row r="480" spans="4:4" ht="14.25" customHeight="1">
      <c r="D480" s="45"/>
    </row>
    <row r="481" spans="4:4" ht="14.25" customHeight="1">
      <c r="D481" s="45"/>
    </row>
    <row r="482" spans="4:4" ht="14.25" customHeight="1">
      <c r="D482" s="45"/>
    </row>
    <row r="483" spans="4:4" ht="14.25" customHeight="1">
      <c r="D483" s="45"/>
    </row>
    <row r="484" spans="4:4" ht="14.25" customHeight="1">
      <c r="D484" s="45"/>
    </row>
    <row r="485" spans="4:4" ht="14.25" customHeight="1">
      <c r="D485" s="45"/>
    </row>
    <row r="486" spans="4:4" ht="14.25" customHeight="1">
      <c r="D486" s="45"/>
    </row>
    <row r="487" spans="4:4" ht="14.25" customHeight="1">
      <c r="D487" s="45"/>
    </row>
    <row r="488" spans="4:4" ht="14.25" customHeight="1">
      <c r="D488" s="45"/>
    </row>
    <row r="489" spans="4:4" ht="14.25" customHeight="1">
      <c r="D489" s="45"/>
    </row>
    <row r="490" spans="4:4" ht="14.25" customHeight="1">
      <c r="D490" s="45"/>
    </row>
    <row r="491" spans="4:4" ht="14.25" customHeight="1">
      <c r="D491" s="45"/>
    </row>
    <row r="492" spans="4:4" ht="14.25" customHeight="1">
      <c r="D492" s="45"/>
    </row>
    <row r="493" spans="4:4" ht="14.25" customHeight="1">
      <c r="D493" s="45"/>
    </row>
    <row r="494" spans="4:4" ht="14.25" customHeight="1">
      <c r="D494" s="45"/>
    </row>
    <row r="495" spans="4:4" ht="14.25" customHeight="1">
      <c r="D495" s="45"/>
    </row>
    <row r="496" spans="4:4" ht="14.25" customHeight="1">
      <c r="D496" s="45"/>
    </row>
    <row r="497" spans="4:4" ht="14.25" customHeight="1">
      <c r="D497" s="45"/>
    </row>
    <row r="498" spans="4:4" ht="14.25" customHeight="1">
      <c r="D498" s="45"/>
    </row>
    <row r="499" spans="4:4" ht="14.25" customHeight="1">
      <c r="D499" s="45"/>
    </row>
    <row r="500" spans="4:4" ht="14.25" customHeight="1">
      <c r="D500" s="45"/>
    </row>
    <row r="501" spans="4:4" ht="14.25" customHeight="1">
      <c r="D501" s="45"/>
    </row>
    <row r="502" spans="4:4" ht="14.25" customHeight="1">
      <c r="D502" s="45"/>
    </row>
    <row r="503" spans="4:4" ht="14.25" customHeight="1">
      <c r="D503" s="45"/>
    </row>
    <row r="504" spans="4:4" ht="14.25" customHeight="1">
      <c r="D504" s="45"/>
    </row>
    <row r="505" spans="4:4" ht="14.25" customHeight="1">
      <c r="D505" s="45"/>
    </row>
    <row r="506" spans="4:4" ht="14.25" customHeight="1">
      <c r="D506" s="45"/>
    </row>
    <row r="507" spans="4:4" ht="14.25" customHeight="1">
      <c r="D507" s="45"/>
    </row>
    <row r="508" spans="4:4" ht="14.25" customHeight="1">
      <c r="D508" s="45"/>
    </row>
    <row r="509" spans="4:4" ht="14.25" customHeight="1">
      <c r="D509" s="45"/>
    </row>
    <row r="510" spans="4:4" ht="14.25" customHeight="1">
      <c r="D510" s="45"/>
    </row>
    <row r="511" spans="4:4" ht="14.25" customHeight="1">
      <c r="D511" s="45"/>
    </row>
    <row r="512" spans="4:4" ht="14.25" customHeight="1">
      <c r="D512" s="45"/>
    </row>
    <row r="513" spans="4:4" ht="14.25" customHeight="1">
      <c r="D513" s="45"/>
    </row>
    <row r="514" spans="4:4" ht="14.25" customHeight="1">
      <c r="D514" s="45"/>
    </row>
    <row r="515" spans="4:4" ht="14.25" customHeight="1">
      <c r="D515" s="45"/>
    </row>
    <row r="516" spans="4:4" ht="14.25" customHeight="1">
      <c r="D516" s="45"/>
    </row>
    <row r="517" spans="4:4" ht="14.25" customHeight="1">
      <c r="D517" s="45"/>
    </row>
    <row r="518" spans="4:4" ht="14.25" customHeight="1">
      <c r="D518" s="45"/>
    </row>
    <row r="519" spans="4:4" ht="14.25" customHeight="1">
      <c r="D519" s="45"/>
    </row>
    <row r="520" spans="4:4" ht="14.25" customHeight="1">
      <c r="D520" s="45"/>
    </row>
    <row r="521" spans="4:4" ht="14.25" customHeight="1">
      <c r="D521" s="45"/>
    </row>
    <row r="522" spans="4:4" ht="14.25" customHeight="1">
      <c r="D522" s="45"/>
    </row>
    <row r="523" spans="4:4" ht="14.25" customHeight="1">
      <c r="D523" s="45"/>
    </row>
    <row r="524" spans="4:4" ht="14.25" customHeight="1">
      <c r="D524" s="45"/>
    </row>
    <row r="525" spans="4:4" ht="14.25" customHeight="1">
      <c r="D525" s="45"/>
    </row>
    <row r="526" spans="4:4" ht="14.25" customHeight="1">
      <c r="D526" s="45"/>
    </row>
    <row r="527" spans="4:4" ht="14.25" customHeight="1">
      <c r="D527" s="45"/>
    </row>
    <row r="528" spans="4:4" ht="14.25" customHeight="1">
      <c r="D528" s="45"/>
    </row>
    <row r="529" spans="4:4" ht="14.25" customHeight="1">
      <c r="D529" s="45"/>
    </row>
    <row r="530" spans="4:4" ht="14.25" customHeight="1">
      <c r="D530" s="45"/>
    </row>
    <row r="531" spans="4:4" ht="14.25" customHeight="1">
      <c r="D531" s="45"/>
    </row>
    <row r="532" spans="4:4" ht="14.25" customHeight="1">
      <c r="D532" s="45"/>
    </row>
    <row r="533" spans="4:4" ht="14.25" customHeight="1">
      <c r="D533" s="45"/>
    </row>
    <row r="534" spans="4:4" ht="14.25" customHeight="1">
      <c r="D534" s="45"/>
    </row>
    <row r="535" spans="4:4" ht="14.25" customHeight="1">
      <c r="D535" s="45"/>
    </row>
    <row r="536" spans="4:4" ht="14.25" customHeight="1">
      <c r="D536" s="45"/>
    </row>
    <row r="537" spans="4:4" ht="14.25" customHeight="1">
      <c r="D537" s="45"/>
    </row>
    <row r="538" spans="4:4" ht="14.25" customHeight="1">
      <c r="D538" s="45"/>
    </row>
    <row r="539" spans="4:4" ht="14.25" customHeight="1">
      <c r="D539" s="45"/>
    </row>
    <row r="540" spans="4:4" ht="14.25" customHeight="1">
      <c r="D540" s="45"/>
    </row>
    <row r="541" spans="4:4" ht="14.25" customHeight="1">
      <c r="D541" s="45"/>
    </row>
    <row r="542" spans="4:4" ht="14.25" customHeight="1">
      <c r="D542" s="45"/>
    </row>
    <row r="543" spans="4:4" ht="14.25" customHeight="1">
      <c r="D543" s="45"/>
    </row>
    <row r="544" spans="4:4" ht="14.25" customHeight="1">
      <c r="D544" s="45"/>
    </row>
    <row r="545" spans="4:4" ht="14.25" customHeight="1">
      <c r="D545" s="45"/>
    </row>
    <row r="546" spans="4:4" ht="14.25" customHeight="1">
      <c r="D546" s="45"/>
    </row>
    <row r="547" spans="4:4" ht="14.25" customHeight="1">
      <c r="D547" s="45"/>
    </row>
    <row r="548" spans="4:4" ht="14.25" customHeight="1">
      <c r="D548" s="45"/>
    </row>
    <row r="549" spans="4:4" ht="14.25" customHeight="1">
      <c r="D549" s="45"/>
    </row>
    <row r="550" spans="4:4" ht="14.25" customHeight="1">
      <c r="D550" s="45"/>
    </row>
    <row r="551" spans="4:4" ht="14.25" customHeight="1">
      <c r="D551" s="45"/>
    </row>
    <row r="552" spans="4:4" ht="14.25" customHeight="1">
      <c r="D552" s="45"/>
    </row>
    <row r="553" spans="4:4" ht="14.25" customHeight="1">
      <c r="D553" s="45"/>
    </row>
    <row r="554" spans="4:4" ht="14.25" customHeight="1">
      <c r="D554" s="45"/>
    </row>
    <row r="555" spans="4:4" ht="14.25" customHeight="1">
      <c r="D555" s="45"/>
    </row>
    <row r="556" spans="4:4" ht="14.25" customHeight="1">
      <c r="D556" s="45"/>
    </row>
    <row r="557" spans="4:4" ht="14.25" customHeight="1">
      <c r="D557" s="45"/>
    </row>
    <row r="558" spans="4:4" ht="14.25" customHeight="1">
      <c r="D558" s="45"/>
    </row>
    <row r="559" spans="4:4" ht="14.25" customHeight="1">
      <c r="D559" s="45"/>
    </row>
    <row r="560" spans="4:4" ht="14.25" customHeight="1">
      <c r="D560" s="45"/>
    </row>
    <row r="561" spans="4:4" ht="14.25" customHeight="1">
      <c r="D561" s="45"/>
    </row>
    <row r="562" spans="4:4" ht="14.25" customHeight="1">
      <c r="D562" s="45"/>
    </row>
    <row r="563" spans="4:4" ht="14.25" customHeight="1">
      <c r="D563" s="45"/>
    </row>
    <row r="564" spans="4:4" ht="14.25" customHeight="1">
      <c r="D564" s="45"/>
    </row>
    <row r="565" spans="4:4" ht="14.25" customHeight="1">
      <c r="D565" s="45"/>
    </row>
    <row r="566" spans="4:4" ht="14.25" customHeight="1">
      <c r="D566" s="45"/>
    </row>
    <row r="567" spans="4:4" ht="14.25" customHeight="1">
      <c r="D567" s="45"/>
    </row>
    <row r="568" spans="4:4" ht="14.25" customHeight="1">
      <c r="D568" s="45"/>
    </row>
    <row r="569" spans="4:4" ht="14.25" customHeight="1">
      <c r="D569" s="45"/>
    </row>
    <row r="570" spans="4:4" ht="14.25" customHeight="1">
      <c r="D570" s="45"/>
    </row>
    <row r="571" spans="4:4" ht="14.25" customHeight="1">
      <c r="D571" s="45"/>
    </row>
    <row r="572" spans="4:4" ht="14.25" customHeight="1">
      <c r="D572" s="45"/>
    </row>
    <row r="573" spans="4:4" ht="14.25" customHeight="1">
      <c r="D573" s="45"/>
    </row>
    <row r="574" spans="4:4" ht="14.25" customHeight="1">
      <c r="D574" s="45"/>
    </row>
    <row r="575" spans="4:4" ht="14.25" customHeight="1">
      <c r="D575" s="45"/>
    </row>
    <row r="576" spans="4:4" ht="14.25" customHeight="1">
      <c r="D576" s="45"/>
    </row>
    <row r="577" spans="4:4" ht="14.25" customHeight="1">
      <c r="D577" s="45"/>
    </row>
    <row r="578" spans="4:4" ht="14.25" customHeight="1">
      <c r="D578" s="45"/>
    </row>
    <row r="579" spans="4:4" ht="14.25" customHeight="1">
      <c r="D579" s="45"/>
    </row>
    <row r="580" spans="4:4" ht="14.25" customHeight="1">
      <c r="D580" s="45"/>
    </row>
    <row r="581" spans="4:4" ht="14.25" customHeight="1">
      <c r="D581" s="45"/>
    </row>
    <row r="582" spans="4:4" ht="14.25" customHeight="1">
      <c r="D582" s="45"/>
    </row>
    <row r="583" spans="4:4" ht="14.25" customHeight="1">
      <c r="D583" s="45"/>
    </row>
    <row r="584" spans="4:4" ht="14.25" customHeight="1">
      <c r="D584" s="45"/>
    </row>
    <row r="585" spans="4:4" ht="14.25" customHeight="1">
      <c r="D585" s="45"/>
    </row>
    <row r="586" spans="4:4" ht="14.25" customHeight="1">
      <c r="D586" s="45"/>
    </row>
    <row r="587" spans="4:4" ht="14.25" customHeight="1">
      <c r="D587" s="45"/>
    </row>
    <row r="588" spans="4:4" ht="14.25" customHeight="1">
      <c r="D588" s="45"/>
    </row>
    <row r="589" spans="4:4" ht="14.25" customHeight="1">
      <c r="D589" s="45"/>
    </row>
    <row r="590" spans="4:4" ht="14.25" customHeight="1">
      <c r="D590" s="45"/>
    </row>
    <row r="591" spans="4:4" ht="14.25" customHeight="1">
      <c r="D591" s="45"/>
    </row>
    <row r="592" spans="4:4" ht="14.25" customHeight="1">
      <c r="D592" s="45"/>
    </row>
    <row r="593" spans="4:4" ht="14.25" customHeight="1">
      <c r="D593" s="45"/>
    </row>
    <row r="594" spans="4:4" ht="14.25" customHeight="1">
      <c r="D594" s="45"/>
    </row>
    <row r="595" spans="4:4" ht="14.25" customHeight="1">
      <c r="D595" s="45"/>
    </row>
    <row r="596" spans="4:4" ht="14.25" customHeight="1">
      <c r="D596" s="45"/>
    </row>
    <row r="597" spans="4:4" ht="14.25" customHeight="1">
      <c r="D597" s="45"/>
    </row>
    <row r="598" spans="4:4" ht="14.25" customHeight="1">
      <c r="D598" s="45"/>
    </row>
    <row r="599" spans="4:4" ht="14.25" customHeight="1">
      <c r="D599" s="45"/>
    </row>
    <row r="600" spans="4:4" ht="14.25" customHeight="1">
      <c r="D600" s="45"/>
    </row>
    <row r="601" spans="4:4" ht="14.25" customHeight="1">
      <c r="D601" s="45"/>
    </row>
    <row r="602" spans="4:4" ht="14.25" customHeight="1">
      <c r="D602" s="45"/>
    </row>
    <row r="603" spans="4:4" ht="14.25" customHeight="1">
      <c r="D603" s="45"/>
    </row>
    <row r="604" spans="4:4" ht="14.25" customHeight="1">
      <c r="D604" s="45"/>
    </row>
    <row r="605" spans="4:4" ht="14.25" customHeight="1">
      <c r="D605" s="45"/>
    </row>
    <row r="606" spans="4:4" ht="14.25" customHeight="1">
      <c r="D606" s="45"/>
    </row>
    <row r="607" spans="4:4" ht="14.25" customHeight="1">
      <c r="D607" s="45"/>
    </row>
    <row r="608" spans="4:4" ht="14.25" customHeight="1">
      <c r="D608" s="45"/>
    </row>
    <row r="609" spans="4:4" ht="14.25" customHeight="1">
      <c r="D609" s="45"/>
    </row>
    <row r="610" spans="4:4" ht="14.25" customHeight="1">
      <c r="D610" s="45"/>
    </row>
    <row r="611" spans="4:4" ht="14.25" customHeight="1">
      <c r="D611" s="45"/>
    </row>
    <row r="612" spans="4:4" ht="14.25" customHeight="1">
      <c r="D612" s="45"/>
    </row>
    <row r="613" spans="4:4" ht="14.25" customHeight="1">
      <c r="D613" s="45"/>
    </row>
    <row r="614" spans="4:4" ht="14.25" customHeight="1">
      <c r="D614" s="45"/>
    </row>
    <row r="615" spans="4:4" ht="14.25" customHeight="1">
      <c r="D615" s="45"/>
    </row>
    <row r="616" spans="4:4" ht="14.25" customHeight="1">
      <c r="D616" s="45"/>
    </row>
    <row r="617" spans="4:4" ht="14.25" customHeight="1">
      <c r="D617" s="45"/>
    </row>
    <row r="618" spans="4:4" ht="14.25" customHeight="1">
      <c r="D618" s="45"/>
    </row>
    <row r="619" spans="4:4" ht="14.25" customHeight="1">
      <c r="D619" s="45"/>
    </row>
    <row r="620" spans="4:4" ht="14.25" customHeight="1">
      <c r="D620" s="45"/>
    </row>
    <row r="621" spans="4:4" ht="14.25" customHeight="1">
      <c r="D621" s="45"/>
    </row>
    <row r="622" spans="4:4" ht="14.25" customHeight="1">
      <c r="D622" s="45"/>
    </row>
    <row r="623" spans="4:4" ht="14.25" customHeight="1">
      <c r="D623" s="45"/>
    </row>
    <row r="624" spans="4:4" ht="14.25" customHeight="1">
      <c r="D624" s="45"/>
    </row>
    <row r="625" spans="4:4" ht="14.25" customHeight="1">
      <c r="D625" s="45"/>
    </row>
    <row r="626" spans="4:4" ht="14.25" customHeight="1">
      <c r="D626" s="45"/>
    </row>
    <row r="627" spans="4:4" ht="14.25" customHeight="1">
      <c r="D627" s="45"/>
    </row>
    <row r="628" spans="4:4" ht="14.25" customHeight="1">
      <c r="D628" s="45"/>
    </row>
    <row r="629" spans="4:4" ht="14.25" customHeight="1">
      <c r="D629" s="45"/>
    </row>
    <row r="630" spans="4:4" ht="14.25" customHeight="1">
      <c r="D630" s="45"/>
    </row>
    <row r="631" spans="4:4" ht="14.25" customHeight="1">
      <c r="D631" s="45"/>
    </row>
    <row r="632" spans="4:4" ht="14.25" customHeight="1">
      <c r="D632" s="45"/>
    </row>
    <row r="633" spans="4:4" ht="14.25" customHeight="1">
      <c r="D633" s="45"/>
    </row>
    <row r="634" spans="4:4" ht="14.25" customHeight="1">
      <c r="D634" s="45"/>
    </row>
    <row r="635" spans="4:4" ht="14.25" customHeight="1">
      <c r="D635" s="45"/>
    </row>
    <row r="636" spans="4:4" ht="14.25" customHeight="1">
      <c r="D636" s="45"/>
    </row>
    <row r="637" spans="4:4" ht="14.25" customHeight="1">
      <c r="D637" s="45"/>
    </row>
    <row r="638" spans="4:4" ht="14.25" customHeight="1">
      <c r="D638" s="45"/>
    </row>
    <row r="639" spans="4:4" ht="14.25" customHeight="1">
      <c r="D639" s="45"/>
    </row>
    <row r="640" spans="4:4" ht="14.25" customHeight="1">
      <c r="D640" s="45"/>
    </row>
    <row r="641" spans="4:4" ht="14.25" customHeight="1">
      <c r="D641" s="45"/>
    </row>
    <row r="642" spans="4:4" ht="14.25" customHeight="1">
      <c r="D642" s="45"/>
    </row>
    <row r="643" spans="4:4" ht="14.25" customHeight="1">
      <c r="D643" s="45"/>
    </row>
    <row r="644" spans="4:4" ht="14.25" customHeight="1">
      <c r="D644" s="45"/>
    </row>
    <row r="645" spans="4:4" ht="14.25" customHeight="1">
      <c r="D645" s="45"/>
    </row>
    <row r="646" spans="4:4" ht="14.25" customHeight="1">
      <c r="D646" s="45"/>
    </row>
    <row r="647" spans="4:4" ht="14.25" customHeight="1">
      <c r="D647" s="45"/>
    </row>
    <row r="648" spans="4:4" ht="14.25" customHeight="1">
      <c r="D648" s="45"/>
    </row>
    <row r="649" spans="4:4" ht="14.25" customHeight="1">
      <c r="D649" s="45"/>
    </row>
    <row r="650" spans="4:4" ht="14.25" customHeight="1">
      <c r="D650" s="45"/>
    </row>
    <row r="651" spans="4:4" ht="14.25" customHeight="1">
      <c r="D651" s="45"/>
    </row>
    <row r="652" spans="4:4" ht="14.25" customHeight="1">
      <c r="D652" s="45"/>
    </row>
    <row r="653" spans="4:4" ht="14.25" customHeight="1">
      <c r="D653" s="45"/>
    </row>
    <row r="654" spans="4:4" ht="14.25" customHeight="1">
      <c r="D654" s="45"/>
    </row>
    <row r="655" spans="4:4" ht="14.25" customHeight="1">
      <c r="D655" s="45"/>
    </row>
    <row r="656" spans="4:4" ht="14.25" customHeight="1">
      <c r="D656" s="45"/>
    </row>
    <row r="657" spans="4:4" ht="14.25" customHeight="1">
      <c r="D657" s="45"/>
    </row>
    <row r="658" spans="4:4" ht="14.25" customHeight="1">
      <c r="D658" s="45"/>
    </row>
    <row r="659" spans="4:4" ht="14.25" customHeight="1">
      <c r="D659" s="45"/>
    </row>
    <row r="660" spans="4:4" ht="14.25" customHeight="1">
      <c r="D660" s="45"/>
    </row>
    <row r="661" spans="4:4" ht="14.25" customHeight="1">
      <c r="D661" s="45"/>
    </row>
    <row r="662" spans="4:4" ht="14.25" customHeight="1">
      <c r="D662" s="45"/>
    </row>
    <row r="663" spans="4:4" ht="14.25" customHeight="1">
      <c r="D663" s="45"/>
    </row>
    <row r="664" spans="4:4" ht="14.25" customHeight="1">
      <c r="D664" s="45"/>
    </row>
    <row r="665" spans="4:4" ht="14.25" customHeight="1">
      <c r="D665" s="45"/>
    </row>
    <row r="666" spans="4:4" ht="14.25" customHeight="1">
      <c r="D666" s="45"/>
    </row>
    <row r="667" spans="4:4" ht="14.25" customHeight="1">
      <c r="D667" s="45"/>
    </row>
    <row r="668" spans="4:4" ht="14.25" customHeight="1">
      <c r="D668" s="45"/>
    </row>
    <row r="669" spans="4:4" ht="14.25" customHeight="1">
      <c r="D669" s="45"/>
    </row>
    <row r="670" spans="4:4" ht="14.25" customHeight="1">
      <c r="D670" s="45"/>
    </row>
    <row r="671" spans="4:4" ht="14.25" customHeight="1">
      <c r="D671" s="45"/>
    </row>
    <row r="672" spans="4:4" ht="14.25" customHeight="1">
      <c r="D672" s="45"/>
    </row>
    <row r="673" spans="4:4" ht="14.25" customHeight="1">
      <c r="D673" s="45"/>
    </row>
    <row r="674" spans="4:4" ht="14.25" customHeight="1">
      <c r="D674" s="45"/>
    </row>
    <row r="675" spans="4:4" ht="14.25" customHeight="1">
      <c r="D675" s="45"/>
    </row>
    <row r="676" spans="4:4" ht="14.25" customHeight="1">
      <c r="D676" s="45"/>
    </row>
    <row r="677" spans="4:4" ht="14.25" customHeight="1">
      <c r="D677" s="45"/>
    </row>
    <row r="678" spans="4:4" ht="14.25" customHeight="1">
      <c r="D678" s="45"/>
    </row>
    <row r="679" spans="4:4" ht="14.25" customHeight="1">
      <c r="D679" s="45"/>
    </row>
    <row r="680" spans="4:4" ht="14.25" customHeight="1">
      <c r="D680" s="45"/>
    </row>
    <row r="681" spans="4:4" ht="14.25" customHeight="1">
      <c r="D681" s="45"/>
    </row>
    <row r="682" spans="4:4" ht="14.25" customHeight="1">
      <c r="D682" s="45"/>
    </row>
    <row r="683" spans="4:4" ht="14.25" customHeight="1">
      <c r="D683" s="45"/>
    </row>
    <row r="684" spans="4:4" ht="14.25" customHeight="1">
      <c r="D684" s="45"/>
    </row>
    <row r="685" spans="4:4" ht="14.25" customHeight="1">
      <c r="D685" s="45"/>
    </row>
    <row r="686" spans="4:4" ht="14.25" customHeight="1">
      <c r="D686" s="45"/>
    </row>
    <row r="687" spans="4:4" ht="14.25" customHeight="1">
      <c r="D687" s="45"/>
    </row>
    <row r="688" spans="4:4" ht="14.25" customHeight="1">
      <c r="D688" s="45"/>
    </row>
    <row r="689" spans="4:4" ht="14.25" customHeight="1">
      <c r="D689" s="45"/>
    </row>
    <row r="690" spans="4:4" ht="14.25" customHeight="1">
      <c r="D690" s="45"/>
    </row>
    <row r="691" spans="4:4" ht="14.25" customHeight="1">
      <c r="D691" s="45"/>
    </row>
    <row r="692" spans="4:4" ht="14.25" customHeight="1">
      <c r="D692" s="45"/>
    </row>
    <row r="693" spans="4:4" ht="14.25" customHeight="1">
      <c r="D693" s="45"/>
    </row>
    <row r="694" spans="4:4" ht="14.25" customHeight="1">
      <c r="D694" s="45"/>
    </row>
    <row r="695" spans="4:4" ht="14.25" customHeight="1">
      <c r="D695" s="45"/>
    </row>
    <row r="696" spans="4:4" ht="14.25" customHeight="1">
      <c r="D696" s="45"/>
    </row>
    <row r="697" spans="4:4" ht="14.25" customHeight="1">
      <c r="D697" s="45"/>
    </row>
    <row r="698" spans="4:4" ht="14.25" customHeight="1">
      <c r="D698" s="45"/>
    </row>
    <row r="699" spans="4:4" ht="14.25" customHeight="1">
      <c r="D699" s="45"/>
    </row>
    <row r="700" spans="4:4" ht="14.25" customHeight="1">
      <c r="D700" s="45"/>
    </row>
    <row r="701" spans="4:4" ht="14.25" customHeight="1">
      <c r="D701" s="45"/>
    </row>
    <row r="702" spans="4:4" ht="14.25" customHeight="1">
      <c r="D702" s="45"/>
    </row>
    <row r="703" spans="4:4" ht="14.25" customHeight="1">
      <c r="D703" s="45"/>
    </row>
    <row r="704" spans="4:4" ht="14.25" customHeight="1">
      <c r="D704" s="45"/>
    </row>
    <row r="705" spans="4:4" ht="14.25" customHeight="1">
      <c r="D705" s="45"/>
    </row>
    <row r="706" spans="4:4" ht="14.25" customHeight="1">
      <c r="D706" s="45"/>
    </row>
    <row r="707" spans="4:4" ht="14.25" customHeight="1">
      <c r="D707" s="45"/>
    </row>
    <row r="708" spans="4:4" ht="14.25" customHeight="1">
      <c r="D708" s="45"/>
    </row>
    <row r="709" spans="4:4" ht="14.25" customHeight="1">
      <c r="D709" s="45"/>
    </row>
    <row r="710" spans="4:4" ht="14.25" customHeight="1">
      <c r="D710" s="45"/>
    </row>
    <row r="711" spans="4:4" ht="14.25" customHeight="1">
      <c r="D711" s="45"/>
    </row>
    <row r="712" spans="4:4" ht="14.25" customHeight="1">
      <c r="D712" s="45"/>
    </row>
    <row r="713" spans="4:4" ht="14.25" customHeight="1">
      <c r="D713" s="45"/>
    </row>
    <row r="714" spans="4:4" ht="14.25" customHeight="1">
      <c r="D714" s="45"/>
    </row>
    <row r="715" spans="4:4" ht="14.25" customHeight="1">
      <c r="D715" s="45"/>
    </row>
    <row r="716" spans="4:4" ht="14.25" customHeight="1">
      <c r="D716" s="45"/>
    </row>
    <row r="717" spans="4:4" ht="14.25" customHeight="1">
      <c r="D717" s="45"/>
    </row>
    <row r="718" spans="4:4" ht="14.25" customHeight="1">
      <c r="D718" s="45"/>
    </row>
    <row r="719" spans="4:4" ht="14.25" customHeight="1">
      <c r="D719" s="45"/>
    </row>
    <row r="720" spans="4:4" ht="14.25" customHeight="1">
      <c r="D720" s="45"/>
    </row>
    <row r="721" spans="4:4" ht="14.25" customHeight="1">
      <c r="D721" s="45"/>
    </row>
    <row r="722" spans="4:4" ht="14.25" customHeight="1">
      <c r="D722" s="45"/>
    </row>
    <row r="723" spans="4:4" ht="14.25" customHeight="1">
      <c r="D723" s="45"/>
    </row>
    <row r="724" spans="4:4" ht="14.25" customHeight="1">
      <c r="D724" s="45"/>
    </row>
    <row r="725" spans="4:4" ht="14.25" customHeight="1">
      <c r="D725" s="45"/>
    </row>
    <row r="726" spans="4:4" ht="14.25" customHeight="1">
      <c r="D726" s="45"/>
    </row>
    <row r="727" spans="4:4" ht="14.25" customHeight="1">
      <c r="D727" s="45"/>
    </row>
    <row r="728" spans="4:4" ht="14.25" customHeight="1">
      <c r="D728" s="45"/>
    </row>
    <row r="729" spans="4:4" ht="14.25" customHeight="1">
      <c r="D729" s="45"/>
    </row>
    <row r="730" spans="4:4" ht="14.25" customHeight="1">
      <c r="D730" s="45"/>
    </row>
    <row r="731" spans="4:4" ht="14.25" customHeight="1">
      <c r="D731" s="45"/>
    </row>
    <row r="732" spans="4:4" ht="14.25" customHeight="1">
      <c r="D732" s="45"/>
    </row>
    <row r="733" spans="4:4" ht="14.25" customHeight="1">
      <c r="D733" s="45"/>
    </row>
    <row r="734" spans="4:4" ht="14.25" customHeight="1">
      <c r="D734" s="45"/>
    </row>
    <row r="735" spans="4:4" ht="14.25" customHeight="1">
      <c r="D735" s="45"/>
    </row>
    <row r="736" spans="4:4" ht="14.25" customHeight="1">
      <c r="D736" s="45"/>
    </row>
    <row r="737" spans="4:4" ht="14.25" customHeight="1">
      <c r="D737" s="45"/>
    </row>
    <row r="738" spans="4:4" ht="14.25" customHeight="1">
      <c r="D738" s="45"/>
    </row>
    <row r="739" spans="4:4" ht="14.25" customHeight="1">
      <c r="D739" s="45"/>
    </row>
    <row r="740" spans="4:4" ht="14.25" customHeight="1">
      <c r="D740" s="45"/>
    </row>
    <row r="741" spans="4:4" ht="14.25" customHeight="1">
      <c r="D741" s="45"/>
    </row>
    <row r="742" spans="4:4" ht="14.25" customHeight="1">
      <c r="D742" s="45"/>
    </row>
    <row r="743" spans="4:4" ht="14.25" customHeight="1">
      <c r="D743" s="45"/>
    </row>
    <row r="744" spans="4:4" ht="14.25" customHeight="1">
      <c r="D744" s="45"/>
    </row>
    <row r="745" spans="4:4" ht="14.25" customHeight="1">
      <c r="D745" s="45"/>
    </row>
    <row r="746" spans="4:4" ht="14.25" customHeight="1">
      <c r="D746" s="45"/>
    </row>
    <row r="747" spans="4:4" ht="14.25" customHeight="1">
      <c r="D747" s="45"/>
    </row>
    <row r="748" spans="4:4" ht="14.25" customHeight="1">
      <c r="D748" s="45"/>
    </row>
    <row r="749" spans="4:4" ht="14.25" customHeight="1">
      <c r="D749" s="45"/>
    </row>
    <row r="750" spans="4:4" ht="14.25" customHeight="1">
      <c r="D750" s="45"/>
    </row>
    <row r="751" spans="4:4" ht="14.25" customHeight="1">
      <c r="D751" s="45"/>
    </row>
    <row r="752" spans="4:4" ht="14.25" customHeight="1">
      <c r="D752" s="45"/>
    </row>
    <row r="753" spans="4:4" ht="14.25" customHeight="1">
      <c r="D753" s="45"/>
    </row>
    <row r="754" spans="4:4" ht="14.25" customHeight="1">
      <c r="D754" s="45"/>
    </row>
    <row r="755" spans="4:4" ht="14.25" customHeight="1">
      <c r="D755" s="45"/>
    </row>
    <row r="756" spans="4:4" ht="14.25" customHeight="1">
      <c r="D756" s="45"/>
    </row>
    <row r="757" spans="4:4" ht="14.25" customHeight="1">
      <c r="D757" s="45"/>
    </row>
    <row r="758" spans="4:4" ht="14.25" customHeight="1">
      <c r="D758" s="45"/>
    </row>
    <row r="759" spans="4:4" ht="14.25" customHeight="1">
      <c r="D759" s="45"/>
    </row>
    <row r="760" spans="4:4" ht="14.25" customHeight="1">
      <c r="D760" s="45"/>
    </row>
    <row r="761" spans="4:4" ht="14.25" customHeight="1">
      <c r="D761" s="45"/>
    </row>
    <row r="762" spans="4:4" ht="14.25" customHeight="1">
      <c r="D762" s="45"/>
    </row>
    <row r="763" spans="4:4" ht="14.25" customHeight="1">
      <c r="D763" s="45"/>
    </row>
    <row r="764" spans="4:4" ht="14.25" customHeight="1">
      <c r="D764" s="45"/>
    </row>
    <row r="765" spans="4:4" ht="14.25" customHeight="1">
      <c r="D765" s="45"/>
    </row>
    <row r="766" spans="4:4" ht="14.25" customHeight="1">
      <c r="D766" s="45"/>
    </row>
    <row r="767" spans="4:4" ht="14.25" customHeight="1">
      <c r="D767" s="45"/>
    </row>
    <row r="768" spans="4:4" ht="14.25" customHeight="1">
      <c r="D768" s="45"/>
    </row>
    <row r="769" spans="4:4" ht="14.25" customHeight="1">
      <c r="D769" s="45"/>
    </row>
    <row r="770" spans="4:4" ht="14.25" customHeight="1">
      <c r="D770" s="45"/>
    </row>
    <row r="771" spans="4:4" ht="14.25" customHeight="1">
      <c r="D771" s="45"/>
    </row>
    <row r="772" spans="4:4" ht="14.25" customHeight="1">
      <c r="D772" s="45"/>
    </row>
    <row r="773" spans="4:4" ht="14.25" customHeight="1">
      <c r="D773" s="45"/>
    </row>
    <row r="774" spans="4:4" ht="14.25" customHeight="1">
      <c r="D774" s="45"/>
    </row>
    <row r="775" spans="4:4" ht="14.25" customHeight="1">
      <c r="D775" s="45"/>
    </row>
    <row r="776" spans="4:4" ht="14.25" customHeight="1">
      <c r="D776" s="45"/>
    </row>
    <row r="777" spans="4:4" ht="14.25" customHeight="1">
      <c r="D777" s="45"/>
    </row>
    <row r="778" spans="4:4" ht="14.25" customHeight="1">
      <c r="D778" s="45"/>
    </row>
    <row r="779" spans="4:4" ht="14.25" customHeight="1">
      <c r="D779" s="45"/>
    </row>
    <row r="780" spans="4:4" ht="14.25" customHeight="1">
      <c r="D780" s="45"/>
    </row>
    <row r="781" spans="4:4" ht="14.25" customHeight="1">
      <c r="D781" s="45"/>
    </row>
    <row r="782" spans="4:4" ht="14.25" customHeight="1">
      <c r="D782" s="45"/>
    </row>
    <row r="783" spans="4:4" ht="14.25" customHeight="1">
      <c r="D783" s="45"/>
    </row>
    <row r="784" spans="4:4" ht="14.25" customHeight="1">
      <c r="D784" s="45"/>
    </row>
    <row r="785" spans="4:4" ht="14.25" customHeight="1">
      <c r="D785" s="45"/>
    </row>
    <row r="786" spans="4:4" ht="14.25" customHeight="1">
      <c r="D786" s="45"/>
    </row>
    <row r="787" spans="4:4" ht="14.25" customHeight="1">
      <c r="D787" s="45"/>
    </row>
    <row r="788" spans="4:4" ht="14.25" customHeight="1">
      <c r="D788" s="45"/>
    </row>
    <row r="789" spans="4:4" ht="14.25" customHeight="1">
      <c r="D789" s="45"/>
    </row>
    <row r="790" spans="4:4" ht="14.25" customHeight="1">
      <c r="D790" s="45"/>
    </row>
    <row r="791" spans="4:4" ht="14.25" customHeight="1">
      <c r="D791" s="45"/>
    </row>
    <row r="792" spans="4:4" ht="14.25" customHeight="1">
      <c r="D792" s="45"/>
    </row>
    <row r="793" spans="4:4" ht="14.25" customHeight="1">
      <c r="D793" s="45"/>
    </row>
    <row r="794" spans="4:4" ht="14.25" customHeight="1">
      <c r="D794" s="45"/>
    </row>
    <row r="795" spans="4:4" ht="14.25" customHeight="1">
      <c r="D795" s="45"/>
    </row>
    <row r="796" spans="4:4" ht="14.25" customHeight="1">
      <c r="D796" s="45"/>
    </row>
    <row r="797" spans="4:4" ht="14.25" customHeight="1">
      <c r="D797" s="45"/>
    </row>
    <row r="798" spans="4:4" ht="14.25" customHeight="1">
      <c r="D798" s="45"/>
    </row>
    <row r="799" spans="4:4" ht="14.25" customHeight="1">
      <c r="D799" s="45"/>
    </row>
    <row r="800" spans="4:4" ht="14.25" customHeight="1">
      <c r="D800" s="45"/>
    </row>
    <row r="801" spans="4:4" ht="14.25" customHeight="1">
      <c r="D801" s="45"/>
    </row>
    <row r="802" spans="4:4" ht="14.25" customHeight="1">
      <c r="D802" s="45"/>
    </row>
    <row r="803" spans="4:4" ht="14.25" customHeight="1">
      <c r="D803" s="45"/>
    </row>
    <row r="804" spans="4:4" ht="14.25" customHeight="1">
      <c r="D804" s="45"/>
    </row>
    <row r="805" spans="4:4" ht="14.25" customHeight="1">
      <c r="D805" s="45"/>
    </row>
    <row r="806" spans="4:4" ht="14.25" customHeight="1">
      <c r="D806" s="45"/>
    </row>
    <row r="807" spans="4:4" ht="14.25" customHeight="1">
      <c r="D807" s="45"/>
    </row>
    <row r="808" spans="4:4" ht="14.25" customHeight="1">
      <c r="D808" s="45"/>
    </row>
    <row r="809" spans="4:4" ht="14.25" customHeight="1">
      <c r="D809" s="45"/>
    </row>
    <row r="810" spans="4:4" ht="14.25" customHeight="1">
      <c r="D810" s="45"/>
    </row>
    <row r="811" spans="4:4" ht="14.25" customHeight="1">
      <c r="D811" s="45"/>
    </row>
    <row r="812" spans="4:4" ht="14.25" customHeight="1">
      <c r="D812" s="45"/>
    </row>
    <row r="813" spans="4:4" ht="14.25" customHeight="1">
      <c r="D813" s="45"/>
    </row>
    <row r="814" spans="4:4" ht="14.25" customHeight="1">
      <c r="D814" s="45"/>
    </row>
    <row r="815" spans="4:4" ht="14.25" customHeight="1">
      <c r="D815" s="45"/>
    </row>
    <row r="816" spans="4:4" ht="14.25" customHeight="1">
      <c r="D816" s="45"/>
    </row>
    <row r="817" spans="4:4" ht="14.25" customHeight="1">
      <c r="D817" s="45"/>
    </row>
    <row r="818" spans="4:4" ht="14.25" customHeight="1">
      <c r="D818" s="45"/>
    </row>
    <row r="819" spans="4:4" ht="14.25" customHeight="1">
      <c r="D819" s="45"/>
    </row>
    <row r="820" spans="4:4" ht="14.25" customHeight="1">
      <c r="D820" s="45"/>
    </row>
    <row r="821" spans="4:4" ht="14.25" customHeight="1">
      <c r="D821" s="45"/>
    </row>
    <row r="822" spans="4:4" ht="14.25" customHeight="1">
      <c r="D822" s="45"/>
    </row>
    <row r="823" spans="4:4" ht="14.25" customHeight="1">
      <c r="D823" s="45"/>
    </row>
    <row r="824" spans="4:4" ht="14.25" customHeight="1">
      <c r="D824" s="45"/>
    </row>
    <row r="825" spans="4:4" ht="14.25" customHeight="1">
      <c r="D825" s="45"/>
    </row>
    <row r="826" spans="4:4" ht="14.25" customHeight="1">
      <c r="D826" s="45"/>
    </row>
    <row r="827" spans="4:4" ht="14.25" customHeight="1">
      <c r="D827" s="45"/>
    </row>
    <row r="828" spans="4:4" ht="14.25" customHeight="1">
      <c r="D828" s="45"/>
    </row>
    <row r="829" spans="4:4" ht="14.25" customHeight="1">
      <c r="D829" s="45"/>
    </row>
    <row r="830" spans="4:4" ht="14.25" customHeight="1">
      <c r="D830" s="45"/>
    </row>
    <row r="831" spans="4:4" ht="14.25" customHeight="1">
      <c r="D831" s="45"/>
    </row>
    <row r="832" spans="4:4" ht="14.25" customHeight="1">
      <c r="D832" s="45"/>
    </row>
    <row r="833" spans="4:4" ht="14.25" customHeight="1">
      <c r="D833" s="45"/>
    </row>
    <row r="834" spans="4:4" ht="14.25" customHeight="1">
      <c r="D834" s="45"/>
    </row>
    <row r="835" spans="4:4" ht="14.25" customHeight="1">
      <c r="D835" s="45"/>
    </row>
    <row r="836" spans="4:4" ht="14.25" customHeight="1">
      <c r="D836" s="45"/>
    </row>
    <row r="837" spans="4:4" ht="14.25" customHeight="1">
      <c r="D837" s="45"/>
    </row>
    <row r="838" spans="4:4" ht="14.25" customHeight="1">
      <c r="D838" s="45"/>
    </row>
    <row r="839" spans="4:4" ht="14.25" customHeight="1">
      <c r="D839" s="45"/>
    </row>
    <row r="840" spans="4:4" ht="14.25" customHeight="1">
      <c r="D840" s="45"/>
    </row>
    <row r="841" spans="4:4" ht="14.25" customHeight="1">
      <c r="D841" s="45"/>
    </row>
    <row r="842" spans="4:4" ht="14.25" customHeight="1">
      <c r="D842" s="45"/>
    </row>
    <row r="843" spans="4:4" ht="14.25" customHeight="1">
      <c r="D843" s="45"/>
    </row>
    <row r="844" spans="4:4" ht="14.25" customHeight="1">
      <c r="D844" s="45"/>
    </row>
    <row r="845" spans="4:4" ht="14.25" customHeight="1">
      <c r="D845" s="45"/>
    </row>
    <row r="846" spans="4:4" ht="14.25" customHeight="1">
      <c r="D846" s="45"/>
    </row>
    <row r="847" spans="4:4" ht="14.25" customHeight="1">
      <c r="D847" s="45"/>
    </row>
    <row r="848" spans="4:4" ht="14.25" customHeight="1">
      <c r="D848" s="45"/>
    </row>
    <row r="849" spans="4:4" ht="14.25" customHeight="1">
      <c r="D849" s="45"/>
    </row>
    <row r="850" spans="4:4" ht="14.25" customHeight="1">
      <c r="D850" s="45"/>
    </row>
    <row r="851" spans="4:4" ht="14.25" customHeight="1">
      <c r="D851" s="45"/>
    </row>
    <row r="852" spans="4:4" ht="14.25" customHeight="1">
      <c r="D852" s="45"/>
    </row>
    <row r="853" spans="4:4" ht="14.25" customHeight="1">
      <c r="D853" s="45"/>
    </row>
    <row r="854" spans="4:4" ht="14.25" customHeight="1">
      <c r="D854" s="45"/>
    </row>
    <row r="855" spans="4:4" ht="14.25" customHeight="1">
      <c r="D855" s="45"/>
    </row>
    <row r="856" spans="4:4" ht="14.25" customHeight="1">
      <c r="D856" s="45"/>
    </row>
    <row r="857" spans="4:4" ht="14.25" customHeight="1">
      <c r="D857" s="45"/>
    </row>
    <row r="858" spans="4:4" ht="14.25" customHeight="1">
      <c r="D858" s="45"/>
    </row>
    <row r="859" spans="4:4" ht="14.25" customHeight="1">
      <c r="D859" s="45"/>
    </row>
    <row r="860" spans="4:4" ht="14.25" customHeight="1">
      <c r="D860" s="45"/>
    </row>
    <row r="861" spans="4:4" ht="14.25" customHeight="1">
      <c r="D861" s="45"/>
    </row>
    <row r="862" spans="4:4" ht="14.25" customHeight="1">
      <c r="D862" s="45"/>
    </row>
    <row r="863" spans="4:4" ht="14.25" customHeight="1">
      <c r="D863" s="45"/>
    </row>
    <row r="864" spans="4:4" ht="14.25" customHeight="1">
      <c r="D864" s="45"/>
    </row>
    <row r="865" spans="4:4" ht="14.25" customHeight="1">
      <c r="D865" s="45"/>
    </row>
    <row r="866" spans="4:4" ht="14.25" customHeight="1">
      <c r="D866" s="45"/>
    </row>
    <row r="867" spans="4:4" ht="14.25" customHeight="1">
      <c r="D867" s="45"/>
    </row>
    <row r="868" spans="4:4" ht="14.25" customHeight="1">
      <c r="D868" s="45"/>
    </row>
    <row r="869" spans="4:4" ht="14.25" customHeight="1">
      <c r="D869" s="45"/>
    </row>
    <row r="870" spans="4:4" ht="14.25" customHeight="1">
      <c r="D870" s="45"/>
    </row>
    <row r="871" spans="4:4" ht="14.25" customHeight="1">
      <c r="D871" s="45"/>
    </row>
    <row r="872" spans="4:4" ht="14.25" customHeight="1">
      <c r="D872" s="45"/>
    </row>
    <row r="873" spans="4:4" ht="14.25" customHeight="1">
      <c r="D873" s="45"/>
    </row>
    <row r="874" spans="4:4" ht="14.25" customHeight="1">
      <c r="D874" s="45"/>
    </row>
    <row r="875" spans="4:4" ht="14.25" customHeight="1">
      <c r="D875" s="45"/>
    </row>
    <row r="876" spans="4:4" ht="14.25" customHeight="1">
      <c r="D876" s="45"/>
    </row>
    <row r="877" spans="4:4" ht="14.25" customHeight="1">
      <c r="D877" s="45"/>
    </row>
    <row r="878" spans="4:4" ht="14.25" customHeight="1">
      <c r="D878" s="45"/>
    </row>
    <row r="879" spans="4:4" ht="14.25" customHeight="1">
      <c r="D879" s="45"/>
    </row>
    <row r="880" spans="4:4" ht="14.25" customHeight="1">
      <c r="D880" s="45"/>
    </row>
    <row r="881" spans="4:4" ht="14.25" customHeight="1">
      <c r="D881" s="45"/>
    </row>
    <row r="882" spans="4:4" ht="14.25" customHeight="1">
      <c r="D882" s="45"/>
    </row>
    <row r="883" spans="4:4" ht="14.25" customHeight="1">
      <c r="D883" s="45"/>
    </row>
    <row r="884" spans="4:4" ht="14.25" customHeight="1">
      <c r="D884" s="45"/>
    </row>
    <row r="885" spans="4:4" ht="14.25" customHeight="1">
      <c r="D885" s="45"/>
    </row>
    <row r="886" spans="4:4" ht="14.25" customHeight="1">
      <c r="D886" s="45"/>
    </row>
    <row r="887" spans="4:4" ht="14.25" customHeight="1">
      <c r="D887" s="45"/>
    </row>
    <row r="888" spans="4:4" ht="14.25" customHeight="1">
      <c r="D888" s="45"/>
    </row>
    <row r="889" spans="4:4" ht="14.25" customHeight="1">
      <c r="D889" s="45"/>
    </row>
    <row r="890" spans="4:4" ht="14.25" customHeight="1">
      <c r="D890" s="45"/>
    </row>
    <row r="891" spans="4:4" ht="14.25" customHeight="1">
      <c r="D891" s="45"/>
    </row>
    <row r="892" spans="4:4" ht="14.25" customHeight="1">
      <c r="D892" s="45"/>
    </row>
    <row r="893" spans="4:4" ht="14.25" customHeight="1">
      <c r="D893" s="45"/>
    </row>
    <row r="894" spans="4:4" ht="14.25" customHeight="1">
      <c r="D894" s="45"/>
    </row>
    <row r="895" spans="4:4" ht="14.25" customHeight="1">
      <c r="D895" s="45"/>
    </row>
    <row r="896" spans="4:4" ht="14.25" customHeight="1">
      <c r="D896" s="45"/>
    </row>
    <row r="897" spans="4:4" ht="14.25" customHeight="1">
      <c r="D897" s="45"/>
    </row>
    <row r="898" spans="4:4" ht="14.25" customHeight="1">
      <c r="D898" s="45"/>
    </row>
    <row r="899" spans="4:4" ht="14.25" customHeight="1">
      <c r="D899" s="45"/>
    </row>
    <row r="900" spans="4:4" ht="14.25" customHeight="1">
      <c r="D900" s="45"/>
    </row>
    <row r="901" spans="4:4" ht="14.25" customHeight="1">
      <c r="D901" s="45"/>
    </row>
    <row r="902" spans="4:4" ht="14.25" customHeight="1">
      <c r="D902" s="45"/>
    </row>
    <row r="903" spans="4:4" ht="14.25" customHeight="1">
      <c r="D903" s="45"/>
    </row>
    <row r="904" spans="4:4" ht="14.25" customHeight="1">
      <c r="D904" s="45"/>
    </row>
    <row r="905" spans="4:4" ht="14.25" customHeight="1">
      <c r="D905" s="45"/>
    </row>
    <row r="906" spans="4:4" ht="14.25" customHeight="1">
      <c r="D906" s="45"/>
    </row>
    <row r="907" spans="4:4" ht="14.25" customHeight="1">
      <c r="D907" s="45"/>
    </row>
    <row r="908" spans="4:4" ht="14.25" customHeight="1">
      <c r="D908" s="45"/>
    </row>
    <row r="909" spans="4:4" ht="14.25" customHeight="1">
      <c r="D909" s="45"/>
    </row>
    <row r="910" spans="4:4" ht="14.25" customHeight="1">
      <c r="D910" s="45"/>
    </row>
    <row r="911" spans="4:4" ht="14.25" customHeight="1">
      <c r="D911" s="45"/>
    </row>
    <row r="912" spans="4:4" ht="14.25" customHeight="1">
      <c r="D912" s="45"/>
    </row>
    <row r="913" spans="4:4" ht="14.25" customHeight="1">
      <c r="D913" s="45"/>
    </row>
    <row r="914" spans="4:4" ht="14.25" customHeight="1">
      <c r="D914" s="45"/>
    </row>
    <row r="915" spans="4:4" ht="14.25" customHeight="1">
      <c r="D915" s="45"/>
    </row>
    <row r="916" spans="4:4" ht="14.25" customHeight="1">
      <c r="D916" s="45"/>
    </row>
    <row r="917" spans="4:4" ht="14.25" customHeight="1">
      <c r="D917" s="45"/>
    </row>
    <row r="918" spans="4:4" ht="14.25" customHeight="1">
      <c r="D918" s="45"/>
    </row>
    <row r="919" spans="4:4" ht="14.25" customHeight="1">
      <c r="D919" s="45"/>
    </row>
    <row r="920" spans="4:4" ht="14.25" customHeight="1">
      <c r="D920" s="45"/>
    </row>
    <row r="921" spans="4:4" ht="14.25" customHeight="1">
      <c r="D921" s="45"/>
    </row>
    <row r="922" spans="4:4" ht="14.25" customHeight="1">
      <c r="D922" s="45"/>
    </row>
    <row r="923" spans="4:4" ht="14.25" customHeight="1">
      <c r="D923" s="45"/>
    </row>
    <row r="924" spans="4:4" ht="14.25" customHeight="1">
      <c r="D924" s="45"/>
    </row>
    <row r="925" spans="4:4" ht="14.25" customHeight="1">
      <c r="D925" s="45"/>
    </row>
    <row r="926" spans="4:4" ht="14.25" customHeight="1">
      <c r="D926" s="45"/>
    </row>
    <row r="927" spans="4:4" ht="14.25" customHeight="1">
      <c r="D927" s="45"/>
    </row>
    <row r="928" spans="4:4" ht="14.25" customHeight="1">
      <c r="D928" s="45"/>
    </row>
    <row r="929" spans="4:4" ht="14.25" customHeight="1">
      <c r="D929" s="45"/>
    </row>
    <row r="930" spans="4:4" ht="14.25" customHeight="1">
      <c r="D930" s="45"/>
    </row>
    <row r="931" spans="4:4" ht="14.25" customHeight="1">
      <c r="D931" s="45"/>
    </row>
    <row r="932" spans="4:4" ht="14.25" customHeight="1">
      <c r="D932" s="45"/>
    </row>
    <row r="933" spans="4:4" ht="14.25" customHeight="1">
      <c r="D933" s="45"/>
    </row>
    <row r="934" spans="4:4" ht="14.25" customHeight="1">
      <c r="D934" s="45"/>
    </row>
    <row r="935" spans="4:4" ht="14.25" customHeight="1">
      <c r="D935" s="45"/>
    </row>
    <row r="936" spans="4:4" ht="14.25" customHeight="1">
      <c r="D936" s="45"/>
    </row>
    <row r="937" spans="4:4" ht="14.25" customHeight="1">
      <c r="D937" s="45"/>
    </row>
    <row r="938" spans="4:4" ht="14.25" customHeight="1">
      <c r="D938" s="45"/>
    </row>
    <row r="939" spans="4:4" ht="14.25" customHeight="1">
      <c r="D939" s="45"/>
    </row>
    <row r="940" spans="4:4" ht="14.25" customHeight="1">
      <c r="D940" s="45"/>
    </row>
    <row r="941" spans="4:4" ht="14.25" customHeight="1">
      <c r="D941" s="45"/>
    </row>
    <row r="942" spans="4:4" ht="14.25" customHeight="1">
      <c r="D942" s="45"/>
    </row>
    <row r="943" spans="4:4" ht="14.25" customHeight="1">
      <c r="D943" s="45"/>
    </row>
    <row r="944" spans="4:4" ht="14.25" customHeight="1">
      <c r="D944" s="45"/>
    </row>
    <row r="945" spans="4:4" ht="14.25" customHeight="1">
      <c r="D945" s="45"/>
    </row>
    <row r="946" spans="4:4" ht="14.25" customHeight="1">
      <c r="D946" s="45"/>
    </row>
    <row r="947" spans="4:4" ht="14.25" customHeight="1">
      <c r="D947" s="45"/>
    </row>
    <row r="948" spans="4:4" ht="14.25" customHeight="1">
      <c r="D948" s="45"/>
    </row>
    <row r="949" spans="4:4" ht="14.25" customHeight="1">
      <c r="D949" s="45"/>
    </row>
    <row r="950" spans="4:4" ht="14.25" customHeight="1">
      <c r="D950" s="45"/>
    </row>
    <row r="951" spans="4:4" ht="14.25" customHeight="1">
      <c r="D951" s="45"/>
    </row>
    <row r="952" spans="4:4" ht="14.25" customHeight="1">
      <c r="D952" s="45"/>
    </row>
    <row r="953" spans="4:4" ht="14.25" customHeight="1">
      <c r="D953" s="45"/>
    </row>
    <row r="954" spans="4:4" ht="14.25" customHeight="1">
      <c r="D954" s="45"/>
    </row>
    <row r="955" spans="4:4" ht="14.25" customHeight="1">
      <c r="D955" s="45"/>
    </row>
    <row r="956" spans="4:4" ht="14.25" customHeight="1">
      <c r="D956" s="45"/>
    </row>
    <row r="957" spans="4:4" ht="14.25" customHeight="1">
      <c r="D957" s="45"/>
    </row>
    <row r="958" spans="4:4" ht="14.25" customHeight="1">
      <c r="D958" s="45"/>
    </row>
    <row r="959" spans="4:4" ht="14.25" customHeight="1">
      <c r="D959" s="45"/>
    </row>
    <row r="960" spans="4:4" ht="14.25" customHeight="1">
      <c r="D960" s="45"/>
    </row>
    <row r="961" spans="4:4" ht="14.25" customHeight="1">
      <c r="D961" s="45"/>
    </row>
    <row r="962" spans="4:4" ht="14.25" customHeight="1">
      <c r="D962" s="45"/>
    </row>
    <row r="963" spans="4:4" ht="14.25" customHeight="1">
      <c r="D963" s="45"/>
    </row>
    <row r="964" spans="4:4" ht="14.25" customHeight="1">
      <c r="D964" s="45"/>
    </row>
    <row r="965" spans="4:4" ht="14.25" customHeight="1">
      <c r="D965" s="45"/>
    </row>
    <row r="966" spans="4:4" ht="14.25" customHeight="1">
      <c r="D966" s="45"/>
    </row>
    <row r="967" spans="4:4" ht="14.25" customHeight="1">
      <c r="D967" s="45"/>
    </row>
    <row r="968" spans="4:4" ht="14.25" customHeight="1">
      <c r="D968" s="45"/>
    </row>
    <row r="969" spans="4:4" ht="14.25" customHeight="1">
      <c r="D969" s="45"/>
    </row>
    <row r="970" spans="4:4" ht="14.25" customHeight="1">
      <c r="D970" s="45"/>
    </row>
    <row r="971" spans="4:4" ht="14.25" customHeight="1">
      <c r="D971" s="45"/>
    </row>
    <row r="972" spans="4:4" ht="14.25" customHeight="1">
      <c r="D972" s="45"/>
    </row>
    <row r="973" spans="4:4" ht="14.25" customHeight="1">
      <c r="D973" s="45"/>
    </row>
    <row r="974" spans="4:4" ht="14.25" customHeight="1">
      <c r="D974" s="45"/>
    </row>
    <row r="975" spans="4:4" ht="14.25" customHeight="1">
      <c r="D975" s="45"/>
    </row>
    <row r="976" spans="4:4" ht="14.25" customHeight="1">
      <c r="D976" s="45"/>
    </row>
    <row r="977" spans="4:4" ht="14.25" customHeight="1">
      <c r="D977" s="45"/>
    </row>
    <row r="978" spans="4:4" ht="14.25" customHeight="1">
      <c r="D978" s="45"/>
    </row>
    <row r="979" spans="4:4" ht="14.25" customHeight="1">
      <c r="D979" s="45"/>
    </row>
    <row r="980" spans="4:4" ht="14.25" customHeight="1">
      <c r="D980" s="45"/>
    </row>
    <row r="981" spans="4:4" ht="14.25" customHeight="1">
      <c r="D981" s="45"/>
    </row>
    <row r="982" spans="4:4" ht="14.25" customHeight="1">
      <c r="D982" s="45"/>
    </row>
    <row r="983" spans="4:4" ht="14.25" customHeight="1">
      <c r="D983" s="45"/>
    </row>
    <row r="984" spans="4:4" ht="14.25" customHeight="1">
      <c r="D984" s="45"/>
    </row>
    <row r="985" spans="4:4" ht="14.25" customHeight="1">
      <c r="D985" s="45"/>
    </row>
    <row r="986" spans="4:4" ht="14.25" customHeight="1">
      <c r="D986" s="45"/>
    </row>
    <row r="987" spans="4:4" ht="14.25" customHeight="1">
      <c r="D987" s="45"/>
    </row>
    <row r="988" spans="4:4" ht="14.25" customHeight="1">
      <c r="D988" s="45"/>
    </row>
    <row r="989" spans="4:4" ht="14.25" customHeight="1">
      <c r="D989" s="45"/>
    </row>
    <row r="990" spans="4:4" ht="14.25" customHeight="1">
      <c r="D990" s="45"/>
    </row>
    <row r="991" spans="4:4" ht="14.25" customHeight="1">
      <c r="D991" s="45"/>
    </row>
    <row r="992" spans="4:4" ht="14.25" customHeight="1">
      <c r="D992" s="45"/>
    </row>
    <row r="993" spans="4:4" ht="14.25" customHeight="1">
      <c r="D993" s="45"/>
    </row>
    <row r="994" spans="4:4" ht="14.25" customHeight="1">
      <c r="D994" s="45"/>
    </row>
    <row r="995" spans="4:4" ht="14.25" customHeight="1">
      <c r="D995" s="45"/>
    </row>
    <row r="996" spans="4:4" ht="14.25" customHeight="1">
      <c r="D996" s="45"/>
    </row>
    <row r="997" spans="4:4" ht="14.25" customHeight="1">
      <c r="D997" s="45"/>
    </row>
    <row r="998" spans="4:4" ht="14.25" customHeight="1">
      <c r="D998" s="45"/>
    </row>
    <row r="999" spans="4:4" ht="14.25" customHeight="1">
      <c r="D999" s="45"/>
    </row>
    <row r="1000" spans="4:4" ht="14.25" customHeight="1">
      <c r="D1000" s="45"/>
    </row>
    <row r="1001" spans="4:4" ht="14.25" customHeight="1">
      <c r="D1001" s="45"/>
    </row>
    <row r="1002" spans="4:4" ht="14.25" customHeight="1">
      <c r="D1002" s="45"/>
    </row>
    <row r="1003" spans="4:4" ht="14.25" customHeight="1">
      <c r="D1003" s="45"/>
    </row>
    <row r="1004" spans="4:4" ht="14.25" customHeight="1">
      <c r="D1004" s="45"/>
    </row>
    <row r="1005" spans="4:4" ht="14.25" customHeight="1">
      <c r="D1005" s="45"/>
    </row>
    <row r="1006" spans="4:4" ht="14.25" customHeight="1">
      <c r="D1006" s="45"/>
    </row>
    <row r="1007" spans="4:4" ht="14.25" customHeight="1">
      <c r="D1007" s="45"/>
    </row>
    <row r="1008" spans="4:4" ht="14.25" customHeight="1">
      <c r="D1008" s="45"/>
    </row>
    <row r="1009" spans="4:4" ht="14.25" customHeight="1">
      <c r="D1009" s="45"/>
    </row>
    <row r="1010" spans="4:4" ht="14.25" customHeight="1">
      <c r="D1010" s="45"/>
    </row>
    <row r="1011" spans="4:4" ht="14.25" customHeight="1">
      <c r="D1011" s="45"/>
    </row>
    <row r="1012" spans="4:4" ht="14.25" customHeight="1">
      <c r="D1012" s="45"/>
    </row>
    <row r="1013" spans="4:4" ht="14.25" customHeight="1">
      <c r="D1013" s="45"/>
    </row>
    <row r="1014" spans="4:4" ht="14.25" customHeight="1">
      <c r="D1014" s="45"/>
    </row>
    <row r="1015" spans="4:4" ht="14.25" customHeight="1">
      <c r="D1015" s="45"/>
    </row>
    <row r="1016" spans="4:4" ht="14.25" customHeight="1">
      <c r="D1016" s="45"/>
    </row>
    <row r="1017" spans="4:4" ht="14.25" customHeight="1">
      <c r="D1017" s="45"/>
    </row>
    <row r="1018" spans="4:4" ht="14.25" customHeight="1">
      <c r="D1018" s="45"/>
    </row>
    <row r="1019" spans="4:4" ht="14.25" customHeight="1">
      <c r="D1019" s="45"/>
    </row>
    <row r="1020" spans="4:4" ht="14.25" customHeight="1">
      <c r="D1020" s="45"/>
    </row>
    <row r="1021" spans="4:4" ht="14.25" customHeight="1">
      <c r="D1021" s="45"/>
    </row>
    <row r="1022" spans="4:4" ht="14.25" customHeight="1">
      <c r="D1022" s="45"/>
    </row>
    <row r="1023" spans="4:4" ht="14.25" customHeight="1">
      <c r="D1023" s="45"/>
    </row>
    <row r="1024" spans="4:4" ht="14.25" customHeight="1">
      <c r="D1024" s="45"/>
    </row>
    <row r="1025" spans="4:4" ht="14.25" customHeight="1">
      <c r="D1025" s="45"/>
    </row>
    <row r="1026" spans="4:4" ht="14.25" customHeight="1">
      <c r="D1026" s="45"/>
    </row>
    <row r="1027" spans="4:4" ht="14.25" customHeight="1">
      <c r="D1027" s="45"/>
    </row>
    <row r="1028" spans="4:4" ht="14.25" customHeight="1">
      <c r="D1028" s="45"/>
    </row>
    <row r="1029" spans="4:4" ht="14.25" customHeight="1">
      <c r="D1029" s="45"/>
    </row>
    <row r="1030" spans="4:4" ht="14.25" customHeight="1">
      <c r="D1030" s="45"/>
    </row>
    <row r="1031" spans="4:4" ht="14.25" customHeight="1">
      <c r="D1031" s="45"/>
    </row>
    <row r="1032" spans="4:4" ht="14.25" customHeight="1">
      <c r="D1032" s="45"/>
    </row>
    <row r="1033" spans="4:4" ht="14.25" customHeight="1">
      <c r="D1033" s="45"/>
    </row>
    <row r="1034" spans="4:4" ht="14.25" customHeight="1">
      <c r="D1034" s="45"/>
    </row>
    <row r="1035" spans="4:4" ht="14.25" customHeight="1">
      <c r="D1035" s="45"/>
    </row>
    <row r="1036" spans="4:4" ht="14.25" customHeight="1">
      <c r="D1036" s="45"/>
    </row>
    <row r="1037" spans="4:4" ht="14.25" customHeight="1">
      <c r="D1037" s="45"/>
    </row>
    <row r="1038" spans="4:4" ht="14.25" customHeight="1">
      <c r="D1038" s="45"/>
    </row>
    <row r="1039" spans="4:4" ht="14.25" customHeight="1">
      <c r="D1039" s="45"/>
    </row>
    <row r="1040" spans="4:4" ht="14.25" customHeight="1">
      <c r="D1040" s="45"/>
    </row>
    <row r="1041" spans="4:4" ht="14.25" customHeight="1">
      <c r="D1041" s="45"/>
    </row>
    <row r="1042" spans="4:4" ht="14.25" customHeight="1">
      <c r="D1042" s="45"/>
    </row>
    <row r="1043" spans="4:4" ht="14.25" customHeight="1">
      <c r="D1043" s="45"/>
    </row>
    <row r="1044" spans="4:4" ht="14.25" customHeight="1">
      <c r="D1044" s="45"/>
    </row>
    <row r="1045" spans="4:4" ht="14.25" customHeight="1">
      <c r="D1045" s="45"/>
    </row>
    <row r="1046" spans="4:4" ht="14.25" customHeight="1">
      <c r="D1046" s="45"/>
    </row>
    <row r="1047" spans="4:4" ht="14.25" customHeight="1">
      <c r="D1047" s="45"/>
    </row>
    <row r="1048" spans="4:4" ht="14.25" customHeight="1">
      <c r="D1048" s="45"/>
    </row>
    <row r="1049" spans="4:4" ht="14.25" customHeight="1">
      <c r="D1049" s="45"/>
    </row>
    <row r="1050" spans="4:4" ht="14.25" customHeight="1">
      <c r="D1050" s="45"/>
    </row>
    <row r="1051" spans="4:4" ht="14.25" customHeight="1">
      <c r="D1051" s="45"/>
    </row>
  </sheetData>
  <phoneticPr fontId="29" type="noConversion"/>
  <dataValidations count="2">
    <dataValidation type="list" allowBlank="1" showErrorMessage="1" sqref="B3:B155 B157:B198" xr:uid="{00000000-0002-0000-1000-000000000000}">
      <formula1>"gem,weapon,head,armor,shoe,cloak,Pants"</formula1>
      <formula2>0</formula2>
    </dataValidation>
    <dataValidation type="list" allowBlank="1" showErrorMessage="1" sqref="D3:D155 D157:D198" xr:uid="{00000000-0002-0000-10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J380"/>
  <sheetViews>
    <sheetView zoomScaleNormal="100" workbookViewId="0">
      <pane ySplit="1" topLeftCell="A2" activePane="bottomLeft" state="frozen"/>
      <selection pane="bottomLeft" activeCell="B3" sqref="B3"/>
    </sheetView>
  </sheetViews>
  <sheetFormatPr defaultColWidth="12.5703125" defaultRowHeight="12.75"/>
  <cols>
    <col min="13" max="13" width="15.42578125" customWidth="1"/>
    <col min="14" max="14" width="14.28515625" customWidth="1"/>
    <col min="16" max="16" width="14.28515625" customWidth="1"/>
    <col min="17" max="17" width="13" customWidth="1"/>
  </cols>
  <sheetData>
    <row r="1" spans="1:36" ht="14.25" customHeight="1">
      <c r="A1" s="6" t="s">
        <v>3745</v>
      </c>
      <c r="B1" s="6" t="s">
        <v>3490</v>
      </c>
      <c r="C1" s="40" t="s">
        <v>37</v>
      </c>
      <c r="D1" s="40" t="s">
        <v>685</v>
      </c>
      <c r="E1" s="40" t="s">
        <v>686</v>
      </c>
      <c r="F1" s="40" t="s">
        <v>687</v>
      </c>
      <c r="G1" s="40" t="s">
        <v>688</v>
      </c>
      <c r="H1" s="40" t="s">
        <v>39</v>
      </c>
      <c r="I1" s="40" t="s">
        <v>691</v>
      </c>
      <c r="J1" s="40" t="s">
        <v>689</v>
      </c>
      <c r="K1" s="40" t="s">
        <v>690</v>
      </c>
      <c r="L1" s="40" t="s">
        <v>693</v>
      </c>
      <c r="M1" s="40" t="s">
        <v>694</v>
      </c>
      <c r="N1" s="40" t="s">
        <v>695</v>
      </c>
      <c r="O1" s="40" t="s">
        <v>696</v>
      </c>
      <c r="P1" s="40" t="s">
        <v>697</v>
      </c>
      <c r="Q1" s="40" t="s">
        <v>698</v>
      </c>
      <c r="R1" s="40" t="s">
        <v>692</v>
      </c>
      <c r="S1" s="41" t="s">
        <v>699</v>
      </c>
      <c r="T1" s="41" t="s">
        <v>700</v>
      </c>
      <c r="U1" s="41" t="s">
        <v>701</v>
      </c>
      <c r="V1" s="41" t="s">
        <v>702</v>
      </c>
      <c r="W1" s="41" t="s">
        <v>703</v>
      </c>
      <c r="X1" s="6" t="s">
        <v>3746</v>
      </c>
      <c r="Y1" s="6" t="s">
        <v>1425</v>
      </c>
    </row>
    <row r="2" spans="1:36" ht="14.25" customHeight="1">
      <c r="A2" s="115">
        <v>201</v>
      </c>
      <c r="B2" s="115">
        <v>1900</v>
      </c>
      <c r="C2" s="115"/>
      <c r="D2" s="115">
        <v>6</v>
      </c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>
        <v>0.15</v>
      </c>
      <c r="Y2" s="115">
        <v>1</v>
      </c>
      <c r="Z2" s="116"/>
      <c r="AA2" s="116"/>
      <c r="AB2" s="116"/>
      <c r="AC2" s="116"/>
      <c r="AD2" s="116"/>
      <c r="AE2" s="116"/>
      <c r="AF2" s="116"/>
      <c r="AG2" s="116"/>
      <c r="AH2" s="116"/>
      <c r="AI2" s="116"/>
      <c r="AJ2" s="116"/>
    </row>
    <row r="3" spans="1:36" ht="14.25" customHeight="1">
      <c r="A3" s="115">
        <v>201</v>
      </c>
      <c r="B3" s="115">
        <v>400</v>
      </c>
      <c r="C3" s="115"/>
      <c r="D3" s="115">
        <v>11</v>
      </c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>
        <v>0.15</v>
      </c>
      <c r="Y3" s="115">
        <v>1</v>
      </c>
      <c r="Z3" s="116"/>
      <c r="AA3" s="116"/>
      <c r="AB3" s="116"/>
      <c r="AC3" s="116"/>
      <c r="AD3" s="116"/>
      <c r="AE3" s="116"/>
      <c r="AF3" s="116"/>
      <c r="AG3" s="116"/>
      <c r="AH3" s="116"/>
      <c r="AI3" s="116"/>
      <c r="AJ3" s="116"/>
    </row>
    <row r="4" spans="1:36" ht="14.25" customHeight="1">
      <c r="A4" s="115">
        <v>201</v>
      </c>
      <c r="B4" s="115">
        <v>150</v>
      </c>
      <c r="C4" s="115"/>
      <c r="D4" s="115">
        <v>20</v>
      </c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>
        <v>0.15</v>
      </c>
      <c r="Y4" s="115">
        <v>2</v>
      </c>
      <c r="Z4" s="116"/>
      <c r="AA4" s="116"/>
      <c r="AB4" s="116"/>
      <c r="AC4" s="116"/>
      <c r="AD4" s="116"/>
      <c r="AE4" s="116"/>
      <c r="AF4" s="116"/>
      <c r="AG4" s="116"/>
      <c r="AH4" s="116"/>
      <c r="AI4" s="116"/>
      <c r="AJ4" s="116"/>
    </row>
    <row r="5" spans="1:36" ht="14.25" customHeight="1">
      <c r="A5" s="115">
        <v>201</v>
      </c>
      <c r="B5" s="115">
        <v>40</v>
      </c>
      <c r="C5" s="115"/>
      <c r="D5" s="115">
        <v>38</v>
      </c>
      <c r="E5" s="115"/>
      <c r="F5" s="115"/>
      <c r="G5" s="115"/>
      <c r="H5" s="115"/>
      <c r="I5" s="115"/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>
        <v>0.15</v>
      </c>
      <c r="Y5" s="115">
        <v>3</v>
      </c>
      <c r="Z5" s="116"/>
      <c r="AA5" s="116"/>
      <c r="AB5" s="116"/>
      <c r="AC5" s="116"/>
      <c r="AD5" s="116"/>
      <c r="AE5" s="116"/>
      <c r="AF5" s="116"/>
      <c r="AG5" s="116"/>
      <c r="AH5" s="116"/>
      <c r="AI5" s="116"/>
      <c r="AJ5" s="116"/>
    </row>
    <row r="6" spans="1:36" ht="14.25" customHeight="1">
      <c r="A6" s="115">
        <v>201</v>
      </c>
      <c r="B6" s="115">
        <v>10</v>
      </c>
      <c r="C6" s="115"/>
      <c r="D6" s="115">
        <v>70</v>
      </c>
      <c r="E6" s="115"/>
      <c r="F6" s="115"/>
      <c r="G6" s="115"/>
      <c r="H6" s="115"/>
      <c r="I6" s="115"/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>
        <v>0.15</v>
      </c>
      <c r="Y6" s="115">
        <v>4</v>
      </c>
      <c r="Z6" s="116"/>
      <c r="AA6" s="116"/>
      <c r="AB6" s="116"/>
      <c r="AC6" s="116"/>
      <c r="AD6" s="116"/>
      <c r="AE6" s="116"/>
      <c r="AF6" s="116"/>
      <c r="AG6" s="116"/>
      <c r="AH6" s="116"/>
      <c r="AI6" s="116"/>
      <c r="AJ6" s="116"/>
    </row>
    <row r="7" spans="1:36" ht="14.25" customHeight="1">
      <c r="A7" s="115">
        <v>201</v>
      </c>
      <c r="B7" s="115">
        <v>1900</v>
      </c>
      <c r="C7" s="115"/>
      <c r="D7" s="115"/>
      <c r="E7" s="115">
        <v>8</v>
      </c>
      <c r="F7" s="115"/>
      <c r="G7" s="115"/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>
        <v>0.15</v>
      </c>
      <c r="Y7" s="115">
        <v>1</v>
      </c>
      <c r="Z7" s="116"/>
      <c r="AA7" s="116"/>
      <c r="AB7" s="116"/>
      <c r="AC7" s="116"/>
      <c r="AD7" s="116"/>
      <c r="AE7" s="116"/>
      <c r="AF7" s="116"/>
      <c r="AG7" s="116"/>
      <c r="AH7" s="116"/>
      <c r="AI7" s="116"/>
      <c r="AJ7" s="116"/>
    </row>
    <row r="8" spans="1:36" ht="14.25" customHeight="1">
      <c r="A8" s="115">
        <v>201</v>
      </c>
      <c r="B8" s="115">
        <v>400</v>
      </c>
      <c r="C8" s="115"/>
      <c r="D8" s="115"/>
      <c r="E8" s="115">
        <f>ROUND(D3*1.05,0)</f>
        <v>12</v>
      </c>
      <c r="F8" s="115"/>
      <c r="G8" s="115"/>
      <c r="H8" s="115"/>
      <c r="I8" s="115"/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>
        <v>0.15</v>
      </c>
      <c r="Y8" s="115">
        <v>1</v>
      </c>
      <c r="Z8" s="116"/>
      <c r="AA8" s="116"/>
      <c r="AB8" s="116"/>
      <c r="AC8" s="116"/>
      <c r="AD8" s="116"/>
      <c r="AE8" s="116"/>
      <c r="AF8" s="116"/>
      <c r="AG8" s="116"/>
      <c r="AH8" s="116"/>
      <c r="AI8" s="116"/>
      <c r="AJ8" s="116"/>
    </row>
    <row r="9" spans="1:36" ht="14.25" customHeight="1">
      <c r="A9" s="115">
        <v>201</v>
      </c>
      <c r="B9" s="115">
        <v>150</v>
      </c>
      <c r="C9" s="115"/>
      <c r="D9" s="115"/>
      <c r="E9" s="115">
        <f>ROUND(D4*1.05,0)</f>
        <v>21</v>
      </c>
      <c r="F9" s="115"/>
      <c r="G9" s="115"/>
      <c r="H9" s="115"/>
      <c r="I9" s="115"/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>
        <v>0.15</v>
      </c>
      <c r="Y9" s="115">
        <v>2</v>
      </c>
      <c r="Z9" s="116"/>
      <c r="AA9" s="116"/>
      <c r="AB9" s="116"/>
      <c r="AC9" s="116"/>
      <c r="AD9" s="116"/>
      <c r="AE9" s="116"/>
      <c r="AF9" s="116"/>
      <c r="AG9" s="116"/>
      <c r="AH9" s="116"/>
      <c r="AI9" s="116"/>
      <c r="AJ9" s="116"/>
    </row>
    <row r="10" spans="1:36" ht="14.25" customHeight="1">
      <c r="A10" s="115">
        <v>201</v>
      </c>
      <c r="B10" s="115">
        <v>40</v>
      </c>
      <c r="C10" s="115"/>
      <c r="D10" s="115"/>
      <c r="E10" s="115">
        <f>ROUND(D5*1.05,0)</f>
        <v>40</v>
      </c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>
        <v>0.15</v>
      </c>
      <c r="Y10" s="115">
        <v>3</v>
      </c>
      <c r="Z10" s="116"/>
      <c r="AA10" s="116"/>
      <c r="AB10" s="116"/>
      <c r="AC10" s="116"/>
      <c r="AD10" s="116"/>
      <c r="AE10" s="116"/>
      <c r="AF10" s="116"/>
      <c r="AG10" s="116"/>
      <c r="AH10" s="116"/>
      <c r="AI10" s="116"/>
      <c r="AJ10" s="116"/>
    </row>
    <row r="11" spans="1:36" ht="14.25" customHeight="1">
      <c r="A11" s="115">
        <v>201</v>
      </c>
      <c r="B11" s="115">
        <v>10</v>
      </c>
      <c r="C11" s="115"/>
      <c r="D11" s="115"/>
      <c r="E11" s="115">
        <f>ROUND(D6*1.05,0)</f>
        <v>74</v>
      </c>
      <c r="F11" s="115"/>
      <c r="G11" s="115"/>
      <c r="H11" s="115"/>
      <c r="I11" s="115"/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>
        <v>0.15</v>
      </c>
      <c r="Y11" s="115">
        <v>4</v>
      </c>
      <c r="Z11" s="116"/>
      <c r="AA11" s="116"/>
      <c r="AB11" s="116"/>
      <c r="AC11" s="116"/>
      <c r="AD11" s="116"/>
      <c r="AE11" s="116"/>
      <c r="AF11" s="116"/>
      <c r="AG11" s="116"/>
      <c r="AH11" s="116"/>
      <c r="AI11" s="116"/>
      <c r="AJ11" s="116"/>
    </row>
    <row r="12" spans="1:36" ht="14.25" customHeight="1">
      <c r="A12" s="115">
        <v>201</v>
      </c>
      <c r="B12" s="115">
        <v>1900</v>
      </c>
      <c r="C12" s="115"/>
      <c r="D12" s="115"/>
      <c r="E12" s="115"/>
      <c r="F12" s="115"/>
      <c r="G12" s="115"/>
      <c r="H12" s="115">
        <v>50</v>
      </c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>
        <v>0.15</v>
      </c>
      <c r="Y12" s="115">
        <v>1</v>
      </c>
      <c r="Z12" s="116"/>
      <c r="AA12" s="116"/>
      <c r="AB12" s="116"/>
      <c r="AC12" s="116"/>
      <c r="AD12" s="116"/>
      <c r="AE12" s="116"/>
      <c r="AF12" s="116"/>
      <c r="AG12" s="116"/>
      <c r="AH12" s="116"/>
      <c r="AI12" s="116"/>
      <c r="AJ12" s="116"/>
    </row>
    <row r="13" spans="1:36" ht="14.25" customHeight="1">
      <c r="A13" s="115">
        <v>201</v>
      </c>
      <c r="B13" s="115">
        <v>400</v>
      </c>
      <c r="C13" s="115"/>
      <c r="D13" s="115"/>
      <c r="E13" s="115"/>
      <c r="F13" s="115"/>
      <c r="G13" s="115"/>
      <c r="H13" s="115">
        <v>75</v>
      </c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>
        <v>0.15</v>
      </c>
      <c r="Y13" s="115">
        <v>1</v>
      </c>
      <c r="Z13" s="116"/>
      <c r="AA13" s="116"/>
      <c r="AB13" s="116"/>
      <c r="AC13" s="116"/>
      <c r="AD13" s="116"/>
      <c r="AE13" s="116"/>
      <c r="AF13" s="116"/>
      <c r="AG13" s="116"/>
      <c r="AH13" s="116"/>
      <c r="AI13" s="116"/>
      <c r="AJ13" s="116"/>
    </row>
    <row r="14" spans="1:36" ht="14.25" customHeight="1">
      <c r="A14" s="115">
        <v>201</v>
      </c>
      <c r="B14" s="115">
        <v>150</v>
      </c>
      <c r="C14" s="115"/>
      <c r="D14" s="115"/>
      <c r="E14" s="115"/>
      <c r="F14" s="115"/>
      <c r="G14" s="115"/>
      <c r="H14" s="115">
        <v>135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>
        <v>0.15</v>
      </c>
      <c r="Y14" s="115">
        <v>2</v>
      </c>
      <c r="Z14" s="116"/>
      <c r="AA14" s="116"/>
      <c r="AB14" s="116"/>
      <c r="AC14" s="116"/>
      <c r="AD14" s="116"/>
      <c r="AE14" s="116"/>
      <c r="AF14" s="116"/>
      <c r="AG14" s="116"/>
      <c r="AH14" s="116"/>
      <c r="AI14" s="116"/>
      <c r="AJ14" s="116"/>
    </row>
    <row r="15" spans="1:36" ht="14.25" customHeight="1">
      <c r="A15" s="115">
        <v>201</v>
      </c>
      <c r="B15" s="115">
        <v>40</v>
      </c>
      <c r="C15" s="115"/>
      <c r="D15" s="115"/>
      <c r="E15" s="115"/>
      <c r="F15" s="115"/>
      <c r="G15" s="115"/>
      <c r="H15" s="115">
        <v>260</v>
      </c>
      <c r="I15" s="115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>
        <v>0.15</v>
      </c>
      <c r="Y15" s="115">
        <v>3</v>
      </c>
      <c r="Z15" s="116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</row>
    <row r="16" spans="1:36" ht="14.25" customHeight="1">
      <c r="A16" s="115">
        <v>201</v>
      </c>
      <c r="B16" s="115">
        <v>10</v>
      </c>
      <c r="C16" s="115"/>
      <c r="D16" s="115"/>
      <c r="E16" s="115"/>
      <c r="F16" s="115"/>
      <c r="G16" s="115"/>
      <c r="H16" s="115">
        <v>450</v>
      </c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>
        <v>0.15</v>
      </c>
      <c r="Y16" s="115">
        <v>4</v>
      </c>
      <c r="Z16" s="116"/>
      <c r="AA16" s="116"/>
      <c r="AB16" s="116"/>
      <c r="AC16" s="116"/>
      <c r="AD16" s="116"/>
      <c r="AE16" s="116"/>
      <c r="AF16" s="116"/>
      <c r="AG16" s="116"/>
      <c r="AH16" s="116"/>
      <c r="AI16" s="116"/>
      <c r="AJ16" s="116"/>
    </row>
    <row r="17" spans="1:36" ht="14.25" customHeight="1">
      <c r="A17" s="115">
        <v>201</v>
      </c>
      <c r="B17" s="115">
        <v>1900</v>
      </c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>
        <v>0.02</v>
      </c>
      <c r="P17" s="115"/>
      <c r="Q17" s="115"/>
      <c r="R17" s="115"/>
      <c r="S17" s="115"/>
      <c r="T17" s="115"/>
      <c r="U17" s="115"/>
      <c r="V17" s="115"/>
      <c r="W17" s="115"/>
      <c r="X17" s="115">
        <v>0.15</v>
      </c>
      <c r="Y17" s="115">
        <v>1</v>
      </c>
      <c r="Z17" s="116"/>
      <c r="AA17" s="116"/>
      <c r="AB17" s="116"/>
      <c r="AC17" s="116"/>
      <c r="AD17" s="116"/>
      <c r="AE17" s="116"/>
      <c r="AF17" s="116"/>
      <c r="AG17" s="116"/>
      <c r="AH17" s="116"/>
      <c r="AI17" s="116"/>
      <c r="AJ17" s="116"/>
    </row>
    <row r="18" spans="1:36" ht="14.25" customHeight="1">
      <c r="A18" s="115">
        <v>201</v>
      </c>
      <c r="B18" s="115">
        <v>400</v>
      </c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>
        <v>0.04</v>
      </c>
      <c r="P18" s="115"/>
      <c r="Q18" s="115"/>
      <c r="R18" s="115"/>
      <c r="S18" s="115"/>
      <c r="T18" s="115"/>
      <c r="U18" s="115"/>
      <c r="V18" s="115"/>
      <c r="W18" s="115"/>
      <c r="X18" s="115">
        <v>0.15</v>
      </c>
      <c r="Y18" s="115">
        <v>1</v>
      </c>
      <c r="Z18" s="116"/>
      <c r="AA18" s="116"/>
      <c r="AB18" s="116"/>
      <c r="AC18" s="116"/>
      <c r="AD18" s="116"/>
      <c r="AE18" s="116"/>
      <c r="AF18" s="116"/>
      <c r="AG18" s="116"/>
      <c r="AH18" s="116"/>
      <c r="AI18" s="116"/>
      <c r="AJ18" s="116"/>
    </row>
    <row r="19" spans="1:36" ht="14.25" customHeight="1">
      <c r="A19" s="115">
        <v>201</v>
      </c>
      <c r="B19" s="115">
        <v>150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/>
      <c r="O19" s="115">
        <v>0.08</v>
      </c>
      <c r="P19" s="115"/>
      <c r="Q19" s="115"/>
      <c r="R19" s="115"/>
      <c r="S19" s="115"/>
      <c r="T19" s="115"/>
      <c r="U19" s="115"/>
      <c r="V19" s="115"/>
      <c r="W19" s="115"/>
      <c r="X19" s="115">
        <v>0.15</v>
      </c>
      <c r="Y19" s="115">
        <v>2</v>
      </c>
      <c r="Z19" s="116"/>
      <c r="AA19" s="116"/>
      <c r="AB19" s="116"/>
      <c r="AC19" s="116"/>
      <c r="AD19" s="116"/>
      <c r="AE19" s="116"/>
      <c r="AF19" s="116"/>
      <c r="AG19" s="116"/>
      <c r="AH19" s="116"/>
      <c r="AI19" s="116"/>
      <c r="AJ19" s="116"/>
    </row>
    <row r="20" spans="1:36" ht="14.25" customHeight="1">
      <c r="A20" s="115">
        <v>201</v>
      </c>
      <c r="B20" s="115">
        <v>40</v>
      </c>
      <c r="C20" s="115"/>
      <c r="D20" s="115"/>
      <c r="E20" s="115"/>
      <c r="F20" s="115"/>
      <c r="G20" s="115"/>
      <c r="H20" s="115"/>
      <c r="I20" s="115"/>
      <c r="J20" s="115"/>
      <c r="K20" s="115"/>
      <c r="L20" s="115"/>
      <c r="M20" s="115"/>
      <c r="N20" s="115"/>
      <c r="O20" s="115">
        <v>0.15</v>
      </c>
      <c r="P20" s="115"/>
      <c r="Q20" s="115"/>
      <c r="R20" s="115"/>
      <c r="S20" s="115"/>
      <c r="T20" s="115"/>
      <c r="U20" s="115"/>
      <c r="V20" s="115"/>
      <c r="W20" s="115"/>
      <c r="X20" s="115">
        <v>0.15</v>
      </c>
      <c r="Y20" s="115">
        <v>3</v>
      </c>
      <c r="Z20" s="116"/>
      <c r="AA20" s="116"/>
      <c r="AB20" s="116"/>
      <c r="AC20" s="116"/>
      <c r="AD20" s="116"/>
      <c r="AE20" s="116"/>
      <c r="AF20" s="116"/>
      <c r="AG20" s="116"/>
      <c r="AH20" s="116"/>
      <c r="AI20" s="116"/>
      <c r="AJ20" s="116"/>
    </row>
    <row r="21" spans="1:36" ht="14.25" customHeight="1">
      <c r="A21" s="115">
        <v>201</v>
      </c>
      <c r="B21" s="115">
        <v>10</v>
      </c>
      <c r="C21" s="115"/>
      <c r="D21" s="115"/>
      <c r="E21" s="115"/>
      <c r="F21" s="115"/>
      <c r="G21" s="115"/>
      <c r="H21" s="115"/>
      <c r="I21" s="115"/>
      <c r="J21" s="115"/>
      <c r="K21" s="115"/>
      <c r="L21" s="115"/>
      <c r="M21" s="115"/>
      <c r="N21" s="115"/>
      <c r="O21" s="115">
        <v>0.25</v>
      </c>
      <c r="P21" s="115"/>
      <c r="Q21" s="115"/>
      <c r="R21" s="115"/>
      <c r="S21" s="115"/>
      <c r="T21" s="115"/>
      <c r="U21" s="115"/>
      <c r="V21" s="115"/>
      <c r="W21" s="115"/>
      <c r="X21" s="115">
        <v>0.15</v>
      </c>
      <c r="Y21" s="115">
        <v>4</v>
      </c>
      <c r="Z21" s="116"/>
      <c r="AA21" s="116"/>
      <c r="AB21" s="116"/>
      <c r="AC21" s="116"/>
      <c r="AD21" s="116"/>
      <c r="AE21" s="116"/>
      <c r="AF21" s="116"/>
      <c r="AG21" s="116"/>
      <c r="AH21" s="116"/>
      <c r="AI21" s="116"/>
      <c r="AJ21" s="116"/>
    </row>
    <row r="22" spans="1:36" ht="14.25" customHeight="1">
      <c r="A22" s="6">
        <v>202</v>
      </c>
      <c r="B22" s="6">
        <v>2500</v>
      </c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>
        <v>0.13</v>
      </c>
      <c r="Y22" s="6">
        <v>1</v>
      </c>
    </row>
    <row r="23" spans="1:36" ht="14.25" customHeight="1">
      <c r="A23" s="6">
        <v>202</v>
      </c>
      <c r="B23" s="117">
        <f t="shared" ref="B23:B42" si="0">B2/2</f>
        <v>950</v>
      </c>
      <c r="C23" s="6"/>
      <c r="D23" s="6">
        <v>6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>
        <v>0.13</v>
      </c>
      <c r="Y23" s="6">
        <v>1</v>
      </c>
    </row>
    <row r="24" spans="1:36" ht="14.25" customHeight="1">
      <c r="A24" s="6">
        <v>202</v>
      </c>
      <c r="B24" s="117">
        <f t="shared" si="0"/>
        <v>200</v>
      </c>
      <c r="C24" s="6"/>
      <c r="D24" s="6">
        <v>11</v>
      </c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>
        <v>0.13</v>
      </c>
      <c r="Y24" s="6">
        <v>1</v>
      </c>
    </row>
    <row r="25" spans="1:36" ht="14.25" customHeight="1">
      <c r="A25" s="6">
        <v>202</v>
      </c>
      <c r="B25" s="117">
        <f t="shared" si="0"/>
        <v>75</v>
      </c>
      <c r="C25" s="6"/>
      <c r="D25" s="6">
        <v>20</v>
      </c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>
        <v>0.13</v>
      </c>
      <c r="Y25" s="6">
        <v>2</v>
      </c>
    </row>
    <row r="26" spans="1:36" ht="14.25" customHeight="1">
      <c r="A26" s="6">
        <v>202</v>
      </c>
      <c r="B26" s="117">
        <f t="shared" si="0"/>
        <v>20</v>
      </c>
      <c r="C26" s="6"/>
      <c r="D26" s="6">
        <v>38</v>
      </c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>
        <v>0.13</v>
      </c>
      <c r="Y26" s="6">
        <v>3</v>
      </c>
    </row>
    <row r="27" spans="1:36" ht="14.25" customHeight="1">
      <c r="A27" s="6">
        <v>202</v>
      </c>
      <c r="B27" s="117">
        <f t="shared" si="0"/>
        <v>5</v>
      </c>
      <c r="C27" s="6"/>
      <c r="D27" s="6">
        <v>70</v>
      </c>
      <c r="E27" s="7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>
        <v>0.13</v>
      </c>
      <c r="Y27" s="6">
        <v>4</v>
      </c>
    </row>
    <row r="28" spans="1:36" ht="14.25" customHeight="1">
      <c r="A28" s="6">
        <v>202</v>
      </c>
      <c r="B28" s="117">
        <f t="shared" si="0"/>
        <v>950</v>
      </c>
      <c r="C28" s="6"/>
      <c r="D28" s="6"/>
      <c r="E28" s="6">
        <v>8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>
        <v>0.13</v>
      </c>
      <c r="Y28" s="6">
        <v>1</v>
      </c>
    </row>
    <row r="29" spans="1:36" ht="14.25" customHeight="1">
      <c r="A29" s="6">
        <v>202</v>
      </c>
      <c r="B29" s="117">
        <f t="shared" si="0"/>
        <v>200</v>
      </c>
      <c r="C29" s="6"/>
      <c r="D29" s="6"/>
      <c r="E29" s="6">
        <v>12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>
        <v>0.13</v>
      </c>
      <c r="Y29" s="6">
        <v>1</v>
      </c>
    </row>
    <row r="30" spans="1:36" ht="14.25" customHeight="1">
      <c r="A30" s="6">
        <v>202</v>
      </c>
      <c r="B30" s="117">
        <f t="shared" si="0"/>
        <v>75</v>
      </c>
      <c r="C30" s="6"/>
      <c r="D30" s="6"/>
      <c r="E30" s="6">
        <v>21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>
        <v>0.13</v>
      </c>
      <c r="Y30" s="6">
        <v>2</v>
      </c>
    </row>
    <row r="31" spans="1:36" ht="14.25" customHeight="1">
      <c r="A31" s="6">
        <v>202</v>
      </c>
      <c r="B31" s="117">
        <f t="shared" si="0"/>
        <v>20</v>
      </c>
      <c r="C31" s="6"/>
      <c r="D31" s="6"/>
      <c r="E31" s="6">
        <v>40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>
        <v>0.13</v>
      </c>
      <c r="Y31" s="6">
        <v>3</v>
      </c>
    </row>
    <row r="32" spans="1:36" ht="14.25" customHeight="1">
      <c r="A32" s="6">
        <v>202</v>
      </c>
      <c r="B32" s="117">
        <f t="shared" si="0"/>
        <v>5</v>
      </c>
      <c r="C32" s="6"/>
      <c r="D32" s="6"/>
      <c r="E32" s="6">
        <v>74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>
        <v>0.13</v>
      </c>
      <c r="Y32" s="6">
        <v>4</v>
      </c>
    </row>
    <row r="33" spans="1:36" ht="14.25" customHeight="1">
      <c r="A33" s="6">
        <v>202</v>
      </c>
      <c r="B33" s="117">
        <f t="shared" si="0"/>
        <v>950</v>
      </c>
      <c r="C33" s="6"/>
      <c r="D33" s="6"/>
      <c r="E33" s="6"/>
      <c r="F33" s="6"/>
      <c r="G33" s="6"/>
      <c r="H33" s="6">
        <v>50</v>
      </c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>
        <v>0.13</v>
      </c>
      <c r="Y33" s="6">
        <v>1</v>
      </c>
    </row>
    <row r="34" spans="1:36" ht="14.25" customHeight="1">
      <c r="A34" s="6">
        <v>202</v>
      </c>
      <c r="B34" s="117">
        <f t="shared" si="0"/>
        <v>200</v>
      </c>
      <c r="C34" s="6"/>
      <c r="D34" s="6"/>
      <c r="E34" s="6"/>
      <c r="F34" s="6"/>
      <c r="G34" s="6"/>
      <c r="H34" s="6">
        <v>75</v>
      </c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>
        <v>0.13</v>
      </c>
      <c r="Y34" s="6">
        <v>1</v>
      </c>
    </row>
    <row r="35" spans="1:36" ht="14.25" customHeight="1">
      <c r="A35" s="6">
        <v>202</v>
      </c>
      <c r="B35" s="117">
        <f t="shared" si="0"/>
        <v>75</v>
      </c>
      <c r="C35" s="6"/>
      <c r="D35" s="6"/>
      <c r="E35" s="6"/>
      <c r="F35" s="6"/>
      <c r="G35" s="6"/>
      <c r="H35" s="6">
        <v>135</v>
      </c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>
        <v>0.13</v>
      </c>
      <c r="Y35" s="6">
        <v>2</v>
      </c>
    </row>
    <row r="36" spans="1:36" ht="14.25" customHeight="1">
      <c r="A36" s="6">
        <v>202</v>
      </c>
      <c r="B36" s="117">
        <f t="shared" si="0"/>
        <v>20</v>
      </c>
      <c r="C36" s="6"/>
      <c r="D36" s="6"/>
      <c r="E36" s="6"/>
      <c r="F36" s="6"/>
      <c r="G36" s="6"/>
      <c r="H36" s="6">
        <v>260</v>
      </c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>
        <v>0.13</v>
      </c>
      <c r="Y36" s="6">
        <v>3</v>
      </c>
    </row>
    <row r="37" spans="1:36" ht="14.25" customHeight="1">
      <c r="A37" s="6">
        <v>202</v>
      </c>
      <c r="B37" s="117">
        <f t="shared" si="0"/>
        <v>5</v>
      </c>
      <c r="C37" s="6"/>
      <c r="D37" s="6"/>
      <c r="E37" s="6"/>
      <c r="F37" s="6"/>
      <c r="G37" s="6"/>
      <c r="H37" s="6">
        <v>450</v>
      </c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>
        <v>0.13</v>
      </c>
      <c r="Y37" s="6">
        <v>4</v>
      </c>
    </row>
    <row r="38" spans="1:36" ht="14.25" customHeight="1">
      <c r="A38" s="6">
        <v>202</v>
      </c>
      <c r="B38" s="117">
        <f t="shared" si="0"/>
        <v>950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>
        <v>0.02</v>
      </c>
      <c r="P38" s="6"/>
      <c r="Q38" s="6"/>
      <c r="R38" s="6"/>
      <c r="S38" s="6"/>
      <c r="T38" s="6"/>
      <c r="U38" s="6"/>
      <c r="V38" s="6"/>
      <c r="W38" s="6"/>
      <c r="X38" s="6">
        <v>0.13</v>
      </c>
      <c r="Y38" s="6">
        <v>1</v>
      </c>
    </row>
    <row r="39" spans="1:36" ht="14.25" customHeight="1">
      <c r="A39" s="6">
        <v>202</v>
      </c>
      <c r="B39" s="117">
        <f t="shared" si="0"/>
        <v>200</v>
      </c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>
        <v>0.04</v>
      </c>
      <c r="P39" s="6"/>
      <c r="Q39" s="6"/>
      <c r="R39" s="6"/>
      <c r="S39" s="6"/>
      <c r="T39" s="6"/>
      <c r="U39" s="6"/>
      <c r="V39" s="6"/>
      <c r="W39" s="6"/>
      <c r="X39" s="6">
        <v>0.13</v>
      </c>
      <c r="Y39" s="6">
        <v>1</v>
      </c>
    </row>
    <row r="40" spans="1:36" ht="14.25" customHeight="1">
      <c r="A40" s="6">
        <v>202</v>
      </c>
      <c r="B40" s="117">
        <f t="shared" si="0"/>
        <v>75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>
        <v>0.08</v>
      </c>
      <c r="P40" s="6"/>
      <c r="Q40" s="6"/>
      <c r="R40" s="6"/>
      <c r="S40" s="6"/>
      <c r="T40" s="6"/>
      <c r="U40" s="6"/>
      <c r="V40" s="6"/>
      <c r="W40" s="6"/>
      <c r="X40" s="6">
        <v>0.13</v>
      </c>
      <c r="Y40" s="6">
        <v>2</v>
      </c>
    </row>
    <row r="41" spans="1:36" ht="14.25" customHeight="1">
      <c r="A41" s="6">
        <v>202</v>
      </c>
      <c r="B41" s="117">
        <f t="shared" si="0"/>
        <v>20</v>
      </c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>
        <v>0.15</v>
      </c>
      <c r="P41" s="6"/>
      <c r="Q41" s="6"/>
      <c r="R41" s="6"/>
      <c r="S41" s="6"/>
      <c r="T41" s="6"/>
      <c r="U41" s="6"/>
      <c r="V41" s="6"/>
      <c r="W41" s="6"/>
      <c r="X41" s="6">
        <v>0.13</v>
      </c>
      <c r="Y41" s="6">
        <v>3</v>
      </c>
    </row>
    <row r="42" spans="1:36" ht="14.25" customHeight="1">
      <c r="A42" s="6">
        <v>202</v>
      </c>
      <c r="B42" s="117">
        <f t="shared" si="0"/>
        <v>5</v>
      </c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>
        <v>0.25</v>
      </c>
      <c r="P42" s="6"/>
      <c r="Q42" s="6"/>
      <c r="R42" s="6"/>
      <c r="S42" s="6"/>
      <c r="T42" s="6"/>
      <c r="U42" s="6"/>
      <c r="V42" s="6"/>
      <c r="W42" s="6"/>
      <c r="X42" s="6">
        <v>0.13</v>
      </c>
      <c r="Y42" s="6">
        <v>4</v>
      </c>
    </row>
    <row r="43" spans="1:36" ht="14.25" customHeight="1">
      <c r="A43" s="6">
        <v>202</v>
      </c>
      <c r="B43" s="117">
        <v>1900</v>
      </c>
      <c r="C43" s="6"/>
      <c r="D43" s="6"/>
      <c r="E43" s="6"/>
      <c r="F43" s="6"/>
      <c r="G43" s="6"/>
      <c r="H43" s="6"/>
      <c r="I43" s="6"/>
      <c r="J43" s="6">
        <v>0.01</v>
      </c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>
        <v>0.13</v>
      </c>
      <c r="Y43" s="6">
        <v>1</v>
      </c>
    </row>
    <row r="44" spans="1:36" ht="14.25" customHeight="1">
      <c r="A44" s="6">
        <v>202</v>
      </c>
      <c r="B44" s="117">
        <v>400</v>
      </c>
      <c r="C44" s="6"/>
      <c r="D44" s="6"/>
      <c r="E44" s="6"/>
      <c r="F44" s="6"/>
      <c r="G44" s="6"/>
      <c r="H44" s="6"/>
      <c r="I44" s="6"/>
      <c r="J44" s="6">
        <v>0.02</v>
      </c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>
        <v>0.13</v>
      </c>
      <c r="Y44" s="6">
        <v>1</v>
      </c>
    </row>
    <row r="45" spans="1:36" ht="14.25" customHeight="1">
      <c r="A45" s="6">
        <v>202</v>
      </c>
      <c r="B45" s="117">
        <v>150</v>
      </c>
      <c r="C45" s="6"/>
      <c r="D45" s="6"/>
      <c r="E45" s="6"/>
      <c r="F45" s="6"/>
      <c r="G45" s="6"/>
      <c r="H45" s="6"/>
      <c r="I45" s="6"/>
      <c r="J45" s="6">
        <v>0.04</v>
      </c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>
        <v>0.13</v>
      </c>
      <c r="Y45" s="6">
        <v>2</v>
      </c>
    </row>
    <row r="46" spans="1:36" ht="14.25" customHeight="1">
      <c r="A46" s="6">
        <v>202</v>
      </c>
      <c r="B46" s="117">
        <v>40</v>
      </c>
      <c r="C46" s="6"/>
      <c r="D46" s="6"/>
      <c r="E46" s="6"/>
      <c r="F46" s="6"/>
      <c r="G46" s="6"/>
      <c r="H46" s="6"/>
      <c r="I46" s="6"/>
      <c r="J46" s="6">
        <v>0.09</v>
      </c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>
        <v>0.13</v>
      </c>
      <c r="Y46" s="6">
        <v>3</v>
      </c>
    </row>
    <row r="47" spans="1:36" ht="14.25" customHeight="1">
      <c r="A47" s="6">
        <v>202</v>
      </c>
      <c r="B47" s="117">
        <v>10</v>
      </c>
      <c r="C47" s="6"/>
      <c r="D47" s="6"/>
      <c r="E47" s="6"/>
      <c r="F47" s="6"/>
      <c r="G47" s="6"/>
      <c r="H47" s="6"/>
      <c r="I47" s="6"/>
      <c r="J47" s="6">
        <v>0.15</v>
      </c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>
        <v>0.13</v>
      </c>
      <c r="Y47" s="6">
        <v>4</v>
      </c>
    </row>
    <row r="48" spans="1:36" ht="14.25" customHeight="1">
      <c r="A48" s="118">
        <v>203</v>
      </c>
      <c r="B48" s="118">
        <v>5350</v>
      </c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>
        <v>0.11</v>
      </c>
      <c r="Y48" s="119">
        <v>1</v>
      </c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</row>
    <row r="49" spans="1:36" ht="14.25" customHeight="1">
      <c r="A49" s="118">
        <v>203</v>
      </c>
      <c r="B49" s="118">
        <v>550</v>
      </c>
      <c r="C49" s="118"/>
      <c r="D49" s="118">
        <v>6</v>
      </c>
      <c r="E49" s="118"/>
      <c r="F49" s="118"/>
      <c r="G49" s="118"/>
      <c r="H49" s="118"/>
      <c r="I49" s="118"/>
      <c r="J49" s="118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>
        <v>0.11</v>
      </c>
      <c r="Y49" s="119">
        <v>1</v>
      </c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</row>
    <row r="50" spans="1:36" ht="14.25" customHeight="1">
      <c r="A50" s="118">
        <v>203</v>
      </c>
      <c r="B50" s="118">
        <f>B29/2</f>
        <v>100</v>
      </c>
      <c r="C50" s="118"/>
      <c r="D50" s="118">
        <v>11</v>
      </c>
      <c r="E50" s="118"/>
      <c r="F50" s="118"/>
      <c r="G50" s="118"/>
      <c r="H50" s="118"/>
      <c r="I50" s="118"/>
      <c r="J50" s="118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>
        <v>0.11</v>
      </c>
      <c r="Y50" s="119">
        <v>1</v>
      </c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</row>
    <row r="51" spans="1:36" ht="14.25" customHeight="1">
      <c r="A51" s="118">
        <v>203</v>
      </c>
      <c r="B51" s="118">
        <v>35</v>
      </c>
      <c r="C51" s="118"/>
      <c r="D51" s="118">
        <v>20</v>
      </c>
      <c r="E51" s="118"/>
      <c r="F51" s="118"/>
      <c r="G51" s="118"/>
      <c r="H51" s="118"/>
      <c r="I51" s="118"/>
      <c r="J51" s="118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>
        <v>0.11</v>
      </c>
      <c r="Y51" s="119">
        <v>2</v>
      </c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</row>
    <row r="52" spans="1:36" ht="14.25" customHeight="1">
      <c r="A52" s="118">
        <v>203</v>
      </c>
      <c r="B52" s="118">
        <f>B31/2</f>
        <v>10</v>
      </c>
      <c r="C52" s="118"/>
      <c r="D52" s="118">
        <v>38</v>
      </c>
      <c r="E52" s="118"/>
      <c r="F52" s="118"/>
      <c r="G52" s="118"/>
      <c r="H52" s="118"/>
      <c r="I52" s="118"/>
      <c r="J52" s="118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>
        <v>0.11</v>
      </c>
      <c r="Y52" s="119">
        <v>3</v>
      </c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</row>
    <row r="53" spans="1:36" ht="14.25" customHeight="1">
      <c r="A53" s="118">
        <v>203</v>
      </c>
      <c r="B53" s="118">
        <v>5</v>
      </c>
      <c r="C53" s="118"/>
      <c r="D53" s="118">
        <v>70</v>
      </c>
      <c r="E53" s="118"/>
      <c r="F53" s="118"/>
      <c r="G53" s="118"/>
      <c r="H53" s="118"/>
      <c r="I53" s="118"/>
      <c r="J53" s="118"/>
      <c r="K53" s="118"/>
      <c r="L53" s="118"/>
      <c r="M53" s="118"/>
      <c r="N53" s="118"/>
      <c r="O53" s="118"/>
      <c r="P53" s="118"/>
      <c r="Q53" s="118"/>
      <c r="R53" s="118"/>
      <c r="S53" s="118"/>
      <c r="T53" s="118"/>
      <c r="U53" s="118"/>
      <c r="V53" s="118"/>
      <c r="W53" s="118"/>
      <c r="X53" s="118">
        <v>0.11</v>
      </c>
      <c r="Y53" s="119">
        <v>4</v>
      </c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</row>
    <row r="54" spans="1:36" ht="14.25" customHeight="1">
      <c r="A54" s="118">
        <v>203</v>
      </c>
      <c r="B54" s="118">
        <v>550</v>
      </c>
      <c r="C54" s="118"/>
      <c r="D54" s="118"/>
      <c r="E54" s="118">
        <v>8</v>
      </c>
      <c r="F54" s="118"/>
      <c r="G54" s="118"/>
      <c r="H54" s="118"/>
      <c r="I54" s="118"/>
      <c r="J54" s="118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>
        <v>0.11</v>
      </c>
      <c r="Y54" s="119">
        <v>1</v>
      </c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</row>
    <row r="55" spans="1:36" ht="14.25" customHeight="1">
      <c r="A55" s="118">
        <v>203</v>
      </c>
      <c r="B55" s="118">
        <f>B34/2</f>
        <v>100</v>
      </c>
      <c r="C55" s="118"/>
      <c r="D55" s="118"/>
      <c r="E55" s="118">
        <v>12</v>
      </c>
      <c r="F55" s="118"/>
      <c r="G55" s="118"/>
      <c r="H55" s="118"/>
      <c r="I55" s="118"/>
      <c r="J55" s="118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>
        <v>0.11</v>
      </c>
      <c r="Y55" s="119">
        <v>1</v>
      </c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</row>
    <row r="56" spans="1:36" ht="14.25" customHeight="1">
      <c r="A56" s="118">
        <v>203</v>
      </c>
      <c r="B56" s="118">
        <v>35</v>
      </c>
      <c r="C56" s="118"/>
      <c r="D56" s="118"/>
      <c r="E56" s="118">
        <v>21</v>
      </c>
      <c r="F56" s="118"/>
      <c r="G56" s="118"/>
      <c r="H56" s="118"/>
      <c r="I56" s="118"/>
      <c r="J56" s="118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>
        <v>0.11</v>
      </c>
      <c r="Y56" s="119">
        <v>2</v>
      </c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</row>
    <row r="57" spans="1:36" ht="14.25" customHeight="1">
      <c r="A57" s="118">
        <v>203</v>
      </c>
      <c r="B57" s="118">
        <f>B36/2</f>
        <v>10</v>
      </c>
      <c r="C57" s="118"/>
      <c r="D57" s="118"/>
      <c r="E57" s="118">
        <v>40</v>
      </c>
      <c r="F57" s="118"/>
      <c r="G57" s="118"/>
      <c r="H57" s="118"/>
      <c r="I57" s="118"/>
      <c r="J57" s="118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>
        <v>0.11</v>
      </c>
      <c r="Y57" s="119">
        <v>3</v>
      </c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</row>
    <row r="58" spans="1:36" ht="14.25" customHeight="1">
      <c r="A58" s="118">
        <v>203</v>
      </c>
      <c r="B58" s="118">
        <v>5</v>
      </c>
      <c r="C58" s="118"/>
      <c r="D58" s="118"/>
      <c r="E58" s="118">
        <v>74</v>
      </c>
      <c r="F58" s="118"/>
      <c r="G58" s="118"/>
      <c r="H58" s="118"/>
      <c r="I58" s="118"/>
      <c r="J58" s="118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>
        <v>0.11</v>
      </c>
      <c r="Y58" s="119">
        <v>4</v>
      </c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</row>
    <row r="59" spans="1:36" ht="14.25" customHeight="1">
      <c r="A59" s="118">
        <v>203</v>
      </c>
      <c r="B59" s="118">
        <v>550</v>
      </c>
      <c r="C59" s="118"/>
      <c r="D59" s="118"/>
      <c r="E59" s="118"/>
      <c r="F59" s="118"/>
      <c r="G59" s="118"/>
      <c r="H59" s="118">
        <v>50</v>
      </c>
      <c r="I59" s="118"/>
      <c r="J59" s="118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>
        <v>0.11</v>
      </c>
      <c r="Y59" s="119">
        <v>1</v>
      </c>
      <c r="Z59" s="120"/>
      <c r="AA59" s="120"/>
      <c r="AB59" s="120"/>
      <c r="AC59" s="120"/>
      <c r="AD59" s="120"/>
      <c r="AE59" s="120"/>
      <c r="AF59" s="120"/>
      <c r="AG59" s="120"/>
      <c r="AH59" s="120"/>
      <c r="AI59" s="120"/>
      <c r="AJ59" s="120"/>
    </row>
    <row r="60" spans="1:36" ht="14.25" customHeight="1">
      <c r="A60" s="118">
        <v>203</v>
      </c>
      <c r="B60" s="118">
        <f>B39/2</f>
        <v>100</v>
      </c>
      <c r="C60" s="118"/>
      <c r="D60" s="118"/>
      <c r="E60" s="118"/>
      <c r="F60" s="118"/>
      <c r="G60" s="118"/>
      <c r="H60" s="118">
        <v>75</v>
      </c>
      <c r="I60" s="118"/>
      <c r="J60" s="118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>
        <v>0.11</v>
      </c>
      <c r="Y60" s="119">
        <v>1</v>
      </c>
      <c r="Z60" s="120"/>
      <c r="AA60" s="120"/>
      <c r="AB60" s="120"/>
      <c r="AC60" s="120"/>
      <c r="AD60" s="120"/>
      <c r="AE60" s="120"/>
      <c r="AF60" s="120"/>
      <c r="AG60" s="120"/>
      <c r="AH60" s="120"/>
      <c r="AI60" s="120"/>
      <c r="AJ60" s="120"/>
    </row>
    <row r="61" spans="1:36" ht="14.25" customHeight="1">
      <c r="A61" s="118">
        <v>203</v>
      </c>
      <c r="B61" s="118">
        <v>35</v>
      </c>
      <c r="C61" s="118"/>
      <c r="D61" s="118"/>
      <c r="E61" s="118"/>
      <c r="F61" s="118"/>
      <c r="G61" s="118"/>
      <c r="H61" s="118">
        <v>135</v>
      </c>
      <c r="I61" s="118"/>
      <c r="J61" s="118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>
        <v>0.11</v>
      </c>
      <c r="Y61" s="119">
        <v>2</v>
      </c>
      <c r="Z61" s="120"/>
      <c r="AA61" s="120"/>
      <c r="AB61" s="120"/>
      <c r="AC61" s="120"/>
      <c r="AD61" s="120"/>
      <c r="AE61" s="120"/>
      <c r="AF61" s="120"/>
      <c r="AG61" s="120"/>
      <c r="AH61" s="120"/>
      <c r="AI61" s="120"/>
      <c r="AJ61" s="120"/>
    </row>
    <row r="62" spans="1:36" ht="14.25" customHeight="1">
      <c r="A62" s="118">
        <v>203</v>
      </c>
      <c r="B62" s="118">
        <v>10</v>
      </c>
      <c r="C62" s="118"/>
      <c r="D62" s="118"/>
      <c r="E62" s="118"/>
      <c r="F62" s="118"/>
      <c r="G62" s="118"/>
      <c r="H62" s="118">
        <v>260</v>
      </c>
      <c r="I62" s="118"/>
      <c r="J62" s="118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>
        <v>0.11</v>
      </c>
      <c r="Y62" s="119">
        <v>3</v>
      </c>
      <c r="Z62" s="120"/>
      <c r="AA62" s="120"/>
      <c r="AB62" s="120"/>
      <c r="AC62" s="120"/>
      <c r="AD62" s="120"/>
      <c r="AE62" s="120"/>
      <c r="AF62" s="120"/>
      <c r="AG62" s="120"/>
      <c r="AH62" s="120"/>
      <c r="AI62" s="120"/>
      <c r="AJ62" s="120"/>
    </row>
    <row r="63" spans="1:36" ht="14.25" customHeight="1">
      <c r="A63" s="118">
        <v>203</v>
      </c>
      <c r="B63" s="118">
        <v>5</v>
      </c>
      <c r="C63" s="118"/>
      <c r="D63" s="118"/>
      <c r="E63" s="118"/>
      <c r="F63" s="118"/>
      <c r="G63" s="118"/>
      <c r="H63" s="118">
        <v>450</v>
      </c>
      <c r="I63" s="118"/>
      <c r="J63" s="118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>
        <v>0.11</v>
      </c>
      <c r="Y63" s="119">
        <v>4</v>
      </c>
      <c r="Z63" s="120"/>
      <c r="AA63" s="120"/>
      <c r="AB63" s="120"/>
      <c r="AC63" s="120"/>
      <c r="AD63" s="120"/>
      <c r="AE63" s="120"/>
      <c r="AF63" s="120"/>
      <c r="AG63" s="120"/>
      <c r="AH63" s="120"/>
      <c r="AI63" s="120"/>
      <c r="AJ63" s="120"/>
    </row>
    <row r="64" spans="1:36" ht="14.25" customHeight="1">
      <c r="A64" s="118">
        <v>203</v>
      </c>
      <c r="B64" s="118">
        <v>550</v>
      </c>
      <c r="C64" s="118"/>
      <c r="D64" s="118"/>
      <c r="E64" s="118"/>
      <c r="F64" s="118"/>
      <c r="G64" s="118"/>
      <c r="H64" s="118"/>
      <c r="I64" s="118"/>
      <c r="J64" s="118"/>
      <c r="K64" s="118"/>
      <c r="L64" s="118"/>
      <c r="M64" s="118"/>
      <c r="N64" s="118"/>
      <c r="O64" s="118">
        <v>0.02</v>
      </c>
      <c r="P64" s="118"/>
      <c r="Q64" s="118"/>
      <c r="R64" s="118"/>
      <c r="S64" s="118"/>
      <c r="T64" s="118"/>
      <c r="U64" s="118"/>
      <c r="V64" s="118"/>
      <c r="W64" s="118"/>
      <c r="X64" s="118">
        <v>0.11</v>
      </c>
      <c r="Y64" s="119">
        <v>1</v>
      </c>
      <c r="Z64" s="120"/>
      <c r="AA64" s="120"/>
      <c r="AB64" s="120"/>
      <c r="AC64" s="120"/>
      <c r="AD64" s="120"/>
      <c r="AE64" s="120"/>
      <c r="AF64" s="120"/>
      <c r="AG64" s="120"/>
      <c r="AH64" s="120"/>
      <c r="AI64" s="120"/>
      <c r="AJ64" s="120"/>
    </row>
    <row r="65" spans="1:36" ht="14.25" customHeight="1">
      <c r="A65" s="118">
        <v>203</v>
      </c>
      <c r="B65" s="118">
        <f>B44/2</f>
        <v>200</v>
      </c>
      <c r="C65" s="118"/>
      <c r="D65" s="118"/>
      <c r="E65" s="118"/>
      <c r="F65" s="118"/>
      <c r="G65" s="118"/>
      <c r="H65" s="118"/>
      <c r="I65" s="118"/>
      <c r="J65" s="118"/>
      <c r="K65" s="118"/>
      <c r="L65" s="118"/>
      <c r="M65" s="118"/>
      <c r="N65" s="118"/>
      <c r="O65" s="118">
        <v>0.04</v>
      </c>
      <c r="P65" s="118"/>
      <c r="Q65" s="118"/>
      <c r="R65" s="118"/>
      <c r="S65" s="118"/>
      <c r="T65" s="118"/>
      <c r="U65" s="118"/>
      <c r="V65" s="118"/>
      <c r="W65" s="118"/>
      <c r="X65" s="118">
        <v>0.11</v>
      </c>
      <c r="Y65" s="119">
        <v>1</v>
      </c>
      <c r="Z65" s="120"/>
      <c r="AA65" s="120"/>
      <c r="AB65" s="120"/>
      <c r="AC65" s="120"/>
      <c r="AD65" s="120"/>
      <c r="AE65" s="120"/>
      <c r="AF65" s="120"/>
      <c r="AG65" s="120"/>
      <c r="AH65" s="120"/>
      <c r="AI65" s="120"/>
      <c r="AJ65" s="120"/>
    </row>
    <row r="66" spans="1:36" ht="14.25" customHeight="1">
      <c r="A66" s="118">
        <v>203</v>
      </c>
      <c r="B66" s="118">
        <v>35</v>
      </c>
      <c r="C66" s="118"/>
      <c r="D66" s="118"/>
      <c r="E66" s="118"/>
      <c r="F66" s="118"/>
      <c r="G66" s="118"/>
      <c r="H66" s="118"/>
      <c r="I66" s="118"/>
      <c r="J66" s="118"/>
      <c r="K66" s="118"/>
      <c r="L66" s="118"/>
      <c r="M66" s="118"/>
      <c r="N66" s="118"/>
      <c r="O66" s="118">
        <v>0.08</v>
      </c>
      <c r="P66" s="118"/>
      <c r="Q66" s="118"/>
      <c r="R66" s="118"/>
      <c r="S66" s="118"/>
      <c r="T66" s="118"/>
      <c r="U66" s="118"/>
      <c r="V66" s="118"/>
      <c r="W66" s="118"/>
      <c r="X66" s="118">
        <v>0.11</v>
      </c>
      <c r="Y66" s="119">
        <v>2</v>
      </c>
      <c r="Z66" s="120"/>
      <c r="AA66" s="120"/>
      <c r="AB66" s="120"/>
      <c r="AC66" s="120"/>
      <c r="AD66" s="120"/>
      <c r="AE66" s="120"/>
      <c r="AF66" s="120"/>
      <c r="AG66" s="120"/>
      <c r="AH66" s="120"/>
      <c r="AI66" s="120"/>
      <c r="AJ66" s="120"/>
    </row>
    <row r="67" spans="1:36" ht="14.25" customHeight="1">
      <c r="A67" s="118">
        <v>203</v>
      </c>
      <c r="B67" s="118">
        <v>10</v>
      </c>
      <c r="C67" s="118"/>
      <c r="D67" s="118"/>
      <c r="E67" s="118"/>
      <c r="F67" s="118"/>
      <c r="G67" s="118"/>
      <c r="H67" s="118"/>
      <c r="I67" s="118"/>
      <c r="J67" s="118"/>
      <c r="K67" s="118"/>
      <c r="L67" s="118"/>
      <c r="M67" s="118"/>
      <c r="N67" s="118"/>
      <c r="O67" s="118">
        <v>0.15</v>
      </c>
      <c r="P67" s="118"/>
      <c r="Q67" s="118"/>
      <c r="R67" s="118"/>
      <c r="S67" s="118"/>
      <c r="T67" s="118"/>
      <c r="U67" s="118"/>
      <c r="V67" s="118"/>
      <c r="W67" s="118"/>
      <c r="X67" s="118">
        <v>0.11</v>
      </c>
      <c r="Y67" s="119">
        <v>3</v>
      </c>
      <c r="Z67" s="120"/>
      <c r="AA67" s="120"/>
      <c r="AB67" s="120"/>
      <c r="AC67" s="120"/>
      <c r="AD67" s="120"/>
      <c r="AE67" s="120"/>
      <c r="AF67" s="120"/>
      <c r="AG67" s="120"/>
      <c r="AH67" s="120"/>
      <c r="AI67" s="120"/>
      <c r="AJ67" s="120"/>
    </row>
    <row r="68" spans="1:36" ht="14.25" customHeight="1">
      <c r="A68" s="118">
        <v>203</v>
      </c>
      <c r="B68" s="118">
        <v>5</v>
      </c>
      <c r="C68" s="118"/>
      <c r="D68" s="118"/>
      <c r="E68" s="118"/>
      <c r="F68" s="118"/>
      <c r="G68" s="118"/>
      <c r="H68" s="118"/>
      <c r="I68" s="118"/>
      <c r="J68" s="118"/>
      <c r="K68" s="118"/>
      <c r="L68" s="118"/>
      <c r="M68" s="118"/>
      <c r="N68" s="118"/>
      <c r="O68" s="118">
        <v>0.25</v>
      </c>
      <c r="P68" s="118"/>
      <c r="Q68" s="118"/>
      <c r="R68" s="118"/>
      <c r="S68" s="118"/>
      <c r="T68" s="118"/>
      <c r="U68" s="118"/>
      <c r="V68" s="118"/>
      <c r="W68" s="118"/>
      <c r="X68" s="118">
        <v>0.11</v>
      </c>
      <c r="Y68" s="119">
        <v>4</v>
      </c>
      <c r="Z68" s="120"/>
      <c r="AA68" s="120"/>
      <c r="AB68" s="120"/>
      <c r="AC68" s="120"/>
      <c r="AD68" s="120"/>
      <c r="AE68" s="120"/>
      <c r="AF68" s="120"/>
      <c r="AG68" s="120"/>
      <c r="AH68" s="120"/>
      <c r="AI68" s="120"/>
      <c r="AJ68" s="120"/>
    </row>
    <row r="69" spans="1:36" ht="14.25" customHeight="1">
      <c r="A69" s="118">
        <v>203</v>
      </c>
      <c r="B69" s="118">
        <v>550</v>
      </c>
      <c r="C69" s="118"/>
      <c r="D69" s="118"/>
      <c r="E69" s="118"/>
      <c r="F69" s="118"/>
      <c r="G69" s="118"/>
      <c r="H69" s="118"/>
      <c r="I69" s="118"/>
      <c r="J69" s="118">
        <v>0.01</v>
      </c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>
        <v>0.11</v>
      </c>
      <c r="Y69" s="119">
        <v>1</v>
      </c>
      <c r="Z69" s="120"/>
      <c r="AA69" s="120"/>
      <c r="AB69" s="120"/>
      <c r="AC69" s="120"/>
      <c r="AD69" s="120"/>
      <c r="AE69" s="120"/>
      <c r="AF69" s="120"/>
      <c r="AG69" s="120"/>
      <c r="AH69" s="120"/>
      <c r="AI69" s="120"/>
      <c r="AJ69" s="120"/>
    </row>
    <row r="70" spans="1:36" ht="14.25" customHeight="1">
      <c r="A70" s="118">
        <v>203</v>
      </c>
      <c r="B70" s="118">
        <f>B49/2</f>
        <v>275</v>
      </c>
      <c r="C70" s="118"/>
      <c r="D70" s="118"/>
      <c r="E70" s="118"/>
      <c r="F70" s="118"/>
      <c r="G70" s="118"/>
      <c r="H70" s="118"/>
      <c r="I70" s="118"/>
      <c r="J70" s="118">
        <v>0.02</v>
      </c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>
        <v>0.11</v>
      </c>
      <c r="Y70" s="119">
        <v>1</v>
      </c>
      <c r="Z70" s="120"/>
      <c r="AA70" s="120"/>
      <c r="AB70" s="120"/>
      <c r="AC70" s="120"/>
      <c r="AD70" s="120"/>
      <c r="AE70" s="120"/>
      <c r="AF70" s="120"/>
      <c r="AG70" s="120"/>
      <c r="AH70" s="120"/>
      <c r="AI70" s="120"/>
      <c r="AJ70" s="120"/>
    </row>
    <row r="71" spans="1:36" ht="14.25" customHeight="1">
      <c r="A71" s="118">
        <v>203</v>
      </c>
      <c r="B71" s="118">
        <v>35</v>
      </c>
      <c r="C71" s="118"/>
      <c r="D71" s="118"/>
      <c r="E71" s="118"/>
      <c r="F71" s="118"/>
      <c r="G71" s="118"/>
      <c r="H71" s="118"/>
      <c r="I71" s="118"/>
      <c r="J71" s="118">
        <v>0.04</v>
      </c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>
        <v>0.11</v>
      </c>
      <c r="Y71" s="119">
        <v>2</v>
      </c>
      <c r="Z71" s="120"/>
      <c r="AA71" s="120"/>
      <c r="AB71" s="120"/>
      <c r="AC71" s="120"/>
      <c r="AD71" s="120"/>
      <c r="AE71" s="120"/>
      <c r="AF71" s="120"/>
      <c r="AG71" s="120"/>
      <c r="AH71" s="120"/>
      <c r="AI71" s="120"/>
      <c r="AJ71" s="120"/>
    </row>
    <row r="72" spans="1:36" ht="14.25" customHeight="1">
      <c r="A72" s="118">
        <v>203</v>
      </c>
      <c r="B72" s="118">
        <v>10</v>
      </c>
      <c r="C72" s="118"/>
      <c r="D72" s="118"/>
      <c r="E72" s="118"/>
      <c r="F72" s="118"/>
      <c r="G72" s="118"/>
      <c r="H72" s="118"/>
      <c r="I72" s="118"/>
      <c r="J72" s="118">
        <v>0.09</v>
      </c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>
        <v>0.11</v>
      </c>
      <c r="Y72" s="119">
        <v>3</v>
      </c>
      <c r="Z72" s="120"/>
      <c r="AA72" s="120"/>
      <c r="AB72" s="120"/>
      <c r="AC72" s="120"/>
      <c r="AD72" s="120"/>
      <c r="AE72" s="120"/>
      <c r="AF72" s="120"/>
      <c r="AG72" s="120"/>
      <c r="AH72" s="120"/>
      <c r="AI72" s="120"/>
      <c r="AJ72" s="120"/>
    </row>
    <row r="73" spans="1:36" ht="14.25" customHeight="1">
      <c r="A73" s="118">
        <v>203</v>
      </c>
      <c r="B73" s="118">
        <v>5</v>
      </c>
      <c r="C73" s="118"/>
      <c r="D73" s="118"/>
      <c r="E73" s="118"/>
      <c r="F73" s="118"/>
      <c r="G73" s="118"/>
      <c r="H73" s="118"/>
      <c r="I73" s="118"/>
      <c r="J73" s="118">
        <v>0.15</v>
      </c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>
        <v>0.11</v>
      </c>
      <c r="Y73" s="119">
        <v>4</v>
      </c>
      <c r="Z73" s="120"/>
      <c r="AA73" s="120"/>
      <c r="AB73" s="120"/>
      <c r="AC73" s="120"/>
      <c r="AD73" s="120"/>
      <c r="AE73" s="120"/>
      <c r="AF73" s="120"/>
      <c r="AG73" s="120"/>
      <c r="AH73" s="120"/>
      <c r="AI73" s="120"/>
      <c r="AJ73" s="120"/>
    </row>
    <row r="74" spans="1:36" ht="14.25" customHeight="1">
      <c r="A74" s="118">
        <v>203</v>
      </c>
      <c r="B74" s="118">
        <v>550</v>
      </c>
      <c r="C74" s="118"/>
      <c r="D74" s="118"/>
      <c r="E74" s="118"/>
      <c r="F74" s="118"/>
      <c r="G74" s="118"/>
      <c r="H74" s="118"/>
      <c r="I74" s="118"/>
      <c r="J74" s="118"/>
      <c r="K74" s="118"/>
      <c r="L74" s="118"/>
      <c r="M74" s="118"/>
      <c r="N74" s="118"/>
      <c r="O74" s="118"/>
      <c r="P74" s="118"/>
      <c r="Q74" s="118"/>
      <c r="R74" s="118"/>
      <c r="S74" s="118"/>
      <c r="T74" s="118">
        <v>0.02</v>
      </c>
      <c r="U74" s="118"/>
      <c r="V74" s="118"/>
      <c r="W74" s="118"/>
      <c r="X74" s="118">
        <v>0.11</v>
      </c>
      <c r="Y74" s="119">
        <v>1</v>
      </c>
      <c r="Z74" s="120"/>
      <c r="AA74" s="120"/>
      <c r="AB74" s="120"/>
      <c r="AC74" s="120"/>
      <c r="AD74" s="120"/>
      <c r="AE74" s="120"/>
      <c r="AF74" s="120"/>
      <c r="AG74" s="120"/>
      <c r="AH74" s="120"/>
      <c r="AI74" s="120"/>
      <c r="AJ74" s="120"/>
    </row>
    <row r="75" spans="1:36" ht="14.25" customHeight="1">
      <c r="A75" s="118">
        <v>203</v>
      </c>
      <c r="B75" s="118">
        <f>B54/2</f>
        <v>275</v>
      </c>
      <c r="C75" s="118"/>
      <c r="D75" s="118"/>
      <c r="E75" s="118"/>
      <c r="F75" s="118"/>
      <c r="G75" s="118"/>
      <c r="H75" s="118"/>
      <c r="I75" s="118"/>
      <c r="J75" s="118"/>
      <c r="K75" s="118"/>
      <c r="L75" s="118"/>
      <c r="M75" s="118"/>
      <c r="N75" s="118"/>
      <c r="O75" s="118"/>
      <c r="P75" s="118"/>
      <c r="Q75" s="118"/>
      <c r="R75" s="118"/>
      <c r="S75" s="118"/>
      <c r="T75" s="118">
        <v>0.04</v>
      </c>
      <c r="U75" s="118"/>
      <c r="V75" s="118"/>
      <c r="W75" s="118"/>
      <c r="X75" s="118">
        <v>0.11</v>
      </c>
      <c r="Y75" s="119">
        <v>1</v>
      </c>
      <c r="Z75" s="120"/>
      <c r="AA75" s="120"/>
      <c r="AB75" s="120"/>
      <c r="AC75" s="120"/>
      <c r="AD75" s="120"/>
      <c r="AE75" s="120"/>
      <c r="AF75" s="120"/>
      <c r="AG75" s="120"/>
      <c r="AH75" s="120"/>
      <c r="AI75" s="120"/>
      <c r="AJ75" s="120"/>
    </row>
    <row r="76" spans="1:36" ht="14.25" customHeight="1">
      <c r="A76" s="118">
        <v>203</v>
      </c>
      <c r="B76" s="118">
        <v>35</v>
      </c>
      <c r="C76" s="118"/>
      <c r="D76" s="118"/>
      <c r="E76" s="118"/>
      <c r="F76" s="118"/>
      <c r="G76" s="118"/>
      <c r="H76" s="118"/>
      <c r="I76" s="118"/>
      <c r="J76" s="118"/>
      <c r="K76" s="118"/>
      <c r="L76" s="118"/>
      <c r="M76" s="118"/>
      <c r="N76" s="118"/>
      <c r="O76" s="118"/>
      <c r="P76" s="118"/>
      <c r="Q76" s="118"/>
      <c r="R76" s="118"/>
      <c r="S76" s="118"/>
      <c r="T76" s="118">
        <v>0.08</v>
      </c>
      <c r="U76" s="118"/>
      <c r="V76" s="118"/>
      <c r="W76" s="118"/>
      <c r="X76" s="118">
        <v>0.11</v>
      </c>
      <c r="Y76" s="119">
        <v>2</v>
      </c>
      <c r="Z76" s="120"/>
      <c r="AA76" s="120"/>
      <c r="AB76" s="120"/>
      <c r="AC76" s="120"/>
      <c r="AD76" s="120"/>
      <c r="AE76" s="120"/>
      <c r="AF76" s="120"/>
      <c r="AG76" s="120"/>
      <c r="AH76" s="120"/>
      <c r="AI76" s="120"/>
      <c r="AJ76" s="120"/>
    </row>
    <row r="77" spans="1:36" ht="14.25" customHeight="1">
      <c r="A77" s="118">
        <v>203</v>
      </c>
      <c r="B77" s="118">
        <v>10</v>
      </c>
      <c r="C77" s="118"/>
      <c r="D77" s="118"/>
      <c r="E77" s="118"/>
      <c r="F77" s="118"/>
      <c r="G77" s="118"/>
      <c r="H77" s="118"/>
      <c r="I77" s="118"/>
      <c r="J77" s="118"/>
      <c r="K77" s="118"/>
      <c r="L77" s="118"/>
      <c r="M77" s="118"/>
      <c r="N77" s="118"/>
      <c r="O77" s="118"/>
      <c r="P77" s="118"/>
      <c r="Q77" s="118"/>
      <c r="R77" s="118"/>
      <c r="S77" s="118"/>
      <c r="T77" s="118">
        <v>0.15</v>
      </c>
      <c r="U77" s="118"/>
      <c r="V77" s="118"/>
      <c r="W77" s="118"/>
      <c r="X77" s="118">
        <v>0.11</v>
      </c>
      <c r="Y77" s="119">
        <v>3</v>
      </c>
      <c r="Z77" s="120"/>
      <c r="AA77" s="120"/>
      <c r="AB77" s="120"/>
      <c r="AC77" s="120"/>
      <c r="AD77" s="120"/>
      <c r="AE77" s="120"/>
      <c r="AF77" s="120"/>
      <c r="AG77" s="120"/>
      <c r="AH77" s="120"/>
      <c r="AI77" s="120"/>
      <c r="AJ77" s="120"/>
    </row>
    <row r="78" spans="1:36" ht="14.25" customHeight="1">
      <c r="A78" s="118">
        <v>203</v>
      </c>
      <c r="B78" s="118">
        <v>5</v>
      </c>
      <c r="C78" s="118"/>
      <c r="D78" s="118"/>
      <c r="E78" s="118"/>
      <c r="F78" s="118"/>
      <c r="G78" s="118"/>
      <c r="H78" s="118"/>
      <c r="I78" s="118"/>
      <c r="J78" s="118"/>
      <c r="K78" s="118"/>
      <c r="L78" s="118"/>
      <c r="M78" s="118"/>
      <c r="N78" s="118"/>
      <c r="O78" s="118"/>
      <c r="P78" s="118"/>
      <c r="Q78" s="118"/>
      <c r="R78" s="118"/>
      <c r="S78" s="118"/>
      <c r="T78" s="118">
        <v>0.25</v>
      </c>
      <c r="U78" s="118"/>
      <c r="V78" s="118"/>
      <c r="W78" s="118"/>
      <c r="X78" s="118">
        <v>0.11</v>
      </c>
      <c r="Y78" s="119">
        <v>4</v>
      </c>
      <c r="Z78" s="120"/>
      <c r="AA78" s="120"/>
      <c r="AB78" s="120"/>
      <c r="AC78" s="120"/>
      <c r="AD78" s="120"/>
      <c r="AE78" s="120"/>
      <c r="AF78" s="120"/>
      <c r="AG78" s="120"/>
      <c r="AH78" s="120"/>
      <c r="AI78" s="120"/>
      <c r="AJ78" s="120"/>
    </row>
    <row r="79" spans="1:36" ht="14.25" customHeight="1">
      <c r="A79" s="117">
        <v>204</v>
      </c>
      <c r="B79" s="117">
        <v>4050</v>
      </c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>
        <v>0.08</v>
      </c>
      <c r="Y79" s="117">
        <v>1</v>
      </c>
      <c r="Z79" s="121"/>
      <c r="AA79" s="121"/>
      <c r="AB79" s="121"/>
      <c r="AC79" s="121"/>
      <c r="AD79" s="121"/>
      <c r="AE79" s="121"/>
      <c r="AF79" s="121"/>
      <c r="AG79" s="121"/>
      <c r="AH79" s="121"/>
      <c r="AI79" s="121"/>
      <c r="AJ79" s="121"/>
    </row>
    <row r="80" spans="1:36" ht="14.25" customHeight="1">
      <c r="A80" s="117">
        <v>204</v>
      </c>
      <c r="B80" s="117">
        <v>650</v>
      </c>
      <c r="C80" s="117"/>
      <c r="D80" s="117">
        <v>6</v>
      </c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>
        <v>0.08</v>
      </c>
      <c r="Y80" s="117">
        <v>1</v>
      </c>
      <c r="Z80" s="121"/>
      <c r="AA80" s="121"/>
      <c r="AB80" s="121"/>
      <c r="AC80" s="121"/>
      <c r="AD80" s="121"/>
      <c r="AE80" s="121"/>
      <c r="AF80" s="121"/>
      <c r="AG80" s="121"/>
      <c r="AH80" s="121"/>
      <c r="AI80" s="121"/>
      <c r="AJ80" s="121"/>
    </row>
    <row r="81" spans="1:36" ht="14.25" customHeight="1">
      <c r="A81" s="117">
        <v>204</v>
      </c>
      <c r="B81" s="117">
        <v>150</v>
      </c>
      <c r="C81" s="117"/>
      <c r="D81" s="117">
        <v>11</v>
      </c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>
        <v>0.08</v>
      </c>
      <c r="Y81" s="117">
        <v>1</v>
      </c>
      <c r="Z81" s="121"/>
      <c r="AA81" s="121"/>
      <c r="AB81" s="121"/>
      <c r="AC81" s="121"/>
      <c r="AD81" s="121"/>
      <c r="AE81" s="121"/>
      <c r="AF81" s="121"/>
      <c r="AG81" s="121"/>
      <c r="AH81" s="121"/>
      <c r="AI81" s="121"/>
      <c r="AJ81" s="121"/>
    </row>
    <row r="82" spans="1:36" ht="14.25" customHeight="1">
      <c r="A82" s="117">
        <v>204</v>
      </c>
      <c r="B82" s="117">
        <v>35</v>
      </c>
      <c r="C82" s="117"/>
      <c r="D82" s="117">
        <v>20</v>
      </c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>
        <v>0.08</v>
      </c>
      <c r="Y82" s="117">
        <v>2</v>
      </c>
      <c r="Z82" s="121"/>
      <c r="AA82" s="121"/>
      <c r="AB82" s="121"/>
      <c r="AC82" s="121"/>
      <c r="AD82" s="121"/>
      <c r="AE82" s="121"/>
      <c r="AF82" s="121"/>
      <c r="AG82" s="121"/>
      <c r="AH82" s="121"/>
      <c r="AI82" s="121"/>
      <c r="AJ82" s="121"/>
    </row>
    <row r="83" spans="1:36" ht="14.25" customHeight="1">
      <c r="A83" s="117">
        <v>204</v>
      </c>
      <c r="B83" s="117">
        <v>10</v>
      </c>
      <c r="C83" s="117"/>
      <c r="D83" s="117">
        <v>38</v>
      </c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>
        <v>0.08</v>
      </c>
      <c r="Y83" s="117">
        <v>3</v>
      </c>
      <c r="Z83" s="121"/>
      <c r="AA83" s="121"/>
      <c r="AB83" s="121"/>
      <c r="AC83" s="121"/>
      <c r="AD83" s="121"/>
      <c r="AE83" s="121"/>
      <c r="AF83" s="121"/>
      <c r="AG83" s="121"/>
      <c r="AH83" s="121"/>
      <c r="AI83" s="121"/>
      <c r="AJ83" s="121"/>
    </row>
    <row r="84" spans="1:36" ht="14.25" customHeight="1">
      <c r="A84" s="117">
        <v>204</v>
      </c>
      <c r="B84" s="117">
        <v>5</v>
      </c>
      <c r="C84" s="117"/>
      <c r="D84" s="117">
        <v>70</v>
      </c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>
        <v>0.08</v>
      </c>
      <c r="Y84" s="117">
        <v>4</v>
      </c>
      <c r="Z84" s="121"/>
      <c r="AA84" s="121"/>
      <c r="AB84" s="121"/>
      <c r="AC84" s="121"/>
      <c r="AD84" s="121"/>
      <c r="AE84" s="121"/>
      <c r="AF84" s="121"/>
      <c r="AG84" s="121"/>
      <c r="AH84" s="121"/>
      <c r="AI84" s="121"/>
      <c r="AJ84" s="121"/>
    </row>
    <row r="85" spans="1:36" ht="14.25" customHeight="1">
      <c r="A85" s="117">
        <v>204</v>
      </c>
      <c r="B85" s="117">
        <v>650</v>
      </c>
      <c r="C85" s="117"/>
      <c r="D85" s="117"/>
      <c r="E85" s="117">
        <v>8</v>
      </c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>
        <v>0.08</v>
      </c>
      <c r="Y85" s="117">
        <v>1</v>
      </c>
      <c r="Z85" s="121"/>
      <c r="AA85" s="121"/>
      <c r="AB85" s="121"/>
      <c r="AC85" s="121"/>
      <c r="AD85" s="121"/>
      <c r="AE85" s="121"/>
      <c r="AF85" s="121"/>
      <c r="AG85" s="121"/>
      <c r="AH85" s="121"/>
      <c r="AI85" s="121"/>
      <c r="AJ85" s="121"/>
    </row>
    <row r="86" spans="1:36" ht="14.25" customHeight="1">
      <c r="A86" s="117">
        <v>204</v>
      </c>
      <c r="B86" s="117">
        <v>150</v>
      </c>
      <c r="C86" s="117"/>
      <c r="D86" s="117"/>
      <c r="E86" s="117">
        <v>12</v>
      </c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>
        <v>0.08</v>
      </c>
      <c r="Y86" s="117">
        <v>1</v>
      </c>
      <c r="Z86" s="121"/>
      <c r="AA86" s="121"/>
      <c r="AB86" s="121"/>
      <c r="AC86" s="121"/>
      <c r="AD86" s="121"/>
      <c r="AE86" s="121"/>
      <c r="AF86" s="121"/>
      <c r="AG86" s="121"/>
      <c r="AH86" s="121"/>
      <c r="AI86" s="121"/>
      <c r="AJ86" s="121"/>
    </row>
    <row r="87" spans="1:36" ht="14.25" customHeight="1">
      <c r="A87" s="117">
        <v>204</v>
      </c>
      <c r="B87" s="117">
        <v>35</v>
      </c>
      <c r="C87" s="117"/>
      <c r="D87" s="117"/>
      <c r="E87" s="117">
        <v>21</v>
      </c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>
        <v>0.08</v>
      </c>
      <c r="Y87" s="117">
        <v>2</v>
      </c>
      <c r="Z87" s="121"/>
      <c r="AA87" s="121"/>
      <c r="AB87" s="121"/>
      <c r="AC87" s="121"/>
      <c r="AD87" s="121"/>
      <c r="AE87" s="121"/>
      <c r="AF87" s="121"/>
      <c r="AG87" s="121"/>
      <c r="AH87" s="121"/>
      <c r="AI87" s="121"/>
      <c r="AJ87" s="121"/>
    </row>
    <row r="88" spans="1:36" ht="14.25" customHeight="1">
      <c r="A88" s="117">
        <v>204</v>
      </c>
      <c r="B88" s="117">
        <v>10</v>
      </c>
      <c r="C88" s="117"/>
      <c r="D88" s="117"/>
      <c r="E88" s="117">
        <v>40</v>
      </c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>
        <v>0.08</v>
      </c>
      <c r="Y88" s="117">
        <v>3</v>
      </c>
      <c r="Z88" s="121"/>
      <c r="AA88" s="121"/>
      <c r="AB88" s="121"/>
      <c r="AC88" s="121"/>
      <c r="AD88" s="121"/>
      <c r="AE88" s="121"/>
      <c r="AF88" s="121"/>
      <c r="AG88" s="121"/>
      <c r="AH88" s="121"/>
      <c r="AI88" s="121"/>
      <c r="AJ88" s="121"/>
    </row>
    <row r="89" spans="1:36" ht="14.25" customHeight="1">
      <c r="A89" s="117">
        <v>204</v>
      </c>
      <c r="B89" s="117">
        <v>5</v>
      </c>
      <c r="C89" s="117"/>
      <c r="D89" s="117"/>
      <c r="E89" s="117">
        <v>74</v>
      </c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>
        <v>0.08</v>
      </c>
      <c r="Y89" s="117">
        <v>4</v>
      </c>
      <c r="Z89" s="121"/>
      <c r="AA89" s="121"/>
      <c r="AB89" s="121"/>
      <c r="AC89" s="121"/>
      <c r="AD89" s="121"/>
      <c r="AE89" s="121"/>
      <c r="AF89" s="121"/>
      <c r="AG89" s="121"/>
      <c r="AH89" s="121"/>
      <c r="AI89" s="121"/>
      <c r="AJ89" s="121"/>
    </row>
    <row r="90" spans="1:36" ht="14.25" customHeight="1">
      <c r="A90" s="117">
        <v>204</v>
      </c>
      <c r="B90" s="117">
        <v>650</v>
      </c>
      <c r="C90" s="117"/>
      <c r="D90" s="117"/>
      <c r="E90" s="117"/>
      <c r="F90" s="117"/>
      <c r="G90" s="117"/>
      <c r="H90" s="117">
        <v>50</v>
      </c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>
        <v>0.08</v>
      </c>
      <c r="Y90" s="117">
        <v>1</v>
      </c>
      <c r="Z90" s="121"/>
      <c r="AA90" s="121"/>
      <c r="AB90" s="121"/>
      <c r="AC90" s="121"/>
      <c r="AD90" s="121"/>
      <c r="AE90" s="121"/>
      <c r="AF90" s="121"/>
      <c r="AG90" s="121"/>
      <c r="AH90" s="121"/>
      <c r="AI90" s="121"/>
      <c r="AJ90" s="121"/>
    </row>
    <row r="91" spans="1:36" ht="14.25" customHeight="1">
      <c r="A91" s="117">
        <v>204</v>
      </c>
      <c r="B91" s="117">
        <v>150</v>
      </c>
      <c r="C91" s="117"/>
      <c r="D91" s="117"/>
      <c r="E91" s="117"/>
      <c r="F91" s="117"/>
      <c r="G91" s="117"/>
      <c r="H91" s="117">
        <v>75</v>
      </c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>
        <v>0.08</v>
      </c>
      <c r="Y91" s="117">
        <v>1</v>
      </c>
      <c r="Z91" s="121"/>
      <c r="AA91" s="121"/>
      <c r="AB91" s="121"/>
      <c r="AC91" s="121"/>
      <c r="AD91" s="121"/>
      <c r="AE91" s="121"/>
      <c r="AF91" s="121"/>
      <c r="AG91" s="121"/>
      <c r="AH91" s="121"/>
      <c r="AI91" s="121"/>
      <c r="AJ91" s="121"/>
    </row>
    <row r="92" spans="1:36" ht="14.25" customHeight="1">
      <c r="A92" s="117">
        <v>204</v>
      </c>
      <c r="B92" s="117">
        <v>35</v>
      </c>
      <c r="C92" s="117"/>
      <c r="D92" s="117"/>
      <c r="E92" s="117"/>
      <c r="F92" s="117"/>
      <c r="G92" s="117"/>
      <c r="H92" s="117">
        <v>135</v>
      </c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>
        <v>0.08</v>
      </c>
      <c r="Y92" s="117">
        <v>2</v>
      </c>
      <c r="Z92" s="121"/>
      <c r="AA92" s="121"/>
      <c r="AB92" s="121"/>
      <c r="AC92" s="121"/>
      <c r="AD92" s="121"/>
      <c r="AE92" s="121"/>
      <c r="AF92" s="121"/>
      <c r="AG92" s="121"/>
      <c r="AH92" s="121"/>
      <c r="AI92" s="121"/>
      <c r="AJ92" s="121"/>
    </row>
    <row r="93" spans="1:36" ht="14.25" customHeight="1">
      <c r="A93" s="117">
        <v>204</v>
      </c>
      <c r="B93" s="117">
        <v>10</v>
      </c>
      <c r="C93" s="117"/>
      <c r="D93" s="117"/>
      <c r="E93" s="117"/>
      <c r="F93" s="117"/>
      <c r="G93" s="117"/>
      <c r="H93" s="117">
        <v>260</v>
      </c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>
        <v>0.08</v>
      </c>
      <c r="Y93" s="117">
        <v>3</v>
      </c>
      <c r="Z93" s="121"/>
      <c r="AA93" s="121"/>
      <c r="AB93" s="121"/>
      <c r="AC93" s="121"/>
      <c r="AD93" s="121"/>
      <c r="AE93" s="121"/>
      <c r="AF93" s="121"/>
      <c r="AG93" s="121"/>
      <c r="AH93" s="121"/>
      <c r="AI93" s="121"/>
      <c r="AJ93" s="121"/>
    </row>
    <row r="94" spans="1:36" ht="14.25" customHeight="1">
      <c r="A94" s="117">
        <v>204</v>
      </c>
      <c r="B94" s="117">
        <v>5</v>
      </c>
      <c r="C94" s="117"/>
      <c r="D94" s="117"/>
      <c r="E94" s="117"/>
      <c r="F94" s="117"/>
      <c r="G94" s="117"/>
      <c r="H94" s="117">
        <v>450</v>
      </c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>
        <v>0.08</v>
      </c>
      <c r="Y94" s="117">
        <v>4</v>
      </c>
      <c r="Z94" s="121"/>
      <c r="AA94" s="121"/>
      <c r="AB94" s="121"/>
      <c r="AC94" s="121"/>
      <c r="AD94" s="121"/>
      <c r="AE94" s="121"/>
      <c r="AF94" s="121"/>
      <c r="AG94" s="121"/>
      <c r="AH94" s="121"/>
      <c r="AI94" s="121"/>
      <c r="AJ94" s="121"/>
    </row>
    <row r="95" spans="1:36" ht="14.25" customHeight="1">
      <c r="A95" s="117">
        <v>204</v>
      </c>
      <c r="B95" s="117">
        <v>650</v>
      </c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>
        <v>0.02</v>
      </c>
      <c r="P95" s="117"/>
      <c r="Q95" s="117"/>
      <c r="R95" s="117"/>
      <c r="S95" s="117"/>
      <c r="T95" s="117"/>
      <c r="U95" s="117"/>
      <c r="V95" s="117"/>
      <c r="W95" s="117"/>
      <c r="X95" s="117">
        <v>0.08</v>
      </c>
      <c r="Y95" s="117">
        <v>1</v>
      </c>
      <c r="Z95" s="121"/>
      <c r="AA95" s="121"/>
      <c r="AB95" s="121"/>
      <c r="AC95" s="121"/>
      <c r="AD95" s="121"/>
      <c r="AE95" s="121"/>
      <c r="AF95" s="121"/>
      <c r="AG95" s="121"/>
      <c r="AH95" s="121"/>
      <c r="AI95" s="121"/>
      <c r="AJ95" s="121"/>
    </row>
    <row r="96" spans="1:36" ht="14.25" customHeight="1">
      <c r="A96" s="117">
        <v>204</v>
      </c>
      <c r="B96" s="117">
        <v>150</v>
      </c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>
        <v>0.04</v>
      </c>
      <c r="P96" s="117"/>
      <c r="Q96" s="117"/>
      <c r="R96" s="117"/>
      <c r="S96" s="117"/>
      <c r="T96" s="117"/>
      <c r="U96" s="117"/>
      <c r="V96" s="117"/>
      <c r="W96" s="117"/>
      <c r="X96" s="117">
        <v>0.08</v>
      </c>
      <c r="Y96" s="117">
        <v>1</v>
      </c>
      <c r="Z96" s="121"/>
      <c r="AA96" s="121"/>
      <c r="AB96" s="121"/>
      <c r="AC96" s="121"/>
      <c r="AD96" s="121"/>
      <c r="AE96" s="121"/>
      <c r="AF96" s="121"/>
      <c r="AG96" s="121"/>
      <c r="AH96" s="121"/>
      <c r="AI96" s="121"/>
      <c r="AJ96" s="121"/>
    </row>
    <row r="97" spans="1:36" ht="14.25" customHeight="1">
      <c r="A97" s="117">
        <v>204</v>
      </c>
      <c r="B97" s="117">
        <v>35</v>
      </c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>
        <v>0.08</v>
      </c>
      <c r="P97" s="117"/>
      <c r="Q97" s="117"/>
      <c r="R97" s="117"/>
      <c r="S97" s="117"/>
      <c r="T97" s="117"/>
      <c r="U97" s="117"/>
      <c r="V97" s="117"/>
      <c r="W97" s="117"/>
      <c r="X97" s="117">
        <v>0.08</v>
      </c>
      <c r="Y97" s="117">
        <v>2</v>
      </c>
      <c r="Z97" s="121"/>
      <c r="AA97" s="121"/>
      <c r="AB97" s="121"/>
      <c r="AC97" s="121"/>
      <c r="AD97" s="121"/>
      <c r="AE97" s="121"/>
      <c r="AF97" s="121"/>
      <c r="AG97" s="121"/>
      <c r="AH97" s="121"/>
      <c r="AI97" s="121"/>
      <c r="AJ97" s="121"/>
    </row>
    <row r="98" spans="1:36" ht="14.25" customHeight="1">
      <c r="A98" s="117">
        <v>204</v>
      </c>
      <c r="B98" s="117">
        <v>10</v>
      </c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>
        <v>0.15</v>
      </c>
      <c r="P98" s="117"/>
      <c r="Q98" s="117"/>
      <c r="R98" s="117"/>
      <c r="S98" s="117"/>
      <c r="T98" s="117"/>
      <c r="U98" s="117"/>
      <c r="V98" s="117"/>
      <c r="W98" s="117"/>
      <c r="X98" s="117">
        <v>0.08</v>
      </c>
      <c r="Y98" s="117">
        <v>3</v>
      </c>
      <c r="Z98" s="121"/>
      <c r="AA98" s="121"/>
      <c r="AB98" s="121"/>
      <c r="AC98" s="121"/>
      <c r="AD98" s="121"/>
      <c r="AE98" s="121"/>
      <c r="AF98" s="121"/>
      <c r="AG98" s="121"/>
      <c r="AH98" s="121"/>
      <c r="AI98" s="121"/>
      <c r="AJ98" s="121"/>
    </row>
    <row r="99" spans="1:36" ht="14.25" customHeight="1">
      <c r="A99" s="117">
        <v>204</v>
      </c>
      <c r="B99" s="117">
        <v>5</v>
      </c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>
        <v>0.25</v>
      </c>
      <c r="P99" s="117"/>
      <c r="Q99" s="117"/>
      <c r="R99" s="117"/>
      <c r="S99" s="117"/>
      <c r="T99" s="117"/>
      <c r="U99" s="117"/>
      <c r="V99" s="117"/>
      <c r="W99" s="117"/>
      <c r="X99" s="117">
        <v>0.08</v>
      </c>
      <c r="Y99" s="117">
        <v>4</v>
      </c>
      <c r="Z99" s="121"/>
      <c r="AA99" s="121"/>
      <c r="AB99" s="121"/>
      <c r="AC99" s="121"/>
      <c r="AD99" s="121"/>
      <c r="AE99" s="121"/>
      <c r="AF99" s="121"/>
      <c r="AG99" s="121"/>
      <c r="AH99" s="121"/>
      <c r="AI99" s="121"/>
      <c r="AJ99" s="121"/>
    </row>
    <row r="100" spans="1:36" ht="14.25" customHeight="1">
      <c r="A100" s="117">
        <v>204</v>
      </c>
      <c r="B100" s="117">
        <v>650</v>
      </c>
      <c r="C100" s="117"/>
      <c r="D100" s="117"/>
      <c r="E100" s="117"/>
      <c r="F100" s="117"/>
      <c r="G100" s="117"/>
      <c r="H100" s="117"/>
      <c r="I100" s="117"/>
      <c r="J100" s="117">
        <v>0.01</v>
      </c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>
        <v>0.08</v>
      </c>
      <c r="Y100" s="117">
        <v>1</v>
      </c>
      <c r="Z100" s="121"/>
      <c r="AA100" s="121"/>
      <c r="AB100" s="121"/>
      <c r="AC100" s="121"/>
      <c r="AD100" s="121"/>
      <c r="AE100" s="121"/>
      <c r="AF100" s="121"/>
      <c r="AG100" s="121"/>
      <c r="AH100" s="121"/>
      <c r="AI100" s="121"/>
      <c r="AJ100" s="121"/>
    </row>
    <row r="101" spans="1:36" ht="14.25" customHeight="1">
      <c r="A101" s="117">
        <v>204</v>
      </c>
      <c r="B101" s="117">
        <v>150</v>
      </c>
      <c r="C101" s="117"/>
      <c r="D101" s="117"/>
      <c r="E101" s="117"/>
      <c r="F101" s="117"/>
      <c r="G101" s="117"/>
      <c r="H101" s="117"/>
      <c r="I101" s="117"/>
      <c r="J101" s="117">
        <v>0.02</v>
      </c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>
        <v>0.08</v>
      </c>
      <c r="Y101" s="117">
        <v>1</v>
      </c>
      <c r="Z101" s="121"/>
      <c r="AA101" s="121"/>
      <c r="AB101" s="121"/>
      <c r="AC101" s="121"/>
      <c r="AD101" s="121"/>
      <c r="AE101" s="121"/>
      <c r="AF101" s="121"/>
      <c r="AG101" s="121"/>
      <c r="AH101" s="121"/>
      <c r="AI101" s="121"/>
      <c r="AJ101" s="121"/>
    </row>
    <row r="102" spans="1:36" ht="14.25" customHeight="1">
      <c r="A102" s="117">
        <v>204</v>
      </c>
      <c r="B102" s="117">
        <v>35</v>
      </c>
      <c r="C102" s="117"/>
      <c r="D102" s="117"/>
      <c r="E102" s="117"/>
      <c r="F102" s="117"/>
      <c r="G102" s="117"/>
      <c r="H102" s="117"/>
      <c r="I102" s="117"/>
      <c r="J102" s="117">
        <v>0.04</v>
      </c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>
        <v>0.08</v>
      </c>
      <c r="Y102" s="117">
        <v>2</v>
      </c>
      <c r="Z102" s="121"/>
      <c r="AA102" s="121"/>
      <c r="AB102" s="121"/>
      <c r="AC102" s="121"/>
      <c r="AD102" s="121"/>
      <c r="AE102" s="121"/>
      <c r="AF102" s="121"/>
      <c r="AG102" s="121"/>
      <c r="AH102" s="121"/>
      <c r="AI102" s="121"/>
      <c r="AJ102" s="121"/>
    </row>
    <row r="103" spans="1:36" ht="14.25" customHeight="1">
      <c r="A103" s="117">
        <v>204</v>
      </c>
      <c r="B103" s="117">
        <v>10</v>
      </c>
      <c r="C103" s="117"/>
      <c r="D103" s="117"/>
      <c r="E103" s="117"/>
      <c r="F103" s="117"/>
      <c r="G103" s="117"/>
      <c r="H103" s="117"/>
      <c r="I103" s="117"/>
      <c r="J103" s="117">
        <v>0.09</v>
      </c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>
        <v>0.08</v>
      </c>
      <c r="Y103" s="117">
        <v>3</v>
      </c>
      <c r="Z103" s="121"/>
      <c r="AA103" s="121"/>
      <c r="AB103" s="121"/>
      <c r="AC103" s="121"/>
      <c r="AD103" s="121"/>
      <c r="AE103" s="121"/>
      <c r="AF103" s="121"/>
      <c r="AG103" s="121"/>
      <c r="AH103" s="121"/>
      <c r="AI103" s="121"/>
      <c r="AJ103" s="121"/>
    </row>
    <row r="104" spans="1:36" ht="14.25" customHeight="1">
      <c r="A104" s="117">
        <v>204</v>
      </c>
      <c r="B104" s="117">
        <v>5</v>
      </c>
      <c r="C104" s="117"/>
      <c r="D104" s="117"/>
      <c r="E104" s="117"/>
      <c r="F104" s="117"/>
      <c r="G104" s="117"/>
      <c r="H104" s="117"/>
      <c r="I104" s="117"/>
      <c r="J104" s="117">
        <v>0.15</v>
      </c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>
        <v>0.08</v>
      </c>
      <c r="Y104" s="117">
        <v>4</v>
      </c>
      <c r="Z104" s="121"/>
      <c r="AA104" s="121"/>
      <c r="AB104" s="121"/>
      <c r="AC104" s="121"/>
      <c r="AD104" s="121"/>
      <c r="AE104" s="121"/>
      <c r="AF104" s="121"/>
      <c r="AG104" s="121"/>
      <c r="AH104" s="121"/>
      <c r="AI104" s="121"/>
      <c r="AJ104" s="121"/>
    </row>
    <row r="105" spans="1:36" ht="14.25" customHeight="1">
      <c r="A105" s="117">
        <v>204</v>
      </c>
      <c r="B105" s="117">
        <v>650</v>
      </c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>
        <v>0.02</v>
      </c>
      <c r="U105" s="117"/>
      <c r="V105" s="117"/>
      <c r="W105" s="117"/>
      <c r="X105" s="117">
        <v>0.08</v>
      </c>
      <c r="Y105" s="117">
        <v>1</v>
      </c>
      <c r="Z105" s="121"/>
      <c r="AA105" s="121"/>
      <c r="AB105" s="121"/>
      <c r="AC105" s="121"/>
      <c r="AD105" s="121"/>
      <c r="AE105" s="121"/>
      <c r="AF105" s="121"/>
      <c r="AG105" s="121"/>
      <c r="AH105" s="121"/>
      <c r="AI105" s="121"/>
      <c r="AJ105" s="121"/>
    </row>
    <row r="106" spans="1:36" ht="14.25" customHeight="1">
      <c r="A106" s="117">
        <v>204</v>
      </c>
      <c r="B106" s="117">
        <v>150</v>
      </c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>
        <v>0.04</v>
      </c>
      <c r="U106" s="117"/>
      <c r="V106" s="117"/>
      <c r="W106" s="117"/>
      <c r="X106" s="117">
        <v>0.08</v>
      </c>
      <c r="Y106" s="117">
        <v>1</v>
      </c>
      <c r="Z106" s="121"/>
      <c r="AA106" s="121"/>
      <c r="AB106" s="121"/>
      <c r="AC106" s="121"/>
      <c r="AD106" s="121"/>
      <c r="AE106" s="121"/>
      <c r="AF106" s="121"/>
      <c r="AG106" s="121"/>
      <c r="AH106" s="121"/>
      <c r="AI106" s="121"/>
      <c r="AJ106" s="121"/>
    </row>
    <row r="107" spans="1:36" ht="14.25" customHeight="1">
      <c r="A107" s="117">
        <v>204</v>
      </c>
      <c r="B107" s="117">
        <v>35</v>
      </c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>
        <v>0.08</v>
      </c>
      <c r="U107" s="117"/>
      <c r="V107" s="117"/>
      <c r="W107" s="117"/>
      <c r="X107" s="117">
        <v>0.08</v>
      </c>
      <c r="Y107" s="117">
        <v>2</v>
      </c>
      <c r="Z107" s="121"/>
      <c r="AA107" s="121"/>
      <c r="AB107" s="121"/>
      <c r="AC107" s="121"/>
      <c r="AD107" s="121"/>
      <c r="AE107" s="121"/>
      <c r="AF107" s="121"/>
      <c r="AG107" s="121"/>
      <c r="AH107" s="121"/>
      <c r="AI107" s="121"/>
      <c r="AJ107" s="121"/>
    </row>
    <row r="108" spans="1:36" ht="14.25" customHeight="1">
      <c r="A108" s="117">
        <v>204</v>
      </c>
      <c r="B108" s="117">
        <v>10</v>
      </c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>
        <v>0.15</v>
      </c>
      <c r="U108" s="117"/>
      <c r="V108" s="117"/>
      <c r="W108" s="117"/>
      <c r="X108" s="117">
        <v>0.08</v>
      </c>
      <c r="Y108" s="117">
        <v>3</v>
      </c>
      <c r="Z108" s="121"/>
      <c r="AA108" s="121"/>
      <c r="AB108" s="121"/>
      <c r="AC108" s="121"/>
      <c r="AD108" s="121"/>
      <c r="AE108" s="121"/>
      <c r="AF108" s="121"/>
      <c r="AG108" s="121"/>
      <c r="AH108" s="121"/>
      <c r="AI108" s="121"/>
      <c r="AJ108" s="121"/>
    </row>
    <row r="109" spans="1:36" ht="14.25" customHeight="1">
      <c r="A109" s="117">
        <v>204</v>
      </c>
      <c r="B109" s="117">
        <v>5</v>
      </c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>
        <v>0.25</v>
      </c>
      <c r="U109" s="117"/>
      <c r="V109" s="117"/>
      <c r="W109" s="117"/>
      <c r="X109" s="117">
        <v>0.08</v>
      </c>
      <c r="Y109" s="117">
        <v>4</v>
      </c>
      <c r="Z109" s="121"/>
      <c r="AA109" s="121"/>
      <c r="AB109" s="121"/>
      <c r="AC109" s="121"/>
      <c r="AD109" s="121"/>
      <c r="AE109" s="121"/>
      <c r="AF109" s="121"/>
      <c r="AG109" s="121"/>
      <c r="AH109" s="121"/>
      <c r="AI109" s="121"/>
      <c r="AJ109" s="121"/>
    </row>
    <row r="110" spans="1:36" ht="14.25" customHeight="1">
      <c r="A110" s="117">
        <v>204</v>
      </c>
      <c r="B110" s="117">
        <v>650</v>
      </c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>
        <v>10</v>
      </c>
      <c r="V110" s="117"/>
      <c r="W110" s="117"/>
      <c r="X110" s="117">
        <v>0.08</v>
      </c>
      <c r="Y110" s="117">
        <v>1</v>
      </c>
      <c r="Z110" s="121"/>
      <c r="AA110" s="121"/>
      <c r="AB110" s="121"/>
      <c r="AC110" s="121"/>
      <c r="AD110" s="121"/>
      <c r="AE110" s="121"/>
      <c r="AF110" s="121"/>
      <c r="AG110" s="121"/>
      <c r="AH110" s="121"/>
      <c r="AI110" s="121"/>
      <c r="AJ110" s="121"/>
    </row>
    <row r="111" spans="1:36" ht="14.25" customHeight="1">
      <c r="A111" s="117">
        <v>204</v>
      </c>
      <c r="B111" s="117">
        <v>150</v>
      </c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>
        <v>25</v>
      </c>
      <c r="V111" s="117"/>
      <c r="W111" s="117"/>
      <c r="X111" s="117">
        <v>0.08</v>
      </c>
      <c r="Y111" s="117">
        <v>1</v>
      </c>
      <c r="Z111" s="121"/>
      <c r="AA111" s="121"/>
      <c r="AB111" s="121"/>
      <c r="AC111" s="121"/>
      <c r="AD111" s="121"/>
      <c r="AE111" s="121"/>
      <c r="AF111" s="121"/>
      <c r="AG111" s="121"/>
      <c r="AH111" s="121"/>
      <c r="AI111" s="121"/>
      <c r="AJ111" s="121"/>
    </row>
    <row r="112" spans="1:36" ht="14.25" customHeight="1">
      <c r="A112" s="117">
        <v>204</v>
      </c>
      <c r="B112" s="117">
        <v>35</v>
      </c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>
        <v>40</v>
      </c>
      <c r="V112" s="117"/>
      <c r="W112" s="117"/>
      <c r="X112" s="117">
        <v>0.08</v>
      </c>
      <c r="Y112" s="117">
        <v>2</v>
      </c>
      <c r="Z112" s="121"/>
      <c r="AA112" s="121"/>
      <c r="AB112" s="121"/>
      <c r="AC112" s="121"/>
      <c r="AD112" s="121"/>
      <c r="AE112" s="121"/>
      <c r="AF112" s="121"/>
      <c r="AG112" s="121"/>
      <c r="AH112" s="121"/>
      <c r="AI112" s="121"/>
      <c r="AJ112" s="121"/>
    </row>
    <row r="113" spans="1:36" ht="14.25" customHeight="1">
      <c r="A113" s="117">
        <v>204</v>
      </c>
      <c r="B113" s="117">
        <v>10</v>
      </c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>
        <v>95</v>
      </c>
      <c r="V113" s="117"/>
      <c r="W113" s="117"/>
      <c r="X113" s="117">
        <v>0.08</v>
      </c>
      <c r="Y113" s="117">
        <v>3</v>
      </c>
      <c r="Z113" s="121"/>
      <c r="AA113" s="121"/>
      <c r="AB113" s="121"/>
      <c r="AC113" s="121"/>
      <c r="AD113" s="121"/>
      <c r="AE113" s="121"/>
      <c r="AF113" s="121"/>
      <c r="AG113" s="121"/>
      <c r="AH113" s="121"/>
      <c r="AI113" s="121"/>
      <c r="AJ113" s="121"/>
    </row>
    <row r="114" spans="1:36" ht="14.25" customHeight="1">
      <c r="A114" s="117">
        <v>204</v>
      </c>
      <c r="B114" s="117">
        <v>5</v>
      </c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>
        <v>150</v>
      </c>
      <c r="V114" s="117"/>
      <c r="W114" s="117"/>
      <c r="X114" s="117">
        <v>0.08</v>
      </c>
      <c r="Y114" s="117">
        <v>4</v>
      </c>
      <c r="Z114" s="121"/>
      <c r="AA114" s="121"/>
      <c r="AB114" s="121"/>
      <c r="AC114" s="121"/>
      <c r="AD114" s="121"/>
      <c r="AE114" s="121"/>
      <c r="AF114" s="121"/>
      <c r="AG114" s="121"/>
      <c r="AH114" s="121"/>
      <c r="AI114" s="121"/>
      <c r="AJ114" s="121"/>
    </row>
    <row r="115" spans="1:36" ht="14.25" customHeight="1">
      <c r="A115" s="115">
        <f t="shared" ref="A115:A146" si="1">A2+4</f>
        <v>205</v>
      </c>
      <c r="B115" s="115">
        <v>1900</v>
      </c>
      <c r="C115" s="115">
        <v>90</v>
      </c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>
        <v>0.15</v>
      </c>
      <c r="Y115" s="115">
        <v>1</v>
      </c>
      <c r="Z115" s="116"/>
      <c r="AA115" s="116"/>
      <c r="AB115" s="116"/>
      <c r="AC115" s="116"/>
      <c r="AD115" s="116"/>
      <c r="AE115" s="116"/>
      <c r="AF115" s="116"/>
      <c r="AG115" s="116"/>
      <c r="AH115" s="116"/>
      <c r="AI115" s="116"/>
      <c r="AJ115" s="116"/>
    </row>
    <row r="116" spans="1:36" ht="14.25" customHeight="1">
      <c r="A116" s="115">
        <f t="shared" si="1"/>
        <v>205</v>
      </c>
      <c r="B116" s="115">
        <v>400</v>
      </c>
      <c r="C116" s="115">
        <v>165</v>
      </c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>
        <v>0.15</v>
      </c>
      <c r="Y116" s="115">
        <v>1</v>
      </c>
      <c r="Z116" s="116"/>
      <c r="AA116" s="116"/>
      <c r="AB116" s="116"/>
      <c r="AC116" s="116"/>
      <c r="AD116" s="116"/>
      <c r="AE116" s="116"/>
      <c r="AF116" s="116"/>
      <c r="AG116" s="116"/>
      <c r="AH116" s="116"/>
      <c r="AI116" s="116"/>
      <c r="AJ116" s="116"/>
    </row>
    <row r="117" spans="1:36" ht="14.25" customHeight="1">
      <c r="A117" s="115">
        <f t="shared" si="1"/>
        <v>205</v>
      </c>
      <c r="B117" s="115">
        <v>150</v>
      </c>
      <c r="C117" s="115">
        <v>300</v>
      </c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>
        <v>0.15</v>
      </c>
      <c r="Y117" s="115">
        <v>2</v>
      </c>
      <c r="Z117" s="116"/>
      <c r="AA117" s="116"/>
      <c r="AB117" s="116"/>
      <c r="AC117" s="116"/>
      <c r="AD117" s="116"/>
      <c r="AE117" s="116"/>
      <c r="AF117" s="116"/>
      <c r="AG117" s="116"/>
      <c r="AH117" s="116"/>
      <c r="AI117" s="116"/>
      <c r="AJ117" s="116"/>
    </row>
    <row r="118" spans="1:36" ht="14.25" customHeight="1">
      <c r="A118" s="115">
        <f t="shared" si="1"/>
        <v>205</v>
      </c>
      <c r="B118" s="115">
        <v>40</v>
      </c>
      <c r="C118" s="115">
        <v>570</v>
      </c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>
        <v>0.15</v>
      </c>
      <c r="Y118" s="115">
        <v>3</v>
      </c>
      <c r="Z118" s="116"/>
      <c r="AA118" s="116"/>
      <c r="AB118" s="116"/>
      <c r="AC118" s="116"/>
      <c r="AD118" s="116"/>
      <c r="AE118" s="116"/>
      <c r="AF118" s="116"/>
      <c r="AG118" s="116"/>
      <c r="AH118" s="116"/>
      <c r="AI118" s="116"/>
      <c r="AJ118" s="116"/>
    </row>
    <row r="119" spans="1:36" ht="14.25" customHeight="1">
      <c r="A119" s="115">
        <f t="shared" si="1"/>
        <v>205</v>
      </c>
      <c r="B119" s="115">
        <v>10</v>
      </c>
      <c r="C119" s="115">
        <v>1050</v>
      </c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>
        <v>0.15</v>
      </c>
      <c r="Y119" s="115">
        <v>4</v>
      </c>
      <c r="Z119" s="116"/>
      <c r="AA119" s="116"/>
      <c r="AB119" s="116"/>
      <c r="AC119" s="116"/>
      <c r="AD119" s="116"/>
      <c r="AE119" s="116"/>
      <c r="AF119" s="116"/>
      <c r="AG119" s="116"/>
      <c r="AH119" s="116"/>
      <c r="AI119" s="116"/>
      <c r="AJ119" s="116"/>
    </row>
    <row r="120" spans="1:36" ht="14.25" customHeight="1">
      <c r="A120" s="115">
        <f t="shared" si="1"/>
        <v>205</v>
      </c>
      <c r="B120" s="115">
        <v>1900</v>
      </c>
      <c r="C120" s="115"/>
      <c r="D120" s="115"/>
      <c r="E120" s="115"/>
      <c r="F120" s="115">
        <v>9</v>
      </c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>
        <v>0.15</v>
      </c>
      <c r="Y120" s="115">
        <v>1</v>
      </c>
      <c r="Z120" s="116"/>
      <c r="AA120" s="116"/>
      <c r="AB120" s="116"/>
      <c r="AC120" s="116"/>
      <c r="AD120" s="116"/>
      <c r="AE120" s="116"/>
      <c r="AF120" s="116"/>
      <c r="AG120" s="116"/>
      <c r="AH120" s="116"/>
      <c r="AI120" s="116"/>
      <c r="AJ120" s="116"/>
    </row>
    <row r="121" spans="1:36" ht="14.25" customHeight="1">
      <c r="A121" s="115">
        <f t="shared" si="1"/>
        <v>205</v>
      </c>
      <c r="B121" s="115">
        <v>400</v>
      </c>
      <c r="C121" s="115"/>
      <c r="D121" s="115"/>
      <c r="E121" s="115"/>
      <c r="F121" s="115">
        <v>14</v>
      </c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>
        <v>0.15</v>
      </c>
      <c r="Y121" s="115">
        <v>1</v>
      </c>
      <c r="Z121" s="116"/>
      <c r="AA121" s="116"/>
      <c r="AB121" s="116"/>
      <c r="AC121" s="116"/>
      <c r="AD121" s="116"/>
      <c r="AE121" s="116"/>
      <c r="AF121" s="116"/>
      <c r="AG121" s="116"/>
      <c r="AH121" s="116"/>
      <c r="AI121" s="116"/>
      <c r="AJ121" s="116"/>
    </row>
    <row r="122" spans="1:36" ht="14.25" customHeight="1">
      <c r="A122" s="115">
        <f t="shared" si="1"/>
        <v>205</v>
      </c>
      <c r="B122" s="115">
        <v>150</v>
      </c>
      <c r="C122" s="115"/>
      <c r="D122" s="115"/>
      <c r="E122" s="115"/>
      <c r="F122" s="115">
        <v>23</v>
      </c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>
        <v>0.15</v>
      </c>
      <c r="Y122" s="115">
        <v>2</v>
      </c>
      <c r="Z122" s="116"/>
      <c r="AA122" s="116"/>
      <c r="AB122" s="116"/>
      <c r="AC122" s="116"/>
      <c r="AD122" s="116"/>
      <c r="AE122" s="116"/>
      <c r="AF122" s="116"/>
      <c r="AG122" s="116"/>
      <c r="AH122" s="116"/>
      <c r="AI122" s="116"/>
      <c r="AJ122" s="116"/>
    </row>
    <row r="123" spans="1:36" ht="14.25" customHeight="1">
      <c r="A123" s="115">
        <f t="shared" si="1"/>
        <v>205</v>
      </c>
      <c r="B123" s="115">
        <v>40</v>
      </c>
      <c r="C123" s="115"/>
      <c r="D123" s="115"/>
      <c r="E123" s="115"/>
      <c r="F123" s="115">
        <v>35</v>
      </c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>
        <v>0.15</v>
      </c>
      <c r="Y123" s="115">
        <v>3</v>
      </c>
      <c r="Z123" s="116"/>
      <c r="AA123" s="116"/>
      <c r="AB123" s="116"/>
      <c r="AC123" s="116"/>
      <c r="AD123" s="116"/>
      <c r="AE123" s="116"/>
      <c r="AF123" s="116"/>
      <c r="AG123" s="116"/>
      <c r="AH123" s="116"/>
      <c r="AI123" s="116"/>
      <c r="AJ123" s="116"/>
    </row>
    <row r="124" spans="1:36" ht="14.25" customHeight="1">
      <c r="A124" s="115">
        <f t="shared" si="1"/>
        <v>205</v>
      </c>
      <c r="B124" s="115">
        <v>10</v>
      </c>
      <c r="C124" s="115"/>
      <c r="D124" s="115"/>
      <c r="E124" s="115"/>
      <c r="F124" s="115">
        <v>81</v>
      </c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>
        <v>0.15</v>
      </c>
      <c r="Y124" s="115">
        <v>4</v>
      </c>
      <c r="Z124" s="116"/>
      <c r="AA124" s="116"/>
      <c r="AB124" s="116"/>
      <c r="AC124" s="116"/>
      <c r="AD124" s="116"/>
      <c r="AE124" s="116"/>
      <c r="AF124" s="116"/>
      <c r="AG124" s="116"/>
      <c r="AH124" s="116"/>
      <c r="AI124" s="116"/>
      <c r="AJ124" s="116"/>
    </row>
    <row r="125" spans="1:36" ht="14.25" customHeight="1">
      <c r="A125" s="115">
        <f t="shared" si="1"/>
        <v>205</v>
      </c>
      <c r="B125" s="115">
        <v>1900</v>
      </c>
      <c r="C125" s="115"/>
      <c r="D125" s="115"/>
      <c r="E125" s="115"/>
      <c r="F125" s="115"/>
      <c r="G125" s="115">
        <v>13</v>
      </c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>
        <v>0.15</v>
      </c>
      <c r="Y125" s="115">
        <v>1</v>
      </c>
      <c r="Z125" s="116"/>
      <c r="AA125" s="116"/>
      <c r="AB125" s="116"/>
      <c r="AC125" s="116"/>
      <c r="AD125" s="116"/>
      <c r="AE125" s="116"/>
      <c r="AF125" s="116"/>
      <c r="AG125" s="116"/>
      <c r="AH125" s="116"/>
      <c r="AI125" s="116"/>
      <c r="AJ125" s="116"/>
    </row>
    <row r="126" spans="1:36" ht="14.25" customHeight="1">
      <c r="A126" s="115">
        <f t="shared" si="1"/>
        <v>205</v>
      </c>
      <c r="B126" s="115">
        <v>400</v>
      </c>
      <c r="C126" s="115"/>
      <c r="D126" s="115"/>
      <c r="E126" s="115"/>
      <c r="F126" s="115"/>
      <c r="G126" s="115">
        <v>19</v>
      </c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>
        <v>0.15</v>
      </c>
      <c r="Y126" s="115">
        <v>1</v>
      </c>
      <c r="Z126" s="116"/>
      <c r="AA126" s="116"/>
      <c r="AB126" s="116"/>
      <c r="AC126" s="116"/>
      <c r="AD126" s="116"/>
      <c r="AE126" s="116"/>
      <c r="AF126" s="116"/>
      <c r="AG126" s="116"/>
      <c r="AH126" s="116"/>
      <c r="AI126" s="116"/>
      <c r="AJ126" s="116"/>
    </row>
    <row r="127" spans="1:36" ht="14.25" customHeight="1">
      <c r="A127" s="115">
        <f t="shared" si="1"/>
        <v>205</v>
      </c>
      <c r="B127" s="115">
        <v>150</v>
      </c>
      <c r="C127" s="115"/>
      <c r="D127" s="115"/>
      <c r="E127" s="115"/>
      <c r="F127" s="115"/>
      <c r="G127" s="115">
        <v>32</v>
      </c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>
        <v>0.15</v>
      </c>
      <c r="Y127" s="115">
        <v>2</v>
      </c>
      <c r="Z127" s="116"/>
      <c r="AA127" s="116"/>
      <c r="AB127" s="116"/>
      <c r="AC127" s="116"/>
      <c r="AD127" s="116"/>
      <c r="AE127" s="116"/>
      <c r="AF127" s="116"/>
      <c r="AG127" s="116"/>
      <c r="AH127" s="116"/>
      <c r="AI127" s="116"/>
      <c r="AJ127" s="116"/>
    </row>
    <row r="128" spans="1:36" ht="14.25" customHeight="1">
      <c r="A128" s="115">
        <f t="shared" si="1"/>
        <v>205</v>
      </c>
      <c r="B128" s="115">
        <v>40</v>
      </c>
      <c r="C128" s="115"/>
      <c r="D128" s="115"/>
      <c r="E128" s="115"/>
      <c r="F128" s="115"/>
      <c r="G128" s="115">
        <v>61</v>
      </c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>
        <v>0.15</v>
      </c>
      <c r="Y128" s="115">
        <v>3</v>
      </c>
      <c r="Z128" s="116"/>
      <c r="AA128" s="116"/>
      <c r="AB128" s="116"/>
      <c r="AC128" s="116"/>
      <c r="AD128" s="116"/>
      <c r="AE128" s="116"/>
      <c r="AF128" s="116"/>
      <c r="AG128" s="116"/>
      <c r="AH128" s="116"/>
      <c r="AI128" s="116"/>
      <c r="AJ128" s="116"/>
    </row>
    <row r="129" spans="1:36" ht="14.25" customHeight="1">
      <c r="A129" s="115">
        <f t="shared" si="1"/>
        <v>205</v>
      </c>
      <c r="B129" s="115">
        <v>10</v>
      </c>
      <c r="C129" s="115"/>
      <c r="D129" s="115"/>
      <c r="E129" s="115"/>
      <c r="F129" s="115"/>
      <c r="G129" s="115">
        <v>103</v>
      </c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>
        <v>0.15</v>
      </c>
      <c r="Y129" s="115">
        <v>4</v>
      </c>
      <c r="Z129" s="116"/>
      <c r="AA129" s="116"/>
      <c r="AB129" s="116"/>
      <c r="AC129" s="116"/>
      <c r="AD129" s="116"/>
      <c r="AE129" s="116"/>
      <c r="AF129" s="116"/>
      <c r="AG129" s="116"/>
      <c r="AH129" s="116"/>
      <c r="AI129" s="116"/>
      <c r="AJ129" s="116"/>
    </row>
    <row r="130" spans="1:36" ht="14.25" customHeight="1">
      <c r="A130" s="115">
        <f t="shared" si="1"/>
        <v>205</v>
      </c>
      <c r="B130" s="115">
        <v>1900</v>
      </c>
      <c r="C130" s="115"/>
      <c r="D130" s="115"/>
      <c r="E130" s="115"/>
      <c r="F130" s="115"/>
      <c r="G130" s="115"/>
      <c r="H130" s="115"/>
      <c r="I130" s="115"/>
      <c r="J130" s="115"/>
      <c r="K130" s="115">
        <v>0.01</v>
      </c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>
        <v>0.15</v>
      </c>
      <c r="Y130" s="115">
        <v>1</v>
      </c>
      <c r="Z130" s="116"/>
      <c r="AA130" s="116"/>
      <c r="AB130" s="116"/>
      <c r="AC130" s="116"/>
      <c r="AD130" s="116"/>
      <c r="AE130" s="116"/>
      <c r="AF130" s="116"/>
      <c r="AG130" s="116"/>
      <c r="AH130" s="116"/>
      <c r="AI130" s="116"/>
      <c r="AJ130" s="116"/>
    </row>
    <row r="131" spans="1:36" ht="14.25" customHeight="1">
      <c r="A131" s="115">
        <f t="shared" si="1"/>
        <v>205</v>
      </c>
      <c r="B131" s="115">
        <v>400</v>
      </c>
      <c r="C131" s="115"/>
      <c r="D131" s="115"/>
      <c r="E131" s="115"/>
      <c r="F131" s="115"/>
      <c r="G131" s="115"/>
      <c r="H131" s="115"/>
      <c r="I131" s="115"/>
      <c r="J131" s="115"/>
      <c r="K131" s="115">
        <v>0.03</v>
      </c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>
        <v>0.15</v>
      </c>
      <c r="Y131" s="115">
        <v>1</v>
      </c>
      <c r="Z131" s="116"/>
      <c r="AA131" s="116"/>
      <c r="AB131" s="116"/>
      <c r="AC131" s="116"/>
      <c r="AD131" s="116"/>
      <c r="AE131" s="116"/>
      <c r="AF131" s="116"/>
      <c r="AG131" s="116"/>
      <c r="AH131" s="116"/>
      <c r="AI131" s="116"/>
      <c r="AJ131" s="116"/>
    </row>
    <row r="132" spans="1:36" ht="14.25" customHeight="1">
      <c r="A132" s="115">
        <f t="shared" si="1"/>
        <v>205</v>
      </c>
      <c r="B132" s="115">
        <v>150</v>
      </c>
      <c r="C132" s="115"/>
      <c r="D132" s="115"/>
      <c r="E132" s="115"/>
      <c r="F132" s="115"/>
      <c r="G132" s="115"/>
      <c r="H132" s="115"/>
      <c r="I132" s="115"/>
      <c r="J132" s="115"/>
      <c r="K132" s="115">
        <v>0.05</v>
      </c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>
        <v>0.15</v>
      </c>
      <c r="Y132" s="115">
        <v>2</v>
      </c>
      <c r="Z132" s="116"/>
      <c r="AA132" s="116"/>
      <c r="AB132" s="116"/>
      <c r="AC132" s="116"/>
      <c r="AD132" s="116"/>
      <c r="AE132" s="116"/>
      <c r="AF132" s="116"/>
      <c r="AG132" s="116"/>
      <c r="AH132" s="116"/>
      <c r="AI132" s="116"/>
      <c r="AJ132" s="116"/>
    </row>
    <row r="133" spans="1:36" ht="14.25" customHeight="1">
      <c r="A133" s="115">
        <f t="shared" si="1"/>
        <v>205</v>
      </c>
      <c r="B133" s="115">
        <v>40</v>
      </c>
      <c r="C133" s="115"/>
      <c r="D133" s="115"/>
      <c r="E133" s="115"/>
      <c r="F133" s="115"/>
      <c r="G133" s="115"/>
      <c r="H133" s="115"/>
      <c r="I133" s="115"/>
      <c r="J133" s="115"/>
      <c r="K133" s="115">
        <v>0.09</v>
      </c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>
        <v>0.15</v>
      </c>
      <c r="Y133" s="115">
        <v>3</v>
      </c>
      <c r="Z133" s="116"/>
      <c r="AA133" s="116"/>
      <c r="AB133" s="116"/>
      <c r="AC133" s="116"/>
      <c r="AD133" s="116"/>
      <c r="AE133" s="116"/>
      <c r="AF133" s="116"/>
      <c r="AG133" s="116"/>
      <c r="AH133" s="116"/>
      <c r="AI133" s="116"/>
      <c r="AJ133" s="116"/>
    </row>
    <row r="134" spans="1:36" ht="14.25" customHeight="1">
      <c r="A134" s="115">
        <f t="shared" si="1"/>
        <v>205</v>
      </c>
      <c r="B134" s="115">
        <v>10</v>
      </c>
      <c r="C134" s="115"/>
      <c r="D134" s="115"/>
      <c r="E134" s="115"/>
      <c r="F134" s="115"/>
      <c r="G134" s="115"/>
      <c r="H134" s="115"/>
      <c r="I134" s="115"/>
      <c r="J134" s="115"/>
      <c r="K134" s="115">
        <v>0.15</v>
      </c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>
        <v>0.15</v>
      </c>
      <c r="Y134" s="115">
        <v>4</v>
      </c>
      <c r="Z134" s="116"/>
      <c r="AA134" s="116"/>
      <c r="AB134" s="116"/>
      <c r="AC134" s="116"/>
      <c r="AD134" s="116"/>
      <c r="AE134" s="116"/>
      <c r="AF134" s="116"/>
      <c r="AG134" s="116"/>
      <c r="AH134" s="116"/>
      <c r="AI134" s="116"/>
      <c r="AJ134" s="116"/>
    </row>
    <row r="135" spans="1:36" ht="14.25" customHeight="1">
      <c r="A135" s="6">
        <f t="shared" si="1"/>
        <v>206</v>
      </c>
      <c r="B135" s="6">
        <v>2500</v>
      </c>
      <c r="C135" s="2"/>
      <c r="D135" s="2"/>
      <c r="E135" s="2"/>
      <c r="F135" s="2"/>
      <c r="G135" s="2"/>
      <c r="H135" s="2"/>
      <c r="I135" s="2"/>
      <c r="J135" s="2"/>
      <c r="K135" s="2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>
        <v>0.13</v>
      </c>
      <c r="Y135" s="6">
        <v>1</v>
      </c>
    </row>
    <row r="136" spans="1:36" ht="14.25" customHeight="1">
      <c r="A136" s="6">
        <f t="shared" si="1"/>
        <v>206</v>
      </c>
      <c r="B136" s="117">
        <f t="shared" ref="B136:B155" si="2">B115/2</f>
        <v>950</v>
      </c>
      <c r="C136" s="6">
        <v>90</v>
      </c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>
        <v>0.13</v>
      </c>
      <c r="Y136" s="6">
        <v>1</v>
      </c>
    </row>
    <row r="137" spans="1:36" ht="14.25" customHeight="1">
      <c r="A137" s="6">
        <f t="shared" si="1"/>
        <v>206</v>
      </c>
      <c r="B137" s="117">
        <f t="shared" si="2"/>
        <v>200</v>
      </c>
      <c r="C137" s="6">
        <v>165</v>
      </c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>
        <v>0.13</v>
      </c>
      <c r="Y137" s="6">
        <v>1</v>
      </c>
    </row>
    <row r="138" spans="1:36" ht="14.25" customHeight="1">
      <c r="A138" s="6">
        <f t="shared" si="1"/>
        <v>206</v>
      </c>
      <c r="B138" s="117">
        <f t="shared" si="2"/>
        <v>75</v>
      </c>
      <c r="C138" s="6">
        <v>300</v>
      </c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>
        <v>0.13</v>
      </c>
      <c r="Y138" s="6">
        <v>2</v>
      </c>
    </row>
    <row r="139" spans="1:36" ht="14.25" customHeight="1">
      <c r="A139" s="6">
        <f t="shared" si="1"/>
        <v>206</v>
      </c>
      <c r="B139" s="117">
        <f t="shared" si="2"/>
        <v>20</v>
      </c>
      <c r="C139" s="6">
        <v>570</v>
      </c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>
        <v>0.13</v>
      </c>
      <c r="Y139" s="6">
        <v>3</v>
      </c>
    </row>
    <row r="140" spans="1:36" ht="14.25" customHeight="1">
      <c r="A140" s="6">
        <f t="shared" si="1"/>
        <v>206</v>
      </c>
      <c r="B140" s="117">
        <f t="shared" si="2"/>
        <v>5</v>
      </c>
      <c r="C140" s="6">
        <v>1050</v>
      </c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>
        <v>0.13</v>
      </c>
      <c r="Y140" s="6">
        <v>4</v>
      </c>
    </row>
    <row r="141" spans="1:36" ht="14.25" customHeight="1">
      <c r="A141" s="6">
        <f t="shared" si="1"/>
        <v>206</v>
      </c>
      <c r="B141" s="117">
        <f t="shared" si="2"/>
        <v>950</v>
      </c>
      <c r="C141" s="6"/>
      <c r="D141" s="6"/>
      <c r="E141" s="7"/>
      <c r="F141" s="6">
        <v>9</v>
      </c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>
        <v>0.13</v>
      </c>
      <c r="Y141" s="6">
        <v>1</v>
      </c>
    </row>
    <row r="142" spans="1:36" ht="14.25" customHeight="1">
      <c r="A142" s="6">
        <f t="shared" si="1"/>
        <v>206</v>
      </c>
      <c r="B142" s="117">
        <f t="shared" si="2"/>
        <v>200</v>
      </c>
      <c r="C142" s="6"/>
      <c r="D142" s="6"/>
      <c r="E142" s="6"/>
      <c r="F142" s="6">
        <v>14</v>
      </c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>
        <v>0.13</v>
      </c>
      <c r="Y142" s="6">
        <v>1</v>
      </c>
    </row>
    <row r="143" spans="1:36" ht="14.25" customHeight="1">
      <c r="A143" s="6">
        <f t="shared" si="1"/>
        <v>206</v>
      </c>
      <c r="B143" s="117">
        <f t="shared" si="2"/>
        <v>75</v>
      </c>
      <c r="C143" s="6"/>
      <c r="D143" s="6"/>
      <c r="E143" s="6"/>
      <c r="F143" s="6">
        <v>23</v>
      </c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>
        <v>0.13</v>
      </c>
      <c r="Y143" s="6">
        <v>2</v>
      </c>
    </row>
    <row r="144" spans="1:36" ht="14.25" customHeight="1">
      <c r="A144" s="6">
        <f t="shared" si="1"/>
        <v>206</v>
      </c>
      <c r="B144" s="117">
        <f t="shared" si="2"/>
        <v>20</v>
      </c>
      <c r="C144" s="6"/>
      <c r="D144" s="6"/>
      <c r="E144" s="6"/>
      <c r="F144" s="6">
        <v>35</v>
      </c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>
        <v>0.13</v>
      </c>
      <c r="Y144" s="6">
        <v>3</v>
      </c>
    </row>
    <row r="145" spans="1:25" ht="14.25" customHeight="1">
      <c r="A145" s="6">
        <f t="shared" si="1"/>
        <v>206</v>
      </c>
      <c r="B145" s="117">
        <f t="shared" si="2"/>
        <v>5</v>
      </c>
      <c r="C145" s="6"/>
      <c r="D145" s="6"/>
      <c r="E145" s="6"/>
      <c r="F145" s="6">
        <v>81</v>
      </c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>
        <v>0.13</v>
      </c>
      <c r="Y145" s="6">
        <v>4</v>
      </c>
    </row>
    <row r="146" spans="1:25" ht="14.25" customHeight="1">
      <c r="A146" s="6">
        <f t="shared" si="1"/>
        <v>206</v>
      </c>
      <c r="B146" s="117">
        <f t="shared" si="2"/>
        <v>950</v>
      </c>
      <c r="C146" s="6"/>
      <c r="D146" s="6"/>
      <c r="E146" s="6"/>
      <c r="F146" s="6"/>
      <c r="G146" s="6">
        <v>13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>
        <v>0.13</v>
      </c>
      <c r="Y146" s="6">
        <v>1</v>
      </c>
    </row>
    <row r="147" spans="1:25" ht="14.25" customHeight="1">
      <c r="A147" s="6">
        <f t="shared" ref="A147:A178" si="3">A34+4</f>
        <v>206</v>
      </c>
      <c r="B147" s="117">
        <f t="shared" si="2"/>
        <v>200</v>
      </c>
      <c r="C147" s="6"/>
      <c r="D147" s="6"/>
      <c r="E147" s="6"/>
      <c r="F147" s="6"/>
      <c r="G147" s="6">
        <v>19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>
        <v>0.13</v>
      </c>
      <c r="Y147" s="6">
        <v>1</v>
      </c>
    </row>
    <row r="148" spans="1:25" ht="14.25" customHeight="1">
      <c r="A148" s="6">
        <f t="shared" si="3"/>
        <v>206</v>
      </c>
      <c r="B148" s="117">
        <f t="shared" si="2"/>
        <v>75</v>
      </c>
      <c r="C148" s="6"/>
      <c r="D148" s="6"/>
      <c r="E148" s="6"/>
      <c r="F148" s="6"/>
      <c r="G148" s="6">
        <v>32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>
        <v>0.13</v>
      </c>
      <c r="Y148" s="6">
        <v>2</v>
      </c>
    </row>
    <row r="149" spans="1:25" ht="14.25" customHeight="1">
      <c r="A149" s="6">
        <f t="shared" si="3"/>
        <v>206</v>
      </c>
      <c r="B149" s="117">
        <f t="shared" si="2"/>
        <v>20</v>
      </c>
      <c r="C149" s="6"/>
      <c r="D149" s="6"/>
      <c r="E149" s="6"/>
      <c r="F149" s="6"/>
      <c r="G149" s="6">
        <v>61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>
        <v>0.13</v>
      </c>
      <c r="Y149" s="6">
        <v>3</v>
      </c>
    </row>
    <row r="150" spans="1:25" ht="14.25" customHeight="1">
      <c r="A150" s="6">
        <f t="shared" si="3"/>
        <v>206</v>
      </c>
      <c r="B150" s="117">
        <f t="shared" si="2"/>
        <v>5</v>
      </c>
      <c r="C150" s="6"/>
      <c r="D150" s="6"/>
      <c r="E150" s="6"/>
      <c r="F150" s="6"/>
      <c r="G150" s="6">
        <v>103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>
        <v>0.13</v>
      </c>
      <c r="Y150" s="6">
        <v>4</v>
      </c>
    </row>
    <row r="151" spans="1:25" ht="14.25" customHeight="1">
      <c r="A151" s="6">
        <f t="shared" si="3"/>
        <v>206</v>
      </c>
      <c r="B151" s="117">
        <f t="shared" si="2"/>
        <v>950</v>
      </c>
      <c r="C151" s="6"/>
      <c r="D151" s="6"/>
      <c r="E151" s="6"/>
      <c r="F151" s="6"/>
      <c r="G151" s="6"/>
      <c r="H151" s="6"/>
      <c r="I151" s="6"/>
      <c r="J151" s="6"/>
      <c r="K151" s="6">
        <v>0.01</v>
      </c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>
        <v>0.13</v>
      </c>
      <c r="Y151" s="6">
        <v>1</v>
      </c>
    </row>
    <row r="152" spans="1:25" ht="14.25" customHeight="1">
      <c r="A152" s="6">
        <f t="shared" si="3"/>
        <v>206</v>
      </c>
      <c r="B152" s="117">
        <f t="shared" si="2"/>
        <v>200</v>
      </c>
      <c r="C152" s="6"/>
      <c r="D152" s="6"/>
      <c r="E152" s="6"/>
      <c r="F152" s="6"/>
      <c r="G152" s="6"/>
      <c r="H152" s="6"/>
      <c r="I152" s="6"/>
      <c r="J152" s="6"/>
      <c r="K152" s="6">
        <v>0.03</v>
      </c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>
        <v>0.13</v>
      </c>
      <c r="Y152" s="6">
        <v>1</v>
      </c>
    </row>
    <row r="153" spans="1:25" ht="14.25" customHeight="1">
      <c r="A153" s="6">
        <f t="shared" si="3"/>
        <v>206</v>
      </c>
      <c r="B153" s="117">
        <f t="shared" si="2"/>
        <v>75</v>
      </c>
      <c r="C153" s="6"/>
      <c r="D153" s="6"/>
      <c r="E153" s="6"/>
      <c r="F153" s="6"/>
      <c r="G153" s="6"/>
      <c r="H153" s="6"/>
      <c r="I153" s="6"/>
      <c r="J153" s="6"/>
      <c r="K153" s="6">
        <v>0.05</v>
      </c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>
        <v>0.13</v>
      </c>
      <c r="Y153" s="6">
        <v>2</v>
      </c>
    </row>
    <row r="154" spans="1:25" ht="14.25" customHeight="1">
      <c r="A154" s="6">
        <f t="shared" si="3"/>
        <v>206</v>
      </c>
      <c r="B154" s="117">
        <f t="shared" si="2"/>
        <v>20</v>
      </c>
      <c r="C154" s="6"/>
      <c r="D154" s="6"/>
      <c r="E154" s="6"/>
      <c r="F154" s="6"/>
      <c r="G154" s="6"/>
      <c r="H154" s="6"/>
      <c r="I154" s="6"/>
      <c r="J154" s="6"/>
      <c r="K154" s="6">
        <v>0.09</v>
      </c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>
        <v>0.13</v>
      </c>
      <c r="Y154" s="6">
        <v>3</v>
      </c>
    </row>
    <row r="155" spans="1:25" ht="14.25" customHeight="1">
      <c r="A155" s="6">
        <f t="shared" si="3"/>
        <v>206</v>
      </c>
      <c r="B155" s="117">
        <f t="shared" si="2"/>
        <v>5</v>
      </c>
      <c r="C155" s="6"/>
      <c r="D155" s="6"/>
      <c r="E155" s="6"/>
      <c r="F155" s="6"/>
      <c r="G155" s="6"/>
      <c r="H155" s="6"/>
      <c r="I155" s="6"/>
      <c r="J155" s="6"/>
      <c r="K155" s="6">
        <v>0.15</v>
      </c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>
        <v>0.13</v>
      </c>
      <c r="Y155" s="6">
        <v>4</v>
      </c>
    </row>
    <row r="156" spans="1:25" ht="14.25" customHeight="1">
      <c r="A156" s="6">
        <f t="shared" si="3"/>
        <v>206</v>
      </c>
      <c r="B156" s="117">
        <v>1900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>
        <v>0.01</v>
      </c>
      <c r="O156" s="6"/>
      <c r="P156" s="6"/>
      <c r="Q156" s="6"/>
      <c r="R156" s="6"/>
      <c r="S156" s="6"/>
      <c r="T156" s="6"/>
      <c r="U156" s="6"/>
      <c r="V156" s="6"/>
      <c r="W156" s="6"/>
      <c r="X156" s="6">
        <v>0.13</v>
      </c>
      <c r="Y156" s="6">
        <v>1</v>
      </c>
    </row>
    <row r="157" spans="1:25" ht="14.25" customHeight="1">
      <c r="A157" s="6">
        <f t="shared" si="3"/>
        <v>206</v>
      </c>
      <c r="B157" s="117">
        <v>400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>
        <v>0.03</v>
      </c>
      <c r="O157" s="6"/>
      <c r="P157" s="6"/>
      <c r="Q157" s="6"/>
      <c r="R157" s="6"/>
      <c r="S157" s="6"/>
      <c r="T157" s="6"/>
      <c r="U157" s="6"/>
      <c r="V157" s="6"/>
      <c r="W157" s="6"/>
      <c r="X157" s="6">
        <v>0.13</v>
      </c>
      <c r="Y157" s="6">
        <v>1</v>
      </c>
    </row>
    <row r="158" spans="1:25" ht="14.25" customHeight="1">
      <c r="A158" s="6">
        <f t="shared" si="3"/>
        <v>206</v>
      </c>
      <c r="B158" s="117">
        <v>150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>
        <v>0.05</v>
      </c>
      <c r="O158" s="6"/>
      <c r="P158" s="6"/>
      <c r="Q158" s="6"/>
      <c r="R158" s="6"/>
      <c r="S158" s="6"/>
      <c r="T158" s="6"/>
      <c r="U158" s="6"/>
      <c r="V158" s="6"/>
      <c r="W158" s="6"/>
      <c r="X158" s="6">
        <v>0.13</v>
      </c>
      <c r="Y158" s="6">
        <v>2</v>
      </c>
    </row>
    <row r="159" spans="1:25" ht="14.25" customHeight="1">
      <c r="A159" s="6">
        <f t="shared" si="3"/>
        <v>206</v>
      </c>
      <c r="B159" s="117">
        <v>40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>
        <v>0.09</v>
      </c>
      <c r="O159" s="6"/>
      <c r="P159" s="6"/>
      <c r="Q159" s="6"/>
      <c r="R159" s="6"/>
      <c r="S159" s="6"/>
      <c r="T159" s="6"/>
      <c r="U159" s="6"/>
      <c r="V159" s="6"/>
      <c r="W159" s="6"/>
      <c r="X159" s="6">
        <v>0.13</v>
      </c>
      <c r="Y159" s="6">
        <v>3</v>
      </c>
    </row>
    <row r="160" spans="1:25" ht="14.25" customHeight="1">
      <c r="A160" s="6">
        <f t="shared" si="3"/>
        <v>206</v>
      </c>
      <c r="B160" s="117">
        <v>10</v>
      </c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>
        <v>0.15</v>
      </c>
      <c r="O160" s="6"/>
      <c r="P160" s="6"/>
      <c r="Q160" s="6"/>
      <c r="R160" s="6"/>
      <c r="S160" s="6"/>
      <c r="T160" s="6"/>
      <c r="U160" s="6"/>
      <c r="V160" s="6"/>
      <c r="W160" s="6"/>
      <c r="X160" s="6">
        <v>0.13</v>
      </c>
      <c r="Y160" s="6">
        <v>4</v>
      </c>
    </row>
    <row r="161" spans="1:36" ht="14.25" customHeight="1">
      <c r="A161" s="118">
        <f t="shared" si="3"/>
        <v>207</v>
      </c>
      <c r="B161" s="118">
        <v>5350</v>
      </c>
      <c r="C161" s="118"/>
      <c r="D161" s="118"/>
      <c r="E161" s="118"/>
      <c r="F161" s="118"/>
      <c r="G161" s="118"/>
      <c r="H161" s="118"/>
      <c r="I161" s="118"/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>
        <v>0.11</v>
      </c>
      <c r="Y161" s="119">
        <v>1</v>
      </c>
      <c r="Z161" s="120"/>
      <c r="AA161" s="120"/>
      <c r="AB161" s="120"/>
      <c r="AC161" s="120"/>
      <c r="AD161" s="120"/>
      <c r="AE161" s="120"/>
      <c r="AF161" s="120"/>
      <c r="AG161" s="120"/>
      <c r="AH161" s="120"/>
      <c r="AI161" s="120"/>
      <c r="AJ161" s="120"/>
    </row>
    <row r="162" spans="1:36" ht="14.25" customHeight="1">
      <c r="A162" s="118">
        <f t="shared" si="3"/>
        <v>207</v>
      </c>
      <c r="B162" s="118">
        <v>550</v>
      </c>
      <c r="C162" s="118">
        <v>90</v>
      </c>
      <c r="D162" s="118"/>
      <c r="E162" s="118"/>
      <c r="F162" s="118"/>
      <c r="G162" s="118"/>
      <c r="H162" s="118"/>
      <c r="I162" s="118"/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>
        <v>0.11</v>
      </c>
      <c r="Y162" s="119">
        <v>1</v>
      </c>
      <c r="Z162" s="120"/>
      <c r="AA162" s="120"/>
      <c r="AB162" s="120"/>
      <c r="AC162" s="120"/>
      <c r="AD162" s="120"/>
      <c r="AE162" s="120"/>
      <c r="AF162" s="120"/>
      <c r="AG162" s="120"/>
      <c r="AH162" s="120"/>
      <c r="AI162" s="120"/>
      <c r="AJ162" s="120"/>
    </row>
    <row r="163" spans="1:36" ht="14.25" customHeight="1">
      <c r="A163" s="118">
        <f t="shared" si="3"/>
        <v>207</v>
      </c>
      <c r="B163" s="118">
        <f>B142/2</f>
        <v>100</v>
      </c>
      <c r="C163" s="118">
        <v>165</v>
      </c>
      <c r="D163" s="118"/>
      <c r="E163" s="118"/>
      <c r="F163" s="118"/>
      <c r="G163" s="118"/>
      <c r="H163" s="118"/>
      <c r="I163" s="118"/>
      <c r="J163" s="118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>
        <v>0.11</v>
      </c>
      <c r="Y163" s="119">
        <v>1</v>
      </c>
      <c r="Z163" s="120"/>
      <c r="AA163" s="120"/>
      <c r="AB163" s="120"/>
      <c r="AC163" s="120"/>
      <c r="AD163" s="120"/>
      <c r="AE163" s="120"/>
      <c r="AF163" s="120"/>
      <c r="AG163" s="120"/>
      <c r="AH163" s="120"/>
      <c r="AI163" s="120"/>
      <c r="AJ163" s="120"/>
    </row>
    <row r="164" spans="1:36" ht="14.25" customHeight="1">
      <c r="A164" s="118">
        <f t="shared" si="3"/>
        <v>207</v>
      </c>
      <c r="B164" s="118">
        <v>35</v>
      </c>
      <c r="C164" s="118">
        <v>300</v>
      </c>
      <c r="D164" s="118"/>
      <c r="E164" s="118"/>
      <c r="F164" s="118"/>
      <c r="G164" s="118"/>
      <c r="H164" s="118"/>
      <c r="I164" s="118"/>
      <c r="J164" s="118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>
        <v>0.11</v>
      </c>
      <c r="Y164" s="119">
        <v>2</v>
      </c>
      <c r="Z164" s="120"/>
      <c r="AA164" s="120"/>
      <c r="AB164" s="120"/>
      <c r="AC164" s="120"/>
      <c r="AD164" s="120"/>
      <c r="AE164" s="120"/>
      <c r="AF164" s="120"/>
      <c r="AG164" s="120"/>
      <c r="AH164" s="120"/>
      <c r="AI164" s="120"/>
      <c r="AJ164" s="120"/>
    </row>
    <row r="165" spans="1:36" ht="14.25" customHeight="1">
      <c r="A165" s="118">
        <f t="shared" si="3"/>
        <v>207</v>
      </c>
      <c r="B165" s="118">
        <f>B144/2</f>
        <v>10</v>
      </c>
      <c r="C165" s="118">
        <v>570</v>
      </c>
      <c r="D165" s="118"/>
      <c r="E165" s="118"/>
      <c r="F165" s="118"/>
      <c r="G165" s="118"/>
      <c r="H165" s="118"/>
      <c r="I165" s="118"/>
      <c r="J165" s="118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>
        <v>0.11</v>
      </c>
      <c r="Y165" s="119">
        <v>3</v>
      </c>
      <c r="Z165" s="120"/>
      <c r="AA165" s="120"/>
      <c r="AB165" s="120"/>
      <c r="AC165" s="120"/>
      <c r="AD165" s="120"/>
      <c r="AE165" s="120"/>
      <c r="AF165" s="120"/>
      <c r="AG165" s="120"/>
      <c r="AH165" s="120"/>
      <c r="AI165" s="120"/>
      <c r="AJ165" s="120"/>
    </row>
    <row r="166" spans="1:36" ht="14.25" customHeight="1">
      <c r="A166" s="118">
        <f t="shared" si="3"/>
        <v>207</v>
      </c>
      <c r="B166" s="118">
        <v>5</v>
      </c>
      <c r="C166" s="118">
        <v>1050</v>
      </c>
      <c r="D166" s="118"/>
      <c r="E166" s="118"/>
      <c r="F166" s="118"/>
      <c r="G166" s="118"/>
      <c r="H166" s="118"/>
      <c r="I166" s="118"/>
      <c r="J166" s="118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>
        <v>0.11</v>
      </c>
      <c r="Y166" s="119">
        <v>4</v>
      </c>
      <c r="Z166" s="120"/>
      <c r="AA166" s="120"/>
      <c r="AB166" s="120"/>
      <c r="AC166" s="120"/>
      <c r="AD166" s="120"/>
      <c r="AE166" s="120"/>
      <c r="AF166" s="120"/>
      <c r="AG166" s="120"/>
      <c r="AH166" s="120"/>
      <c r="AI166" s="120"/>
      <c r="AJ166" s="120"/>
    </row>
    <row r="167" spans="1:36" ht="14.25" customHeight="1">
      <c r="A167" s="118">
        <f t="shared" si="3"/>
        <v>207</v>
      </c>
      <c r="B167" s="118">
        <v>550</v>
      </c>
      <c r="C167" s="118"/>
      <c r="D167" s="118"/>
      <c r="E167" s="118"/>
      <c r="F167" s="118">
        <v>9</v>
      </c>
      <c r="G167" s="118"/>
      <c r="H167" s="118"/>
      <c r="I167" s="118"/>
      <c r="J167" s="118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>
        <v>0.11</v>
      </c>
      <c r="Y167" s="119">
        <v>1</v>
      </c>
      <c r="Z167" s="120"/>
      <c r="AA167" s="120"/>
      <c r="AB167" s="120"/>
      <c r="AC167" s="120"/>
      <c r="AD167" s="120"/>
      <c r="AE167" s="120"/>
      <c r="AF167" s="120"/>
      <c r="AG167" s="120"/>
      <c r="AH167" s="120"/>
      <c r="AI167" s="120"/>
      <c r="AJ167" s="120"/>
    </row>
    <row r="168" spans="1:36" ht="14.25" customHeight="1">
      <c r="A168" s="118">
        <f t="shared" si="3"/>
        <v>207</v>
      </c>
      <c r="B168" s="118">
        <f>B147/2</f>
        <v>100</v>
      </c>
      <c r="C168" s="118"/>
      <c r="D168" s="118"/>
      <c r="E168" s="118"/>
      <c r="F168" s="118">
        <v>14</v>
      </c>
      <c r="G168" s="118"/>
      <c r="H168" s="118"/>
      <c r="I168" s="118"/>
      <c r="J168" s="118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>
        <v>0.11</v>
      </c>
      <c r="Y168" s="119">
        <v>1</v>
      </c>
      <c r="Z168" s="120"/>
      <c r="AA168" s="120"/>
      <c r="AB168" s="120"/>
      <c r="AC168" s="120"/>
      <c r="AD168" s="120"/>
      <c r="AE168" s="120"/>
      <c r="AF168" s="120"/>
      <c r="AG168" s="120"/>
      <c r="AH168" s="120"/>
      <c r="AI168" s="120"/>
      <c r="AJ168" s="120"/>
    </row>
    <row r="169" spans="1:36" ht="14.25" customHeight="1">
      <c r="A169" s="118">
        <f t="shared" si="3"/>
        <v>207</v>
      </c>
      <c r="B169" s="118">
        <v>35</v>
      </c>
      <c r="C169" s="118"/>
      <c r="D169" s="118"/>
      <c r="E169" s="118"/>
      <c r="F169" s="118">
        <v>23</v>
      </c>
      <c r="G169" s="118"/>
      <c r="H169" s="118"/>
      <c r="I169" s="118"/>
      <c r="J169" s="118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>
        <v>0.11</v>
      </c>
      <c r="Y169" s="119">
        <v>2</v>
      </c>
      <c r="Z169" s="120"/>
      <c r="AA169" s="120"/>
      <c r="AB169" s="120"/>
      <c r="AC169" s="120"/>
      <c r="AD169" s="120"/>
      <c r="AE169" s="120"/>
      <c r="AF169" s="120"/>
      <c r="AG169" s="120"/>
      <c r="AH169" s="120"/>
      <c r="AI169" s="120"/>
      <c r="AJ169" s="120"/>
    </row>
    <row r="170" spans="1:36" ht="14.25" customHeight="1">
      <c r="A170" s="118">
        <f t="shared" si="3"/>
        <v>207</v>
      </c>
      <c r="B170" s="118">
        <f>B149/2</f>
        <v>10</v>
      </c>
      <c r="C170" s="118"/>
      <c r="D170" s="118"/>
      <c r="E170" s="118"/>
      <c r="F170" s="118">
        <v>35</v>
      </c>
      <c r="G170" s="118"/>
      <c r="H170" s="118"/>
      <c r="I170" s="118"/>
      <c r="J170" s="118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>
        <v>0.11</v>
      </c>
      <c r="Y170" s="119">
        <v>3</v>
      </c>
      <c r="Z170" s="120"/>
      <c r="AA170" s="120"/>
      <c r="AB170" s="120"/>
      <c r="AC170" s="120"/>
      <c r="AD170" s="120"/>
      <c r="AE170" s="120"/>
      <c r="AF170" s="120"/>
      <c r="AG170" s="120"/>
      <c r="AH170" s="120"/>
      <c r="AI170" s="120"/>
      <c r="AJ170" s="120"/>
    </row>
    <row r="171" spans="1:36" ht="14.25" customHeight="1">
      <c r="A171" s="118">
        <f t="shared" si="3"/>
        <v>207</v>
      </c>
      <c r="B171" s="118">
        <v>5</v>
      </c>
      <c r="C171" s="118"/>
      <c r="D171" s="118"/>
      <c r="E171" s="118"/>
      <c r="F171" s="118">
        <v>81</v>
      </c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>
        <v>0.11</v>
      </c>
      <c r="Y171" s="119">
        <v>4</v>
      </c>
      <c r="Z171" s="120"/>
      <c r="AA171" s="120"/>
      <c r="AB171" s="120"/>
      <c r="AC171" s="120"/>
      <c r="AD171" s="120"/>
      <c r="AE171" s="120"/>
      <c r="AF171" s="120"/>
      <c r="AG171" s="120"/>
      <c r="AH171" s="120"/>
      <c r="AI171" s="120"/>
      <c r="AJ171" s="120"/>
    </row>
    <row r="172" spans="1:36" ht="14.25" customHeight="1">
      <c r="A172" s="118">
        <f t="shared" si="3"/>
        <v>207</v>
      </c>
      <c r="B172" s="118">
        <v>550</v>
      </c>
      <c r="C172" s="118"/>
      <c r="D172" s="118"/>
      <c r="E172" s="118"/>
      <c r="F172" s="118"/>
      <c r="G172" s="118">
        <v>13</v>
      </c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>
        <v>0.11</v>
      </c>
      <c r="Y172" s="119">
        <v>1</v>
      </c>
      <c r="Z172" s="120"/>
      <c r="AA172" s="120"/>
      <c r="AB172" s="120"/>
      <c r="AC172" s="120"/>
      <c r="AD172" s="120"/>
      <c r="AE172" s="120"/>
      <c r="AF172" s="120"/>
      <c r="AG172" s="120"/>
      <c r="AH172" s="120"/>
      <c r="AI172" s="120"/>
      <c r="AJ172" s="120"/>
    </row>
    <row r="173" spans="1:36" ht="14.25" customHeight="1">
      <c r="A173" s="118">
        <f t="shared" si="3"/>
        <v>207</v>
      </c>
      <c r="B173" s="118">
        <f>B152/2</f>
        <v>100</v>
      </c>
      <c r="C173" s="118"/>
      <c r="D173" s="118"/>
      <c r="E173" s="118"/>
      <c r="F173" s="118"/>
      <c r="G173" s="118">
        <v>19</v>
      </c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>
        <v>0.11</v>
      </c>
      <c r="Y173" s="119">
        <v>1</v>
      </c>
      <c r="Z173" s="120"/>
      <c r="AA173" s="120"/>
      <c r="AB173" s="120"/>
      <c r="AC173" s="120"/>
      <c r="AD173" s="120"/>
      <c r="AE173" s="120"/>
      <c r="AF173" s="120"/>
      <c r="AG173" s="120"/>
      <c r="AH173" s="120"/>
      <c r="AI173" s="120"/>
      <c r="AJ173" s="120"/>
    </row>
    <row r="174" spans="1:36" ht="14.25" customHeight="1">
      <c r="A174" s="118">
        <f t="shared" si="3"/>
        <v>207</v>
      </c>
      <c r="B174" s="118">
        <v>35</v>
      </c>
      <c r="C174" s="118"/>
      <c r="D174" s="118"/>
      <c r="E174" s="118"/>
      <c r="F174" s="118"/>
      <c r="G174" s="118">
        <v>32</v>
      </c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>
        <v>0.11</v>
      </c>
      <c r="Y174" s="119">
        <v>2</v>
      </c>
      <c r="Z174" s="120"/>
      <c r="AA174" s="120"/>
      <c r="AB174" s="120"/>
      <c r="AC174" s="120"/>
      <c r="AD174" s="120"/>
      <c r="AE174" s="120"/>
      <c r="AF174" s="120"/>
      <c r="AG174" s="120"/>
      <c r="AH174" s="120"/>
      <c r="AI174" s="120"/>
      <c r="AJ174" s="120"/>
    </row>
    <row r="175" spans="1:36" ht="14.25" customHeight="1">
      <c r="A175" s="118">
        <f t="shared" si="3"/>
        <v>207</v>
      </c>
      <c r="B175" s="118">
        <v>10</v>
      </c>
      <c r="C175" s="118"/>
      <c r="D175" s="118"/>
      <c r="E175" s="118"/>
      <c r="F175" s="118"/>
      <c r="G175" s="118">
        <v>61</v>
      </c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>
        <v>0.11</v>
      </c>
      <c r="Y175" s="119">
        <v>3</v>
      </c>
      <c r="Z175" s="120"/>
      <c r="AA175" s="120"/>
      <c r="AB175" s="120"/>
      <c r="AC175" s="120"/>
      <c r="AD175" s="120"/>
      <c r="AE175" s="120"/>
      <c r="AF175" s="120"/>
      <c r="AG175" s="120"/>
      <c r="AH175" s="120"/>
      <c r="AI175" s="120"/>
      <c r="AJ175" s="120"/>
    </row>
    <row r="176" spans="1:36" ht="14.25" customHeight="1">
      <c r="A176" s="118">
        <f t="shared" si="3"/>
        <v>207</v>
      </c>
      <c r="B176" s="118">
        <v>5</v>
      </c>
      <c r="C176" s="118"/>
      <c r="D176" s="118"/>
      <c r="E176" s="118"/>
      <c r="F176" s="118"/>
      <c r="G176" s="118">
        <v>103</v>
      </c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>
        <v>0.11</v>
      </c>
      <c r="Y176" s="119">
        <v>4</v>
      </c>
      <c r="Z176" s="120"/>
      <c r="AA176" s="120"/>
      <c r="AB176" s="120"/>
      <c r="AC176" s="120"/>
      <c r="AD176" s="120"/>
      <c r="AE176" s="120"/>
      <c r="AF176" s="120"/>
      <c r="AG176" s="120"/>
      <c r="AH176" s="120"/>
      <c r="AI176" s="120"/>
      <c r="AJ176" s="120"/>
    </row>
    <row r="177" spans="1:36" ht="14.25" customHeight="1">
      <c r="A177" s="118">
        <f t="shared" si="3"/>
        <v>207</v>
      </c>
      <c r="B177" s="118">
        <v>550</v>
      </c>
      <c r="C177" s="118"/>
      <c r="D177" s="118"/>
      <c r="E177" s="118"/>
      <c r="F177" s="118"/>
      <c r="G177" s="118"/>
      <c r="H177" s="118"/>
      <c r="I177" s="118"/>
      <c r="J177" s="118"/>
      <c r="K177" s="118">
        <v>0.01</v>
      </c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>
        <v>0.11</v>
      </c>
      <c r="Y177" s="119">
        <v>1</v>
      </c>
      <c r="Z177" s="120"/>
      <c r="AA177" s="120"/>
      <c r="AB177" s="120"/>
      <c r="AC177" s="120"/>
      <c r="AD177" s="120"/>
      <c r="AE177" s="120"/>
      <c r="AF177" s="120"/>
      <c r="AG177" s="120"/>
      <c r="AH177" s="120"/>
      <c r="AI177" s="120"/>
      <c r="AJ177" s="120"/>
    </row>
    <row r="178" spans="1:36" ht="14.25" customHeight="1">
      <c r="A178" s="118">
        <f t="shared" si="3"/>
        <v>207</v>
      </c>
      <c r="B178" s="118">
        <f>B157/2</f>
        <v>200</v>
      </c>
      <c r="C178" s="118"/>
      <c r="D178" s="118"/>
      <c r="E178" s="118"/>
      <c r="F178" s="118"/>
      <c r="G178" s="118"/>
      <c r="H178" s="118"/>
      <c r="I178" s="118"/>
      <c r="J178" s="118"/>
      <c r="K178" s="118">
        <v>0.03</v>
      </c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>
        <v>0.11</v>
      </c>
      <c r="Y178" s="119">
        <v>1</v>
      </c>
      <c r="Z178" s="120"/>
      <c r="AA178" s="120"/>
      <c r="AB178" s="120"/>
      <c r="AC178" s="120"/>
      <c r="AD178" s="120"/>
      <c r="AE178" s="120"/>
      <c r="AF178" s="120"/>
      <c r="AG178" s="120"/>
      <c r="AH178" s="120"/>
      <c r="AI178" s="120"/>
      <c r="AJ178" s="120"/>
    </row>
    <row r="179" spans="1:36" ht="14.25" customHeight="1">
      <c r="A179" s="118">
        <f t="shared" ref="A179:A210" si="4">A66+4</f>
        <v>207</v>
      </c>
      <c r="B179" s="118">
        <v>35</v>
      </c>
      <c r="C179" s="118"/>
      <c r="D179" s="118"/>
      <c r="E179" s="118"/>
      <c r="F179" s="118"/>
      <c r="G179" s="118"/>
      <c r="H179" s="118"/>
      <c r="I179" s="118"/>
      <c r="J179" s="118"/>
      <c r="K179" s="118">
        <v>0.05</v>
      </c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>
        <v>0.11</v>
      </c>
      <c r="Y179" s="119">
        <v>2</v>
      </c>
      <c r="Z179" s="120"/>
      <c r="AA179" s="120"/>
      <c r="AB179" s="120"/>
      <c r="AC179" s="120"/>
      <c r="AD179" s="120"/>
      <c r="AE179" s="120"/>
      <c r="AF179" s="120"/>
      <c r="AG179" s="120"/>
      <c r="AH179" s="120"/>
      <c r="AI179" s="120"/>
      <c r="AJ179" s="120"/>
    </row>
    <row r="180" spans="1:36" ht="14.25" customHeight="1">
      <c r="A180" s="118">
        <f t="shared" si="4"/>
        <v>207</v>
      </c>
      <c r="B180" s="118">
        <v>10</v>
      </c>
      <c r="C180" s="118"/>
      <c r="D180" s="118"/>
      <c r="E180" s="118"/>
      <c r="F180" s="118"/>
      <c r="G180" s="118"/>
      <c r="H180" s="118"/>
      <c r="I180" s="118"/>
      <c r="J180" s="118"/>
      <c r="K180" s="118">
        <v>0.09</v>
      </c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>
        <v>0.11</v>
      </c>
      <c r="Y180" s="119">
        <v>3</v>
      </c>
      <c r="Z180" s="120"/>
      <c r="AA180" s="120"/>
      <c r="AB180" s="120"/>
      <c r="AC180" s="120"/>
      <c r="AD180" s="120"/>
      <c r="AE180" s="120"/>
      <c r="AF180" s="120"/>
      <c r="AG180" s="120"/>
      <c r="AH180" s="120"/>
      <c r="AI180" s="120"/>
      <c r="AJ180" s="120"/>
    </row>
    <row r="181" spans="1:36" ht="14.25" customHeight="1">
      <c r="A181" s="118">
        <f t="shared" si="4"/>
        <v>207</v>
      </c>
      <c r="B181" s="118">
        <v>5</v>
      </c>
      <c r="C181" s="118"/>
      <c r="D181" s="118"/>
      <c r="E181" s="118"/>
      <c r="F181" s="118"/>
      <c r="G181" s="118"/>
      <c r="H181" s="118"/>
      <c r="I181" s="118"/>
      <c r="J181" s="118"/>
      <c r="K181" s="118">
        <v>0.15</v>
      </c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>
        <v>0.11</v>
      </c>
      <c r="Y181" s="119">
        <v>4</v>
      </c>
      <c r="Z181" s="120"/>
      <c r="AA181" s="120"/>
      <c r="AB181" s="120"/>
      <c r="AC181" s="120"/>
      <c r="AD181" s="120"/>
      <c r="AE181" s="120"/>
      <c r="AF181" s="120"/>
      <c r="AG181" s="120"/>
      <c r="AH181" s="120"/>
      <c r="AI181" s="120"/>
      <c r="AJ181" s="120"/>
    </row>
    <row r="182" spans="1:36" ht="14.25" customHeight="1">
      <c r="A182" s="118">
        <f t="shared" si="4"/>
        <v>207</v>
      </c>
      <c r="B182" s="118">
        <v>550</v>
      </c>
      <c r="C182" s="118"/>
      <c r="D182" s="118"/>
      <c r="E182" s="118"/>
      <c r="F182" s="118"/>
      <c r="G182" s="118"/>
      <c r="H182" s="118"/>
      <c r="I182" s="118"/>
      <c r="J182" s="118"/>
      <c r="K182" s="118"/>
      <c r="L182" s="118"/>
      <c r="M182" s="118"/>
      <c r="N182" s="118">
        <v>0.01</v>
      </c>
      <c r="O182" s="118"/>
      <c r="P182" s="118"/>
      <c r="Q182" s="118"/>
      <c r="R182" s="118"/>
      <c r="S182" s="118"/>
      <c r="T182" s="118"/>
      <c r="U182" s="118"/>
      <c r="V182" s="118"/>
      <c r="W182" s="118"/>
      <c r="X182" s="118">
        <v>0.11</v>
      </c>
      <c r="Y182" s="119">
        <v>1</v>
      </c>
      <c r="Z182" s="120"/>
      <c r="AA182" s="120"/>
      <c r="AB182" s="120"/>
      <c r="AC182" s="120"/>
      <c r="AD182" s="120"/>
      <c r="AE182" s="120"/>
      <c r="AF182" s="120"/>
      <c r="AG182" s="120"/>
      <c r="AH182" s="120"/>
      <c r="AI182" s="120"/>
      <c r="AJ182" s="120"/>
    </row>
    <row r="183" spans="1:36" ht="14.25" customHeight="1">
      <c r="A183" s="118">
        <f t="shared" si="4"/>
        <v>207</v>
      </c>
      <c r="B183" s="118">
        <f>B162/2</f>
        <v>275</v>
      </c>
      <c r="C183" s="118"/>
      <c r="D183" s="118"/>
      <c r="E183" s="118"/>
      <c r="F183" s="118"/>
      <c r="G183" s="118"/>
      <c r="H183" s="118"/>
      <c r="I183" s="118"/>
      <c r="J183" s="118"/>
      <c r="K183" s="118"/>
      <c r="L183" s="118"/>
      <c r="M183" s="118"/>
      <c r="N183" s="118">
        <v>0.03</v>
      </c>
      <c r="O183" s="118"/>
      <c r="P183" s="118"/>
      <c r="Q183" s="118"/>
      <c r="R183" s="118"/>
      <c r="S183" s="118"/>
      <c r="T183" s="118"/>
      <c r="U183" s="118"/>
      <c r="V183" s="118"/>
      <c r="W183" s="118"/>
      <c r="X183" s="118">
        <v>0.11</v>
      </c>
      <c r="Y183" s="119">
        <v>1</v>
      </c>
      <c r="Z183" s="120"/>
      <c r="AA183" s="120"/>
      <c r="AB183" s="120"/>
      <c r="AC183" s="120"/>
      <c r="AD183" s="120"/>
      <c r="AE183" s="120"/>
      <c r="AF183" s="120"/>
      <c r="AG183" s="120"/>
      <c r="AH183" s="120"/>
      <c r="AI183" s="120"/>
      <c r="AJ183" s="120"/>
    </row>
    <row r="184" spans="1:36" ht="14.25" customHeight="1">
      <c r="A184" s="118">
        <f t="shared" si="4"/>
        <v>207</v>
      </c>
      <c r="B184" s="118">
        <v>35</v>
      </c>
      <c r="C184" s="118"/>
      <c r="D184" s="118"/>
      <c r="E184" s="118"/>
      <c r="F184" s="118"/>
      <c r="G184" s="118"/>
      <c r="H184" s="118"/>
      <c r="I184" s="118"/>
      <c r="J184" s="118"/>
      <c r="K184" s="118"/>
      <c r="L184" s="118"/>
      <c r="M184" s="118"/>
      <c r="N184" s="118">
        <v>0.05</v>
      </c>
      <c r="O184" s="118"/>
      <c r="P184" s="118"/>
      <c r="Q184" s="118"/>
      <c r="R184" s="118"/>
      <c r="S184" s="118"/>
      <c r="T184" s="118"/>
      <c r="U184" s="118"/>
      <c r="V184" s="118"/>
      <c r="W184" s="118"/>
      <c r="X184" s="118">
        <v>0.11</v>
      </c>
      <c r="Y184" s="119">
        <v>2</v>
      </c>
      <c r="Z184" s="120"/>
      <c r="AA184" s="120"/>
      <c r="AB184" s="120"/>
      <c r="AC184" s="120"/>
      <c r="AD184" s="120"/>
      <c r="AE184" s="120"/>
      <c r="AF184" s="120"/>
      <c r="AG184" s="120"/>
      <c r="AH184" s="120"/>
      <c r="AI184" s="120"/>
      <c r="AJ184" s="120"/>
    </row>
    <row r="185" spans="1:36" ht="14.25" customHeight="1">
      <c r="A185" s="118">
        <f t="shared" si="4"/>
        <v>207</v>
      </c>
      <c r="B185" s="118">
        <v>10</v>
      </c>
      <c r="C185" s="118"/>
      <c r="D185" s="118"/>
      <c r="E185" s="118"/>
      <c r="F185" s="118"/>
      <c r="G185" s="118"/>
      <c r="H185" s="118"/>
      <c r="I185" s="118"/>
      <c r="J185" s="118"/>
      <c r="K185" s="118"/>
      <c r="L185" s="118"/>
      <c r="M185" s="118"/>
      <c r="N185" s="118">
        <v>0.09</v>
      </c>
      <c r="O185" s="118"/>
      <c r="P185" s="118"/>
      <c r="Q185" s="118"/>
      <c r="R185" s="118"/>
      <c r="S185" s="118"/>
      <c r="T185" s="118"/>
      <c r="U185" s="118"/>
      <c r="V185" s="118"/>
      <c r="W185" s="118"/>
      <c r="X185" s="118">
        <v>0.11</v>
      </c>
      <c r="Y185" s="119">
        <v>3</v>
      </c>
      <c r="Z185" s="120"/>
      <c r="AA185" s="120"/>
      <c r="AB185" s="120"/>
      <c r="AC185" s="120"/>
      <c r="AD185" s="120"/>
      <c r="AE185" s="120"/>
      <c r="AF185" s="120"/>
      <c r="AG185" s="120"/>
      <c r="AH185" s="120"/>
      <c r="AI185" s="120"/>
      <c r="AJ185" s="120"/>
    </row>
    <row r="186" spans="1:36" ht="14.25" customHeight="1">
      <c r="A186" s="118">
        <f t="shared" si="4"/>
        <v>207</v>
      </c>
      <c r="B186" s="118">
        <v>5</v>
      </c>
      <c r="C186" s="118"/>
      <c r="D186" s="118"/>
      <c r="E186" s="118"/>
      <c r="F186" s="118"/>
      <c r="G186" s="118"/>
      <c r="H186" s="118"/>
      <c r="I186" s="118"/>
      <c r="J186" s="118"/>
      <c r="K186" s="118"/>
      <c r="L186" s="118"/>
      <c r="M186" s="118"/>
      <c r="N186" s="118">
        <v>0.15</v>
      </c>
      <c r="O186" s="118"/>
      <c r="P186" s="118"/>
      <c r="Q186" s="118"/>
      <c r="R186" s="118"/>
      <c r="S186" s="118"/>
      <c r="T186" s="118"/>
      <c r="U186" s="118"/>
      <c r="V186" s="118"/>
      <c r="W186" s="118"/>
      <c r="X186" s="118">
        <v>0.11</v>
      </c>
      <c r="Y186" s="119">
        <v>4</v>
      </c>
      <c r="Z186" s="120"/>
      <c r="AA186" s="120"/>
      <c r="AB186" s="120"/>
      <c r="AC186" s="120"/>
      <c r="AD186" s="120"/>
      <c r="AE186" s="120"/>
      <c r="AF186" s="120"/>
      <c r="AG186" s="120"/>
      <c r="AH186" s="120"/>
      <c r="AI186" s="120"/>
      <c r="AJ186" s="120"/>
    </row>
    <row r="187" spans="1:36" ht="14.25" customHeight="1">
      <c r="A187" s="118">
        <f t="shared" si="4"/>
        <v>207</v>
      </c>
      <c r="B187" s="118">
        <v>550</v>
      </c>
      <c r="C187" s="118"/>
      <c r="D187" s="118"/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>
        <v>0.01</v>
      </c>
      <c r="R187" s="118"/>
      <c r="S187" s="118"/>
      <c r="T187" s="118"/>
      <c r="U187" s="118"/>
      <c r="V187" s="118"/>
      <c r="W187" s="118"/>
      <c r="X187" s="118">
        <v>0.11</v>
      </c>
      <c r="Y187" s="119">
        <v>1</v>
      </c>
      <c r="Z187" s="120"/>
      <c r="AA187" s="120"/>
      <c r="AB187" s="120"/>
      <c r="AC187" s="120"/>
      <c r="AD187" s="120"/>
      <c r="AE187" s="120"/>
      <c r="AF187" s="120"/>
      <c r="AG187" s="120"/>
      <c r="AH187" s="120"/>
      <c r="AI187" s="120"/>
      <c r="AJ187" s="120"/>
    </row>
    <row r="188" spans="1:36" ht="14.25" customHeight="1">
      <c r="A188" s="118">
        <f t="shared" si="4"/>
        <v>207</v>
      </c>
      <c r="B188" s="118">
        <f>B167/2</f>
        <v>275</v>
      </c>
      <c r="C188" s="118"/>
      <c r="D188" s="118"/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>
        <v>0.03</v>
      </c>
      <c r="R188" s="118"/>
      <c r="S188" s="118"/>
      <c r="T188" s="118"/>
      <c r="U188" s="118"/>
      <c r="V188" s="118"/>
      <c r="W188" s="118"/>
      <c r="X188" s="118">
        <v>0.11</v>
      </c>
      <c r="Y188" s="119">
        <v>1</v>
      </c>
      <c r="Z188" s="120"/>
      <c r="AA188" s="120"/>
      <c r="AB188" s="120"/>
      <c r="AC188" s="120"/>
      <c r="AD188" s="120"/>
      <c r="AE188" s="120"/>
      <c r="AF188" s="120"/>
      <c r="AG188" s="120"/>
      <c r="AH188" s="120"/>
      <c r="AI188" s="120"/>
      <c r="AJ188" s="120"/>
    </row>
    <row r="189" spans="1:36" ht="14.25" customHeight="1">
      <c r="A189" s="118">
        <f t="shared" si="4"/>
        <v>207</v>
      </c>
      <c r="B189" s="118">
        <v>35</v>
      </c>
      <c r="C189" s="118"/>
      <c r="D189" s="118"/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>
        <v>0.05</v>
      </c>
      <c r="R189" s="118"/>
      <c r="S189" s="118"/>
      <c r="T189" s="118"/>
      <c r="U189" s="118"/>
      <c r="V189" s="118"/>
      <c r="W189" s="118"/>
      <c r="X189" s="118">
        <v>0.11</v>
      </c>
      <c r="Y189" s="119">
        <v>2</v>
      </c>
      <c r="Z189" s="120"/>
      <c r="AA189" s="120"/>
      <c r="AB189" s="120"/>
      <c r="AC189" s="120"/>
      <c r="AD189" s="120"/>
      <c r="AE189" s="120"/>
      <c r="AF189" s="120"/>
      <c r="AG189" s="120"/>
      <c r="AH189" s="120"/>
      <c r="AI189" s="120"/>
      <c r="AJ189" s="120"/>
    </row>
    <row r="190" spans="1:36" ht="14.25" customHeight="1">
      <c r="A190" s="118">
        <f t="shared" si="4"/>
        <v>207</v>
      </c>
      <c r="B190" s="118">
        <v>10</v>
      </c>
      <c r="C190" s="118"/>
      <c r="D190" s="118"/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>
        <v>0.09</v>
      </c>
      <c r="R190" s="118"/>
      <c r="S190" s="118"/>
      <c r="T190" s="118"/>
      <c r="U190" s="118"/>
      <c r="V190" s="118"/>
      <c r="W190" s="118"/>
      <c r="X190" s="118">
        <v>0.11</v>
      </c>
      <c r="Y190" s="119">
        <v>3</v>
      </c>
      <c r="Z190" s="120"/>
      <c r="AA190" s="120"/>
      <c r="AB190" s="120"/>
      <c r="AC190" s="120"/>
      <c r="AD190" s="120"/>
      <c r="AE190" s="120"/>
      <c r="AF190" s="120"/>
      <c r="AG190" s="120"/>
      <c r="AH190" s="120"/>
      <c r="AI190" s="120"/>
      <c r="AJ190" s="120"/>
    </row>
    <row r="191" spans="1:36" ht="14.25" customHeight="1">
      <c r="A191" s="118">
        <f t="shared" si="4"/>
        <v>207</v>
      </c>
      <c r="B191" s="118">
        <v>5</v>
      </c>
      <c r="C191" s="118"/>
      <c r="D191" s="118"/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>
        <v>0.15</v>
      </c>
      <c r="R191" s="118"/>
      <c r="S191" s="118"/>
      <c r="T191" s="118"/>
      <c r="U191" s="118"/>
      <c r="V191" s="118"/>
      <c r="W191" s="118"/>
      <c r="X191" s="118">
        <v>0.11</v>
      </c>
      <c r="Y191" s="119">
        <v>4</v>
      </c>
      <c r="Z191" s="120"/>
      <c r="AA191" s="120"/>
      <c r="AB191" s="120"/>
      <c r="AC191" s="120"/>
      <c r="AD191" s="120"/>
      <c r="AE191" s="120"/>
      <c r="AF191" s="120"/>
      <c r="AG191" s="120"/>
      <c r="AH191" s="120"/>
      <c r="AI191" s="120"/>
      <c r="AJ191" s="120"/>
    </row>
    <row r="192" spans="1:36" ht="14.25" customHeight="1">
      <c r="A192" s="117">
        <f t="shared" si="4"/>
        <v>208</v>
      </c>
      <c r="B192" s="117">
        <v>4050</v>
      </c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>
        <v>0.08</v>
      </c>
      <c r="Y192" s="117">
        <v>1</v>
      </c>
      <c r="Z192" s="121"/>
      <c r="AA192" s="121"/>
      <c r="AB192" s="121"/>
      <c r="AC192" s="121"/>
      <c r="AD192" s="121"/>
      <c r="AE192" s="121"/>
      <c r="AF192" s="121"/>
      <c r="AG192" s="121"/>
      <c r="AH192" s="121"/>
      <c r="AI192" s="121"/>
      <c r="AJ192" s="121"/>
    </row>
    <row r="193" spans="1:36" ht="14.25" customHeight="1">
      <c r="A193" s="117">
        <f t="shared" si="4"/>
        <v>208</v>
      </c>
      <c r="B193" s="117">
        <v>650</v>
      </c>
      <c r="C193" s="117">
        <v>90</v>
      </c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>
        <v>0.08</v>
      </c>
      <c r="Y193" s="117">
        <v>1</v>
      </c>
      <c r="Z193" s="121"/>
      <c r="AA193" s="121"/>
      <c r="AB193" s="121"/>
      <c r="AC193" s="121"/>
      <c r="AD193" s="121"/>
      <c r="AE193" s="121"/>
      <c r="AF193" s="121"/>
      <c r="AG193" s="121"/>
      <c r="AH193" s="121"/>
      <c r="AI193" s="121"/>
      <c r="AJ193" s="121"/>
    </row>
    <row r="194" spans="1:36" ht="14.25" customHeight="1">
      <c r="A194" s="117">
        <f t="shared" si="4"/>
        <v>208</v>
      </c>
      <c r="B194" s="117">
        <v>150</v>
      </c>
      <c r="C194" s="117">
        <v>165</v>
      </c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>
        <v>0.08</v>
      </c>
      <c r="Y194" s="117">
        <v>1</v>
      </c>
      <c r="Z194" s="121"/>
      <c r="AA194" s="121"/>
      <c r="AB194" s="121"/>
      <c r="AC194" s="121"/>
      <c r="AD194" s="121"/>
      <c r="AE194" s="121"/>
      <c r="AF194" s="121"/>
      <c r="AG194" s="121"/>
      <c r="AH194" s="121"/>
      <c r="AI194" s="121"/>
      <c r="AJ194" s="121"/>
    </row>
    <row r="195" spans="1:36" ht="14.25" customHeight="1">
      <c r="A195" s="117">
        <f t="shared" si="4"/>
        <v>208</v>
      </c>
      <c r="B195" s="117">
        <v>35</v>
      </c>
      <c r="C195" s="117">
        <v>300</v>
      </c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>
        <v>0.08</v>
      </c>
      <c r="Y195" s="117">
        <v>2</v>
      </c>
      <c r="Z195" s="121"/>
      <c r="AA195" s="121"/>
      <c r="AB195" s="121"/>
      <c r="AC195" s="121"/>
      <c r="AD195" s="121"/>
      <c r="AE195" s="121"/>
      <c r="AF195" s="121"/>
      <c r="AG195" s="121"/>
      <c r="AH195" s="121"/>
      <c r="AI195" s="121"/>
      <c r="AJ195" s="121"/>
    </row>
    <row r="196" spans="1:36" ht="14.25" customHeight="1">
      <c r="A196" s="117">
        <f t="shared" si="4"/>
        <v>208</v>
      </c>
      <c r="B196" s="117">
        <v>10</v>
      </c>
      <c r="C196" s="117">
        <v>570</v>
      </c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>
        <v>0.08</v>
      </c>
      <c r="Y196" s="117">
        <v>3</v>
      </c>
      <c r="Z196" s="121"/>
      <c r="AA196" s="121"/>
      <c r="AB196" s="121"/>
      <c r="AC196" s="121"/>
      <c r="AD196" s="121"/>
      <c r="AE196" s="121"/>
      <c r="AF196" s="121"/>
      <c r="AG196" s="121"/>
      <c r="AH196" s="121"/>
      <c r="AI196" s="121"/>
      <c r="AJ196" s="121"/>
    </row>
    <row r="197" spans="1:36" ht="14.25" customHeight="1">
      <c r="A197" s="117">
        <f t="shared" si="4"/>
        <v>208</v>
      </c>
      <c r="B197" s="117">
        <v>5</v>
      </c>
      <c r="C197" s="117">
        <v>1050</v>
      </c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>
        <v>0.08</v>
      </c>
      <c r="Y197" s="117">
        <v>4</v>
      </c>
      <c r="Z197" s="121"/>
      <c r="AA197" s="121"/>
      <c r="AB197" s="121"/>
      <c r="AC197" s="121"/>
      <c r="AD197" s="121"/>
      <c r="AE197" s="121"/>
      <c r="AF197" s="121"/>
      <c r="AG197" s="121"/>
      <c r="AH197" s="121"/>
      <c r="AI197" s="121"/>
      <c r="AJ197" s="121"/>
    </row>
    <row r="198" spans="1:36" ht="14.25" customHeight="1">
      <c r="A198" s="117">
        <f t="shared" si="4"/>
        <v>208</v>
      </c>
      <c r="B198" s="117">
        <v>650</v>
      </c>
      <c r="C198" s="117"/>
      <c r="D198" s="117"/>
      <c r="E198" s="117"/>
      <c r="F198" s="117">
        <v>9</v>
      </c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>
        <v>0.08</v>
      </c>
      <c r="Y198" s="117">
        <v>1</v>
      </c>
      <c r="Z198" s="121"/>
      <c r="AA198" s="121"/>
      <c r="AB198" s="121"/>
      <c r="AC198" s="121"/>
      <c r="AD198" s="121"/>
      <c r="AE198" s="121"/>
      <c r="AF198" s="121"/>
      <c r="AG198" s="121"/>
      <c r="AH198" s="121"/>
      <c r="AI198" s="121"/>
      <c r="AJ198" s="121"/>
    </row>
    <row r="199" spans="1:36" ht="14.25" customHeight="1">
      <c r="A199" s="117">
        <f t="shared" si="4"/>
        <v>208</v>
      </c>
      <c r="B199" s="117">
        <v>150</v>
      </c>
      <c r="C199" s="117"/>
      <c r="D199" s="117"/>
      <c r="E199" s="117"/>
      <c r="F199" s="117">
        <v>14</v>
      </c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>
        <v>0.08</v>
      </c>
      <c r="Y199" s="117">
        <v>1</v>
      </c>
      <c r="Z199" s="121"/>
      <c r="AA199" s="121"/>
      <c r="AB199" s="121"/>
      <c r="AC199" s="121"/>
      <c r="AD199" s="121"/>
      <c r="AE199" s="121"/>
      <c r="AF199" s="121"/>
      <c r="AG199" s="121"/>
      <c r="AH199" s="121"/>
      <c r="AI199" s="121"/>
      <c r="AJ199" s="121"/>
    </row>
    <row r="200" spans="1:36" ht="14.25" customHeight="1">
      <c r="A200" s="117">
        <f t="shared" si="4"/>
        <v>208</v>
      </c>
      <c r="B200" s="117">
        <v>35</v>
      </c>
      <c r="C200" s="117"/>
      <c r="D200" s="117"/>
      <c r="E200" s="117"/>
      <c r="F200" s="117">
        <v>23</v>
      </c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>
        <v>0.08</v>
      </c>
      <c r="Y200" s="117">
        <v>2</v>
      </c>
      <c r="Z200" s="121"/>
      <c r="AA200" s="121"/>
      <c r="AB200" s="121"/>
      <c r="AC200" s="121"/>
      <c r="AD200" s="121"/>
      <c r="AE200" s="121"/>
      <c r="AF200" s="121"/>
      <c r="AG200" s="121"/>
      <c r="AH200" s="121"/>
      <c r="AI200" s="121"/>
      <c r="AJ200" s="121"/>
    </row>
    <row r="201" spans="1:36" ht="14.25" customHeight="1">
      <c r="A201" s="117">
        <f t="shared" si="4"/>
        <v>208</v>
      </c>
      <c r="B201" s="117">
        <v>10</v>
      </c>
      <c r="C201" s="117"/>
      <c r="D201" s="117"/>
      <c r="E201" s="117"/>
      <c r="F201" s="117">
        <v>35</v>
      </c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>
        <v>0.08</v>
      </c>
      <c r="Y201" s="117">
        <v>3</v>
      </c>
      <c r="Z201" s="121"/>
      <c r="AA201" s="121"/>
      <c r="AB201" s="121"/>
      <c r="AC201" s="121"/>
      <c r="AD201" s="121"/>
      <c r="AE201" s="121"/>
      <c r="AF201" s="121"/>
      <c r="AG201" s="121"/>
      <c r="AH201" s="121"/>
      <c r="AI201" s="121"/>
      <c r="AJ201" s="121"/>
    </row>
    <row r="202" spans="1:36" ht="14.25" customHeight="1">
      <c r="A202" s="117">
        <f t="shared" si="4"/>
        <v>208</v>
      </c>
      <c r="B202" s="117">
        <v>5</v>
      </c>
      <c r="C202" s="117"/>
      <c r="D202" s="117"/>
      <c r="E202" s="117"/>
      <c r="F202" s="117">
        <v>81</v>
      </c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>
        <v>0.08</v>
      </c>
      <c r="Y202" s="117">
        <v>4</v>
      </c>
      <c r="Z202" s="121"/>
      <c r="AA202" s="121"/>
      <c r="AB202" s="121"/>
      <c r="AC202" s="121"/>
      <c r="AD202" s="121"/>
      <c r="AE202" s="121"/>
      <c r="AF202" s="121"/>
      <c r="AG202" s="121"/>
      <c r="AH202" s="121"/>
      <c r="AI202" s="121"/>
      <c r="AJ202" s="121"/>
    </row>
    <row r="203" spans="1:36" ht="14.25" customHeight="1">
      <c r="A203" s="117">
        <f t="shared" si="4"/>
        <v>208</v>
      </c>
      <c r="B203" s="117">
        <v>650</v>
      </c>
      <c r="C203" s="117"/>
      <c r="D203" s="117"/>
      <c r="E203" s="117"/>
      <c r="F203" s="117"/>
      <c r="G203" s="117">
        <v>13</v>
      </c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>
        <v>0.08</v>
      </c>
      <c r="Y203" s="117">
        <v>1</v>
      </c>
      <c r="Z203" s="121"/>
      <c r="AA203" s="121"/>
      <c r="AB203" s="121"/>
      <c r="AC203" s="121"/>
      <c r="AD203" s="121"/>
      <c r="AE203" s="121"/>
      <c r="AF203" s="121"/>
      <c r="AG203" s="121"/>
      <c r="AH203" s="121"/>
      <c r="AI203" s="121"/>
      <c r="AJ203" s="121"/>
    </row>
    <row r="204" spans="1:36" ht="14.25" customHeight="1">
      <c r="A204" s="117">
        <f t="shared" si="4"/>
        <v>208</v>
      </c>
      <c r="B204" s="117">
        <v>150</v>
      </c>
      <c r="C204" s="117"/>
      <c r="D204" s="117"/>
      <c r="E204" s="117"/>
      <c r="F204" s="117"/>
      <c r="G204" s="117">
        <v>19</v>
      </c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>
        <v>0.08</v>
      </c>
      <c r="Y204" s="117">
        <v>1</v>
      </c>
      <c r="Z204" s="121"/>
      <c r="AA204" s="121"/>
      <c r="AB204" s="121"/>
      <c r="AC204" s="121"/>
      <c r="AD204" s="121"/>
      <c r="AE204" s="121"/>
      <c r="AF204" s="121"/>
      <c r="AG204" s="121"/>
      <c r="AH204" s="121"/>
      <c r="AI204" s="121"/>
      <c r="AJ204" s="121"/>
    </row>
    <row r="205" spans="1:36" ht="14.25" customHeight="1">
      <c r="A205" s="117">
        <f t="shared" si="4"/>
        <v>208</v>
      </c>
      <c r="B205" s="117">
        <v>35</v>
      </c>
      <c r="C205" s="117"/>
      <c r="D205" s="117"/>
      <c r="E205" s="117"/>
      <c r="F205" s="117"/>
      <c r="G205" s="117">
        <v>32</v>
      </c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>
        <v>0.08</v>
      </c>
      <c r="Y205" s="117">
        <v>2</v>
      </c>
      <c r="Z205" s="121"/>
      <c r="AA205" s="121"/>
      <c r="AB205" s="121"/>
      <c r="AC205" s="121"/>
      <c r="AD205" s="121"/>
      <c r="AE205" s="121"/>
      <c r="AF205" s="121"/>
      <c r="AG205" s="121"/>
      <c r="AH205" s="121"/>
      <c r="AI205" s="121"/>
      <c r="AJ205" s="121"/>
    </row>
    <row r="206" spans="1:36" ht="14.25" customHeight="1">
      <c r="A206" s="117">
        <f t="shared" si="4"/>
        <v>208</v>
      </c>
      <c r="B206" s="117">
        <v>10</v>
      </c>
      <c r="C206" s="117"/>
      <c r="D206" s="117"/>
      <c r="E206" s="117"/>
      <c r="F206" s="117"/>
      <c r="G206" s="117">
        <v>61</v>
      </c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>
        <v>0.08</v>
      </c>
      <c r="Y206" s="117">
        <v>3</v>
      </c>
      <c r="Z206" s="121"/>
      <c r="AA206" s="121"/>
      <c r="AB206" s="121"/>
      <c r="AC206" s="121"/>
      <c r="AD206" s="121"/>
      <c r="AE206" s="121"/>
      <c r="AF206" s="121"/>
      <c r="AG206" s="121"/>
      <c r="AH206" s="121"/>
      <c r="AI206" s="121"/>
      <c r="AJ206" s="121"/>
    </row>
    <row r="207" spans="1:36" ht="14.25" customHeight="1">
      <c r="A207" s="117">
        <f t="shared" si="4"/>
        <v>208</v>
      </c>
      <c r="B207" s="117">
        <v>5</v>
      </c>
      <c r="C207" s="117"/>
      <c r="D207" s="117"/>
      <c r="E207" s="117"/>
      <c r="F207" s="117"/>
      <c r="G207" s="117">
        <v>103</v>
      </c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>
        <v>0.08</v>
      </c>
      <c r="Y207" s="117">
        <v>4</v>
      </c>
      <c r="Z207" s="121"/>
      <c r="AA207" s="121"/>
      <c r="AB207" s="121"/>
      <c r="AC207" s="121"/>
      <c r="AD207" s="121"/>
      <c r="AE207" s="121"/>
      <c r="AF207" s="121"/>
      <c r="AG207" s="121"/>
      <c r="AH207" s="121"/>
      <c r="AI207" s="121"/>
      <c r="AJ207" s="121"/>
    </row>
    <row r="208" spans="1:36" ht="14.25" customHeight="1">
      <c r="A208" s="117">
        <f t="shared" si="4"/>
        <v>208</v>
      </c>
      <c r="B208" s="117">
        <v>650</v>
      </c>
      <c r="C208" s="117"/>
      <c r="D208" s="117"/>
      <c r="E208" s="117"/>
      <c r="F208" s="117"/>
      <c r="G208" s="117"/>
      <c r="H208" s="117"/>
      <c r="I208" s="117"/>
      <c r="J208" s="117"/>
      <c r="K208" s="117">
        <v>0.01</v>
      </c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>
        <v>0.08</v>
      </c>
      <c r="Y208" s="117">
        <v>1</v>
      </c>
      <c r="Z208" s="121"/>
      <c r="AA208" s="121"/>
      <c r="AB208" s="121"/>
      <c r="AC208" s="121"/>
      <c r="AD208" s="121"/>
      <c r="AE208" s="121"/>
      <c r="AF208" s="121"/>
      <c r="AG208" s="121"/>
      <c r="AH208" s="121"/>
      <c r="AI208" s="121"/>
      <c r="AJ208" s="121"/>
    </row>
    <row r="209" spans="1:36" ht="14.25" customHeight="1">
      <c r="A209" s="117">
        <f t="shared" si="4"/>
        <v>208</v>
      </c>
      <c r="B209" s="117">
        <v>150</v>
      </c>
      <c r="C209" s="117"/>
      <c r="D209" s="117"/>
      <c r="E209" s="117"/>
      <c r="F209" s="117"/>
      <c r="G209" s="117"/>
      <c r="H209" s="117"/>
      <c r="I209" s="117"/>
      <c r="J209" s="117"/>
      <c r="K209" s="117">
        <v>0.03</v>
      </c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>
        <v>0.08</v>
      </c>
      <c r="Y209" s="117">
        <v>1</v>
      </c>
      <c r="Z209" s="121"/>
      <c r="AA209" s="121"/>
      <c r="AB209" s="121"/>
      <c r="AC209" s="121"/>
      <c r="AD209" s="121"/>
      <c r="AE209" s="121"/>
      <c r="AF209" s="121"/>
      <c r="AG209" s="121"/>
      <c r="AH209" s="121"/>
      <c r="AI209" s="121"/>
      <c r="AJ209" s="121"/>
    </row>
    <row r="210" spans="1:36" ht="14.25" customHeight="1">
      <c r="A210" s="117">
        <f t="shared" si="4"/>
        <v>208</v>
      </c>
      <c r="B210" s="117">
        <v>35</v>
      </c>
      <c r="C210" s="117"/>
      <c r="D210" s="117"/>
      <c r="E210" s="117"/>
      <c r="F210" s="117"/>
      <c r="G210" s="117"/>
      <c r="H210" s="117"/>
      <c r="I210" s="117"/>
      <c r="J210" s="117"/>
      <c r="K210" s="117">
        <v>0.05</v>
      </c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>
        <v>0.08</v>
      </c>
      <c r="Y210" s="117">
        <v>2</v>
      </c>
      <c r="Z210" s="121"/>
      <c r="AA210" s="121"/>
      <c r="AB210" s="121"/>
      <c r="AC210" s="121"/>
      <c r="AD210" s="121"/>
      <c r="AE210" s="121"/>
      <c r="AF210" s="121"/>
      <c r="AG210" s="121"/>
      <c r="AH210" s="121"/>
      <c r="AI210" s="121"/>
      <c r="AJ210" s="121"/>
    </row>
    <row r="211" spans="1:36" ht="14.25" customHeight="1">
      <c r="A211" s="117">
        <f t="shared" ref="A211:A227" si="5">A98+4</f>
        <v>208</v>
      </c>
      <c r="B211" s="117">
        <v>10</v>
      </c>
      <c r="C211" s="117"/>
      <c r="D211" s="117"/>
      <c r="E211" s="117"/>
      <c r="F211" s="117"/>
      <c r="G211" s="117"/>
      <c r="H211" s="117"/>
      <c r="I211" s="117"/>
      <c r="J211" s="117"/>
      <c r="K211" s="117">
        <v>0.09</v>
      </c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>
        <v>0.08</v>
      </c>
      <c r="Y211" s="117">
        <v>3</v>
      </c>
      <c r="Z211" s="121"/>
      <c r="AA211" s="121"/>
      <c r="AB211" s="121"/>
      <c r="AC211" s="121"/>
      <c r="AD211" s="121"/>
      <c r="AE211" s="121"/>
      <c r="AF211" s="121"/>
      <c r="AG211" s="121"/>
      <c r="AH211" s="121"/>
      <c r="AI211" s="121"/>
      <c r="AJ211" s="121"/>
    </row>
    <row r="212" spans="1:36" ht="14.25" customHeight="1">
      <c r="A212" s="117">
        <f t="shared" si="5"/>
        <v>208</v>
      </c>
      <c r="B212" s="117">
        <v>5</v>
      </c>
      <c r="C212" s="117"/>
      <c r="D212" s="117"/>
      <c r="E212" s="117"/>
      <c r="F212" s="117"/>
      <c r="G212" s="117"/>
      <c r="H212" s="117"/>
      <c r="I212" s="117"/>
      <c r="J212" s="117"/>
      <c r="K212" s="117">
        <v>0.15</v>
      </c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>
        <v>0.08</v>
      </c>
      <c r="Y212" s="117">
        <v>4</v>
      </c>
      <c r="Z212" s="121"/>
      <c r="AA212" s="121"/>
      <c r="AB212" s="121"/>
      <c r="AC212" s="121"/>
      <c r="AD212" s="121"/>
      <c r="AE212" s="121"/>
      <c r="AF212" s="121"/>
      <c r="AG212" s="121"/>
      <c r="AH212" s="121"/>
      <c r="AI212" s="121"/>
      <c r="AJ212" s="121"/>
    </row>
    <row r="213" spans="1:36" ht="14.25" customHeight="1">
      <c r="A213" s="117">
        <f t="shared" si="5"/>
        <v>208</v>
      </c>
      <c r="B213" s="117">
        <v>650</v>
      </c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>
        <v>0.01</v>
      </c>
      <c r="O213" s="117"/>
      <c r="P213" s="117"/>
      <c r="Q213" s="117"/>
      <c r="R213" s="117"/>
      <c r="S213" s="117"/>
      <c r="T213" s="117"/>
      <c r="U213" s="117"/>
      <c r="V213" s="117"/>
      <c r="W213" s="117"/>
      <c r="X213" s="117">
        <v>0.08</v>
      </c>
      <c r="Y213" s="117">
        <v>1</v>
      </c>
      <c r="Z213" s="121"/>
      <c r="AA213" s="121"/>
      <c r="AB213" s="121"/>
      <c r="AC213" s="121"/>
      <c r="AD213" s="121"/>
      <c r="AE213" s="121"/>
      <c r="AF213" s="121"/>
      <c r="AG213" s="121"/>
      <c r="AH213" s="121"/>
      <c r="AI213" s="121"/>
      <c r="AJ213" s="121"/>
    </row>
    <row r="214" spans="1:36" ht="14.25" customHeight="1">
      <c r="A214" s="117">
        <f t="shared" si="5"/>
        <v>208</v>
      </c>
      <c r="B214" s="117">
        <v>150</v>
      </c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>
        <v>0.03</v>
      </c>
      <c r="O214" s="117"/>
      <c r="P214" s="117"/>
      <c r="Q214" s="117"/>
      <c r="R214" s="117"/>
      <c r="S214" s="117"/>
      <c r="T214" s="117"/>
      <c r="U214" s="117"/>
      <c r="V214" s="117"/>
      <c r="W214" s="117"/>
      <c r="X214" s="117">
        <v>0.08</v>
      </c>
      <c r="Y214" s="117">
        <v>1</v>
      </c>
      <c r="Z214" s="121"/>
      <c r="AA214" s="121"/>
      <c r="AB214" s="121"/>
      <c r="AC214" s="121"/>
      <c r="AD214" s="121"/>
      <c r="AE214" s="121"/>
      <c r="AF214" s="121"/>
      <c r="AG214" s="121"/>
      <c r="AH214" s="121"/>
      <c r="AI214" s="121"/>
      <c r="AJ214" s="121"/>
    </row>
    <row r="215" spans="1:36" ht="14.25" customHeight="1">
      <c r="A215" s="117">
        <f t="shared" si="5"/>
        <v>208</v>
      </c>
      <c r="B215" s="117">
        <v>35</v>
      </c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>
        <v>0.05</v>
      </c>
      <c r="O215" s="117"/>
      <c r="P215" s="117"/>
      <c r="Q215" s="117"/>
      <c r="R215" s="117"/>
      <c r="S215" s="117"/>
      <c r="T215" s="117"/>
      <c r="U215" s="117"/>
      <c r="V215" s="117"/>
      <c r="W215" s="117"/>
      <c r="X215" s="117">
        <v>0.08</v>
      </c>
      <c r="Y215" s="117">
        <v>2</v>
      </c>
      <c r="Z215" s="121"/>
      <c r="AA215" s="121"/>
      <c r="AB215" s="121"/>
      <c r="AC215" s="121"/>
      <c r="AD215" s="121"/>
      <c r="AE215" s="121"/>
      <c r="AF215" s="121"/>
      <c r="AG215" s="121"/>
      <c r="AH215" s="121"/>
      <c r="AI215" s="121"/>
      <c r="AJ215" s="121"/>
    </row>
    <row r="216" spans="1:36" ht="14.25" customHeight="1">
      <c r="A216" s="117">
        <f t="shared" si="5"/>
        <v>208</v>
      </c>
      <c r="B216" s="117">
        <v>10</v>
      </c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>
        <v>0.09</v>
      </c>
      <c r="O216" s="117"/>
      <c r="P216" s="117"/>
      <c r="Q216" s="117"/>
      <c r="R216" s="117"/>
      <c r="S216" s="117"/>
      <c r="T216" s="117"/>
      <c r="U216" s="117"/>
      <c r="V216" s="117"/>
      <c r="W216" s="117"/>
      <c r="X216" s="117">
        <v>0.08</v>
      </c>
      <c r="Y216" s="117">
        <v>3</v>
      </c>
      <c r="Z216" s="121"/>
      <c r="AA216" s="121"/>
      <c r="AB216" s="121"/>
      <c r="AC216" s="121"/>
      <c r="AD216" s="121"/>
      <c r="AE216" s="121"/>
      <c r="AF216" s="121"/>
      <c r="AG216" s="121"/>
      <c r="AH216" s="121"/>
      <c r="AI216" s="121"/>
      <c r="AJ216" s="121"/>
    </row>
    <row r="217" spans="1:36" ht="14.25" customHeight="1">
      <c r="A217" s="117">
        <f t="shared" si="5"/>
        <v>208</v>
      </c>
      <c r="B217" s="117">
        <v>5</v>
      </c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>
        <v>0.15</v>
      </c>
      <c r="O217" s="117"/>
      <c r="P217" s="117"/>
      <c r="Q217" s="117"/>
      <c r="R217" s="117"/>
      <c r="S217" s="117"/>
      <c r="T217" s="117"/>
      <c r="U217" s="117"/>
      <c r="V217" s="117"/>
      <c r="W217" s="117"/>
      <c r="X217" s="117">
        <v>0.08</v>
      </c>
      <c r="Y217" s="117">
        <v>4</v>
      </c>
      <c r="Z217" s="121"/>
      <c r="AA217" s="121"/>
      <c r="AB217" s="121"/>
      <c r="AC217" s="121"/>
      <c r="AD217" s="121"/>
      <c r="AE217" s="121"/>
      <c r="AF217" s="121"/>
      <c r="AG217" s="121"/>
      <c r="AH217" s="121"/>
      <c r="AI217" s="121"/>
      <c r="AJ217" s="121"/>
    </row>
    <row r="218" spans="1:36" ht="14.25" customHeight="1">
      <c r="A218" s="117">
        <f t="shared" si="5"/>
        <v>208</v>
      </c>
      <c r="B218" s="117">
        <v>650</v>
      </c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>
        <v>0.01</v>
      </c>
      <c r="R218" s="117"/>
      <c r="S218" s="117"/>
      <c r="T218" s="117"/>
      <c r="U218" s="117"/>
      <c r="V218" s="117"/>
      <c r="W218" s="117"/>
      <c r="X218" s="117">
        <v>0.08</v>
      </c>
      <c r="Y218" s="117">
        <v>1</v>
      </c>
      <c r="Z218" s="121"/>
      <c r="AA218" s="121"/>
      <c r="AB218" s="121"/>
      <c r="AC218" s="121"/>
      <c r="AD218" s="121"/>
      <c r="AE218" s="121"/>
      <c r="AF218" s="121"/>
      <c r="AG218" s="121"/>
      <c r="AH218" s="121"/>
      <c r="AI218" s="121"/>
      <c r="AJ218" s="121"/>
    </row>
    <row r="219" spans="1:36" ht="14.25" customHeight="1">
      <c r="A219" s="117">
        <f t="shared" si="5"/>
        <v>208</v>
      </c>
      <c r="B219" s="117">
        <v>150</v>
      </c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>
        <v>0.03</v>
      </c>
      <c r="R219" s="117"/>
      <c r="S219" s="117"/>
      <c r="T219" s="117"/>
      <c r="U219" s="117"/>
      <c r="V219" s="117"/>
      <c r="W219" s="117"/>
      <c r="X219" s="117">
        <v>0.08</v>
      </c>
      <c r="Y219" s="117">
        <v>1</v>
      </c>
      <c r="Z219" s="121"/>
      <c r="AA219" s="121"/>
      <c r="AB219" s="121"/>
      <c r="AC219" s="121"/>
      <c r="AD219" s="121"/>
      <c r="AE219" s="121"/>
      <c r="AF219" s="121"/>
      <c r="AG219" s="121"/>
      <c r="AH219" s="121"/>
      <c r="AI219" s="121"/>
      <c r="AJ219" s="121"/>
    </row>
    <row r="220" spans="1:36" ht="14.25" customHeight="1">
      <c r="A220" s="117">
        <f t="shared" si="5"/>
        <v>208</v>
      </c>
      <c r="B220" s="117">
        <v>35</v>
      </c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>
        <v>0.05</v>
      </c>
      <c r="R220" s="117"/>
      <c r="S220" s="117"/>
      <c r="T220" s="117"/>
      <c r="U220" s="117"/>
      <c r="V220" s="117"/>
      <c r="W220" s="117"/>
      <c r="X220" s="117">
        <v>0.08</v>
      </c>
      <c r="Y220" s="117">
        <v>2</v>
      </c>
      <c r="Z220" s="121"/>
      <c r="AA220" s="121"/>
      <c r="AB220" s="121"/>
      <c r="AC220" s="121"/>
      <c r="AD220" s="121"/>
      <c r="AE220" s="121"/>
      <c r="AF220" s="121"/>
      <c r="AG220" s="121"/>
      <c r="AH220" s="121"/>
      <c r="AI220" s="121"/>
      <c r="AJ220" s="121"/>
    </row>
    <row r="221" spans="1:36" ht="14.25" customHeight="1">
      <c r="A221" s="117">
        <f t="shared" si="5"/>
        <v>208</v>
      </c>
      <c r="B221" s="117">
        <v>10</v>
      </c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>
        <v>0.09</v>
      </c>
      <c r="R221" s="117"/>
      <c r="S221" s="117"/>
      <c r="T221" s="117"/>
      <c r="U221" s="117"/>
      <c r="V221" s="117"/>
      <c r="W221" s="117"/>
      <c r="X221" s="117">
        <v>0.08</v>
      </c>
      <c r="Y221" s="117">
        <v>3</v>
      </c>
      <c r="Z221" s="121"/>
      <c r="AA221" s="121"/>
      <c r="AB221" s="121"/>
      <c r="AC221" s="121"/>
      <c r="AD221" s="121"/>
      <c r="AE221" s="121"/>
      <c r="AF221" s="121"/>
      <c r="AG221" s="121"/>
      <c r="AH221" s="121"/>
      <c r="AI221" s="121"/>
      <c r="AJ221" s="121"/>
    </row>
    <row r="222" spans="1:36" ht="14.25" customHeight="1">
      <c r="A222" s="117">
        <f t="shared" si="5"/>
        <v>208</v>
      </c>
      <c r="B222" s="117">
        <v>5</v>
      </c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>
        <v>0.15</v>
      </c>
      <c r="R222" s="117"/>
      <c r="S222" s="117"/>
      <c r="T222" s="117"/>
      <c r="U222" s="117"/>
      <c r="V222" s="117"/>
      <c r="W222" s="117"/>
      <c r="X222" s="117">
        <v>0.08</v>
      </c>
      <c r="Y222" s="117">
        <v>4</v>
      </c>
      <c r="Z222" s="121"/>
      <c r="AA222" s="121"/>
      <c r="AB222" s="121"/>
      <c r="AC222" s="121"/>
      <c r="AD222" s="121"/>
      <c r="AE222" s="121"/>
      <c r="AF222" s="121"/>
      <c r="AG222" s="121"/>
      <c r="AH222" s="121"/>
      <c r="AI222" s="121"/>
      <c r="AJ222" s="121"/>
    </row>
    <row r="223" spans="1:36" ht="14.25" customHeight="1">
      <c r="A223" s="117">
        <f t="shared" si="5"/>
        <v>208</v>
      </c>
      <c r="B223" s="117">
        <v>650</v>
      </c>
      <c r="C223" s="117"/>
      <c r="D223" s="117"/>
      <c r="E223" s="117"/>
      <c r="F223" s="117"/>
      <c r="G223" s="117"/>
      <c r="H223" s="117"/>
      <c r="I223" s="117"/>
      <c r="J223" s="117"/>
      <c r="K223" s="117"/>
      <c r="L223" s="117">
        <v>0.01</v>
      </c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>
        <v>0.08</v>
      </c>
      <c r="Y223" s="117">
        <v>1</v>
      </c>
      <c r="Z223" s="121"/>
      <c r="AA223" s="121"/>
      <c r="AB223" s="121"/>
      <c r="AC223" s="121"/>
      <c r="AD223" s="121"/>
      <c r="AE223" s="121"/>
      <c r="AF223" s="121"/>
      <c r="AG223" s="121"/>
      <c r="AH223" s="121"/>
      <c r="AI223" s="121"/>
      <c r="AJ223" s="121"/>
    </row>
    <row r="224" spans="1:36" ht="14.25" customHeight="1">
      <c r="A224" s="117">
        <f t="shared" si="5"/>
        <v>208</v>
      </c>
      <c r="B224" s="117">
        <v>150</v>
      </c>
      <c r="C224" s="117"/>
      <c r="D224" s="117"/>
      <c r="E224" s="117"/>
      <c r="F224" s="117"/>
      <c r="G224" s="117"/>
      <c r="H224" s="117"/>
      <c r="I224" s="117"/>
      <c r="J224" s="117"/>
      <c r="K224" s="117"/>
      <c r="L224" s="117">
        <v>0.03</v>
      </c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>
        <v>0.08</v>
      </c>
      <c r="Y224" s="117">
        <v>1</v>
      </c>
      <c r="Z224" s="121"/>
      <c r="AA224" s="121"/>
      <c r="AB224" s="121"/>
      <c r="AC224" s="121"/>
      <c r="AD224" s="121"/>
      <c r="AE224" s="121"/>
      <c r="AF224" s="121"/>
      <c r="AG224" s="121"/>
      <c r="AH224" s="121"/>
      <c r="AI224" s="121"/>
      <c r="AJ224" s="121"/>
    </row>
    <row r="225" spans="1:36" ht="14.25" customHeight="1">
      <c r="A225" s="117">
        <f t="shared" si="5"/>
        <v>208</v>
      </c>
      <c r="B225" s="117">
        <v>35</v>
      </c>
      <c r="C225" s="117"/>
      <c r="D225" s="117"/>
      <c r="E225" s="117"/>
      <c r="F225" s="117"/>
      <c r="G225" s="117"/>
      <c r="H225" s="117"/>
      <c r="I225" s="117"/>
      <c r="J225" s="117"/>
      <c r="K225" s="117"/>
      <c r="L225" s="117">
        <v>0.05</v>
      </c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>
        <v>0.08</v>
      </c>
      <c r="Y225" s="117">
        <v>2</v>
      </c>
      <c r="Z225" s="121"/>
      <c r="AA225" s="121"/>
      <c r="AB225" s="121"/>
      <c r="AC225" s="121"/>
      <c r="AD225" s="121"/>
      <c r="AE225" s="121"/>
      <c r="AF225" s="121"/>
      <c r="AG225" s="121"/>
      <c r="AH225" s="121"/>
      <c r="AI225" s="121"/>
      <c r="AJ225" s="121"/>
    </row>
    <row r="226" spans="1:36" ht="14.25" customHeight="1">
      <c r="A226" s="117">
        <f t="shared" si="5"/>
        <v>208</v>
      </c>
      <c r="B226" s="117">
        <v>10</v>
      </c>
      <c r="C226" s="117"/>
      <c r="D226" s="117"/>
      <c r="E226" s="117"/>
      <c r="F226" s="117"/>
      <c r="G226" s="117"/>
      <c r="H226" s="117"/>
      <c r="I226" s="117"/>
      <c r="J226" s="117"/>
      <c r="K226" s="117"/>
      <c r="L226" s="117">
        <v>0.09</v>
      </c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>
        <v>0.08</v>
      </c>
      <c r="Y226" s="117">
        <v>3</v>
      </c>
      <c r="Z226" s="121"/>
      <c r="AA226" s="121"/>
      <c r="AB226" s="121"/>
      <c r="AC226" s="121"/>
      <c r="AD226" s="121"/>
      <c r="AE226" s="121"/>
      <c r="AF226" s="121"/>
      <c r="AG226" s="121"/>
      <c r="AH226" s="121"/>
      <c r="AI226" s="121"/>
      <c r="AJ226" s="121"/>
    </row>
    <row r="227" spans="1:36" ht="14.25" customHeight="1">
      <c r="A227" s="117">
        <f t="shared" si="5"/>
        <v>208</v>
      </c>
      <c r="B227" s="117">
        <v>5</v>
      </c>
      <c r="C227" s="117"/>
      <c r="D227" s="117"/>
      <c r="E227" s="117"/>
      <c r="F227" s="117"/>
      <c r="G227" s="117"/>
      <c r="H227" s="117"/>
      <c r="I227" s="117"/>
      <c r="J227" s="117"/>
      <c r="K227" s="117"/>
      <c r="L227" s="117">
        <v>0.15</v>
      </c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>
        <v>0.08</v>
      </c>
      <c r="Y227" s="117">
        <v>4</v>
      </c>
      <c r="Z227" s="121"/>
      <c r="AA227" s="121"/>
      <c r="AB227" s="121"/>
      <c r="AC227" s="121"/>
      <c r="AD227" s="121"/>
      <c r="AE227" s="121"/>
      <c r="AF227" s="121"/>
      <c r="AG227" s="121"/>
      <c r="AH227" s="121"/>
      <c r="AI227" s="121"/>
      <c r="AJ227" s="121"/>
    </row>
    <row r="228" spans="1:36" ht="14.25" customHeight="1">
      <c r="A228" s="115">
        <v>209</v>
      </c>
      <c r="B228" s="115">
        <v>950</v>
      </c>
      <c r="C228" s="115">
        <v>65</v>
      </c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>
        <v>0.15</v>
      </c>
      <c r="Y228" s="115">
        <v>1</v>
      </c>
    </row>
    <row r="229" spans="1:36" ht="14.25" customHeight="1">
      <c r="A229" s="115">
        <v>209</v>
      </c>
      <c r="B229" s="115">
        <v>200</v>
      </c>
      <c r="C229" s="115">
        <v>115</v>
      </c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>
        <v>0.15</v>
      </c>
      <c r="Y229" s="115">
        <v>1</v>
      </c>
    </row>
    <row r="230" spans="1:36" ht="14.25" customHeight="1">
      <c r="A230" s="115">
        <v>209</v>
      </c>
      <c r="B230" s="115">
        <v>75</v>
      </c>
      <c r="C230" s="115">
        <v>210</v>
      </c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>
        <v>0.15</v>
      </c>
      <c r="Y230" s="115">
        <v>2</v>
      </c>
    </row>
    <row r="231" spans="1:36" ht="14.25" customHeight="1">
      <c r="A231" s="115">
        <v>209</v>
      </c>
      <c r="B231" s="115">
        <v>20</v>
      </c>
      <c r="C231" s="115">
        <v>400</v>
      </c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>
        <v>0.15</v>
      </c>
      <c r="Y231" s="115">
        <v>3</v>
      </c>
    </row>
    <row r="232" spans="1:36" ht="14.25" customHeight="1">
      <c r="A232" s="115">
        <v>209</v>
      </c>
      <c r="B232" s="115">
        <v>5</v>
      </c>
      <c r="C232" s="115">
        <v>730</v>
      </c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>
        <v>0.15</v>
      </c>
      <c r="Y232" s="115">
        <v>4</v>
      </c>
    </row>
    <row r="233" spans="1:36" ht="14.25" customHeight="1">
      <c r="A233" s="115">
        <v>209</v>
      </c>
      <c r="B233" s="115">
        <v>1900</v>
      </c>
      <c r="C233" s="115"/>
      <c r="D233" s="115"/>
      <c r="E233" s="115"/>
      <c r="F233" s="115">
        <v>6</v>
      </c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>
        <v>0.15</v>
      </c>
      <c r="Y233" s="115">
        <v>1</v>
      </c>
    </row>
    <row r="234" spans="1:36" ht="14.25" customHeight="1">
      <c r="A234" s="115">
        <v>209</v>
      </c>
      <c r="B234" s="115">
        <v>400</v>
      </c>
      <c r="C234" s="115"/>
      <c r="D234" s="115"/>
      <c r="E234" s="115"/>
      <c r="F234" s="115">
        <v>10</v>
      </c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>
        <v>0.15</v>
      </c>
      <c r="Y234" s="115">
        <v>1</v>
      </c>
    </row>
    <row r="235" spans="1:36" ht="14.25" customHeight="1">
      <c r="A235" s="115">
        <v>209</v>
      </c>
      <c r="B235" s="115">
        <v>150</v>
      </c>
      <c r="C235" s="115"/>
      <c r="D235" s="115"/>
      <c r="E235" s="115"/>
      <c r="F235" s="115">
        <v>16</v>
      </c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>
        <v>0.15</v>
      </c>
      <c r="Y235" s="115">
        <v>2</v>
      </c>
    </row>
    <row r="236" spans="1:36" ht="14.25" customHeight="1">
      <c r="A236" s="115">
        <v>209</v>
      </c>
      <c r="B236" s="115">
        <v>40</v>
      </c>
      <c r="C236" s="115"/>
      <c r="D236" s="115"/>
      <c r="E236" s="115"/>
      <c r="F236" s="115">
        <v>24</v>
      </c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>
        <v>0.15</v>
      </c>
      <c r="Y236" s="115">
        <v>3</v>
      </c>
    </row>
    <row r="237" spans="1:36" ht="14.25" customHeight="1">
      <c r="A237" s="115">
        <v>209</v>
      </c>
      <c r="B237" s="115">
        <v>10</v>
      </c>
      <c r="C237" s="115"/>
      <c r="D237" s="115"/>
      <c r="E237" s="115"/>
      <c r="F237" s="115">
        <v>57</v>
      </c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>
        <v>0.15</v>
      </c>
      <c r="Y237" s="115">
        <v>4</v>
      </c>
    </row>
    <row r="238" spans="1:36" ht="14.25" customHeight="1">
      <c r="A238" s="115">
        <v>209</v>
      </c>
      <c r="B238" s="115">
        <v>1900</v>
      </c>
      <c r="C238" s="115"/>
      <c r="D238" s="115"/>
      <c r="E238" s="115"/>
      <c r="F238" s="115"/>
      <c r="G238" s="115">
        <v>9</v>
      </c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>
        <v>0.15</v>
      </c>
      <c r="Y238" s="115">
        <v>1</v>
      </c>
    </row>
    <row r="239" spans="1:36" ht="14.25" customHeight="1">
      <c r="A239" s="115">
        <v>209</v>
      </c>
      <c r="B239" s="115">
        <v>400</v>
      </c>
      <c r="C239" s="115"/>
      <c r="D239" s="115"/>
      <c r="E239" s="115"/>
      <c r="F239" s="115"/>
      <c r="G239" s="115">
        <v>13</v>
      </c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>
        <v>0.15</v>
      </c>
      <c r="Y239" s="115">
        <v>1</v>
      </c>
    </row>
    <row r="240" spans="1:36" ht="14.25" customHeight="1">
      <c r="A240" s="115">
        <v>209</v>
      </c>
      <c r="B240" s="115">
        <v>150</v>
      </c>
      <c r="C240" s="115"/>
      <c r="D240" s="115"/>
      <c r="E240" s="115"/>
      <c r="F240" s="115"/>
      <c r="G240" s="115">
        <v>22</v>
      </c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>
        <v>0.15</v>
      </c>
      <c r="Y240" s="115">
        <v>2</v>
      </c>
    </row>
    <row r="241" spans="1:25" ht="14.25" customHeight="1">
      <c r="A241" s="115">
        <v>209</v>
      </c>
      <c r="B241" s="115">
        <v>40</v>
      </c>
      <c r="C241" s="115"/>
      <c r="D241" s="115"/>
      <c r="E241" s="115"/>
      <c r="F241" s="115"/>
      <c r="G241" s="115">
        <v>42</v>
      </c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>
        <v>0.15</v>
      </c>
      <c r="Y241" s="115">
        <v>3</v>
      </c>
    </row>
    <row r="242" spans="1:25" ht="14.25" customHeight="1">
      <c r="A242" s="115">
        <v>209</v>
      </c>
      <c r="B242" s="115">
        <v>10</v>
      </c>
      <c r="C242" s="115"/>
      <c r="D242" s="115"/>
      <c r="E242" s="115"/>
      <c r="F242" s="115"/>
      <c r="G242" s="115">
        <v>72</v>
      </c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>
        <v>0.15</v>
      </c>
      <c r="Y242" s="115">
        <v>4</v>
      </c>
    </row>
    <row r="243" spans="1:25" ht="14.25" customHeight="1">
      <c r="A243" s="115">
        <v>209</v>
      </c>
      <c r="B243" s="115">
        <v>950</v>
      </c>
      <c r="C243" s="115"/>
      <c r="D243" s="115">
        <v>4</v>
      </c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>
        <v>0.15</v>
      </c>
      <c r="Y243" s="115">
        <v>1</v>
      </c>
    </row>
    <row r="244" spans="1:25" ht="14.25" customHeight="1">
      <c r="A244" s="115">
        <v>209</v>
      </c>
      <c r="B244" s="115">
        <v>200</v>
      </c>
      <c r="C244" s="115"/>
      <c r="D244" s="115">
        <v>8</v>
      </c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>
        <v>0.15</v>
      </c>
      <c r="Y244" s="115">
        <v>1</v>
      </c>
    </row>
    <row r="245" spans="1:25" ht="14.25" customHeight="1">
      <c r="A245" s="115">
        <v>209</v>
      </c>
      <c r="B245" s="115">
        <v>75</v>
      </c>
      <c r="C245" s="115"/>
      <c r="D245" s="115">
        <v>11</v>
      </c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>
        <v>0.15</v>
      </c>
      <c r="Y245" s="115">
        <v>2</v>
      </c>
    </row>
    <row r="246" spans="1:25" ht="14.25" customHeight="1">
      <c r="A246" s="115">
        <v>209</v>
      </c>
      <c r="B246" s="115">
        <v>20</v>
      </c>
      <c r="C246" s="115"/>
      <c r="D246" s="115">
        <v>17</v>
      </c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>
        <v>0.15</v>
      </c>
      <c r="Y246" s="115">
        <v>3</v>
      </c>
    </row>
    <row r="247" spans="1:25" ht="14.25" customHeight="1">
      <c r="A247" s="115">
        <v>209</v>
      </c>
      <c r="B247" s="115">
        <v>5</v>
      </c>
      <c r="C247" s="115"/>
      <c r="D247" s="115">
        <v>40</v>
      </c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>
        <v>0.15</v>
      </c>
      <c r="Y247" s="115">
        <v>4</v>
      </c>
    </row>
    <row r="248" spans="1:25" ht="14.25" customHeight="1">
      <c r="A248" s="115">
        <v>209</v>
      </c>
      <c r="B248" s="115">
        <v>950</v>
      </c>
      <c r="C248" s="115"/>
      <c r="D248" s="115"/>
      <c r="E248" s="115">
        <v>6</v>
      </c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>
        <v>0.15</v>
      </c>
      <c r="Y248" s="115">
        <v>1</v>
      </c>
    </row>
    <row r="249" spans="1:25" ht="14.25" customHeight="1">
      <c r="A249" s="115">
        <v>209</v>
      </c>
      <c r="B249" s="115">
        <v>200</v>
      </c>
      <c r="C249" s="115"/>
      <c r="D249" s="115"/>
      <c r="E249" s="115">
        <v>10</v>
      </c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>
        <v>0.15</v>
      </c>
      <c r="Y249" s="115">
        <v>1</v>
      </c>
    </row>
    <row r="250" spans="1:25" ht="14.25" customHeight="1">
      <c r="A250" s="115">
        <v>209</v>
      </c>
      <c r="B250" s="115">
        <v>75</v>
      </c>
      <c r="C250" s="115"/>
      <c r="D250" s="115"/>
      <c r="E250" s="115">
        <v>17</v>
      </c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>
        <v>0.15</v>
      </c>
      <c r="Y250" s="115">
        <v>2</v>
      </c>
    </row>
    <row r="251" spans="1:25" ht="14.25" customHeight="1">
      <c r="A251" s="115">
        <v>209</v>
      </c>
      <c r="B251" s="115">
        <v>20</v>
      </c>
      <c r="C251" s="115"/>
      <c r="D251" s="115"/>
      <c r="E251" s="115">
        <v>30</v>
      </c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>
        <v>0.15</v>
      </c>
      <c r="Y251" s="115">
        <v>3</v>
      </c>
    </row>
    <row r="252" spans="1:25" ht="14.25" customHeight="1">
      <c r="A252" s="115">
        <v>209</v>
      </c>
      <c r="B252" s="115">
        <v>5</v>
      </c>
      <c r="C252" s="115"/>
      <c r="D252" s="115"/>
      <c r="E252" s="115">
        <v>51</v>
      </c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>
        <v>0.15</v>
      </c>
      <c r="Y252" s="115">
        <v>4</v>
      </c>
    </row>
    <row r="253" spans="1:25" ht="14.25" customHeight="1">
      <c r="A253" s="115">
        <v>209</v>
      </c>
      <c r="B253" s="115">
        <v>950</v>
      </c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>
        <v>0.01</v>
      </c>
      <c r="Q253" s="115"/>
      <c r="R253" s="115"/>
      <c r="S253" s="115"/>
      <c r="T253" s="115"/>
      <c r="U253" s="115"/>
      <c r="V253" s="115"/>
      <c r="W253" s="115"/>
      <c r="X253" s="115">
        <v>0.15</v>
      </c>
      <c r="Y253" s="115">
        <v>1</v>
      </c>
    </row>
    <row r="254" spans="1:25" ht="14.25" customHeight="1">
      <c r="A254" s="115">
        <v>209</v>
      </c>
      <c r="B254" s="115">
        <v>200</v>
      </c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>
        <v>0.02</v>
      </c>
      <c r="Q254" s="115"/>
      <c r="R254" s="115"/>
      <c r="S254" s="115"/>
      <c r="T254" s="115"/>
      <c r="U254" s="115"/>
      <c r="V254" s="115"/>
      <c r="W254" s="115"/>
      <c r="X254" s="115">
        <v>0.15</v>
      </c>
      <c r="Y254" s="115">
        <v>1</v>
      </c>
    </row>
    <row r="255" spans="1:25" ht="14.25" customHeight="1">
      <c r="A255" s="115">
        <v>209</v>
      </c>
      <c r="B255" s="115">
        <v>75</v>
      </c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>
        <v>0.04</v>
      </c>
      <c r="Q255" s="115"/>
      <c r="R255" s="115"/>
      <c r="S255" s="115"/>
      <c r="T255" s="115"/>
      <c r="U255" s="115"/>
      <c r="V255" s="115"/>
      <c r="W255" s="115"/>
      <c r="X255" s="115">
        <v>0.15</v>
      </c>
      <c r="Y255" s="115">
        <v>2</v>
      </c>
    </row>
    <row r="256" spans="1:25" ht="14.25" customHeight="1">
      <c r="A256" s="115">
        <v>209</v>
      </c>
      <c r="B256" s="115">
        <v>20</v>
      </c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>
        <v>7.0000000000000007E-2</v>
      </c>
      <c r="Q256" s="115"/>
      <c r="R256" s="115"/>
      <c r="S256" s="115"/>
      <c r="T256" s="115"/>
      <c r="U256" s="115"/>
      <c r="V256" s="115"/>
      <c r="W256" s="115"/>
      <c r="X256" s="115">
        <v>0.15</v>
      </c>
      <c r="Y256" s="115">
        <v>3</v>
      </c>
    </row>
    <row r="257" spans="1:36" ht="14.25" customHeight="1">
      <c r="A257" s="115">
        <v>209</v>
      </c>
      <c r="B257" s="115">
        <v>5</v>
      </c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>
        <v>0.1</v>
      </c>
      <c r="Q257" s="115"/>
      <c r="R257" s="115"/>
      <c r="S257" s="115"/>
      <c r="T257" s="115"/>
      <c r="U257" s="115"/>
      <c r="V257" s="115"/>
      <c r="W257" s="115"/>
      <c r="X257" s="115">
        <v>0.15</v>
      </c>
      <c r="Y257" s="115">
        <v>4</v>
      </c>
    </row>
    <row r="258" spans="1:36" ht="14.25" customHeight="1">
      <c r="A258" s="117">
        <v>210</v>
      </c>
      <c r="B258" s="6">
        <v>2700</v>
      </c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22"/>
      <c r="T258" s="122"/>
      <c r="U258" s="122"/>
      <c r="V258" s="122"/>
      <c r="W258" s="122"/>
      <c r="X258" s="122"/>
      <c r="Y258" s="122"/>
      <c r="Z258" s="121"/>
      <c r="AA258" s="121"/>
      <c r="AB258" s="121"/>
      <c r="AC258" s="121"/>
      <c r="AD258" s="121"/>
      <c r="AE258" s="121"/>
      <c r="AF258" s="121"/>
      <c r="AG258" s="121"/>
      <c r="AH258" s="121"/>
      <c r="AI258" s="121"/>
      <c r="AJ258" s="121"/>
    </row>
    <row r="259" spans="1:36" ht="14.25" customHeight="1">
      <c r="A259" s="117">
        <v>210</v>
      </c>
      <c r="B259" s="117">
        <v>950</v>
      </c>
      <c r="C259" s="117">
        <v>65</v>
      </c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6">
        <v>0.13</v>
      </c>
      <c r="Y259" s="117">
        <v>1</v>
      </c>
      <c r="Z259" s="121"/>
      <c r="AA259" s="121"/>
      <c r="AB259" s="121"/>
      <c r="AC259" s="121"/>
      <c r="AD259" s="121"/>
      <c r="AE259" s="121"/>
      <c r="AF259" s="121"/>
      <c r="AG259" s="121"/>
      <c r="AH259" s="121"/>
      <c r="AI259" s="121"/>
      <c r="AJ259" s="121"/>
    </row>
    <row r="260" spans="1:36" ht="14.25" customHeight="1">
      <c r="A260" s="117">
        <v>210</v>
      </c>
      <c r="B260" s="117">
        <v>200</v>
      </c>
      <c r="C260" s="117">
        <v>115</v>
      </c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6">
        <v>0.13</v>
      </c>
      <c r="Y260" s="117">
        <v>1</v>
      </c>
      <c r="Z260" s="121"/>
      <c r="AA260" s="121"/>
      <c r="AB260" s="121"/>
      <c r="AC260" s="121"/>
      <c r="AD260" s="121"/>
      <c r="AE260" s="121"/>
      <c r="AF260" s="121"/>
      <c r="AG260" s="121"/>
      <c r="AH260" s="121"/>
      <c r="AI260" s="121"/>
      <c r="AJ260" s="121"/>
    </row>
    <row r="261" spans="1:36" ht="14.25" customHeight="1">
      <c r="A261" s="117">
        <v>210</v>
      </c>
      <c r="B261" s="117">
        <v>75</v>
      </c>
      <c r="C261" s="117">
        <v>210</v>
      </c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6">
        <v>0.13</v>
      </c>
      <c r="Y261" s="117">
        <v>2</v>
      </c>
      <c r="Z261" s="121"/>
      <c r="AA261" s="121"/>
      <c r="AB261" s="121"/>
      <c r="AC261" s="121"/>
      <c r="AD261" s="121"/>
      <c r="AE261" s="121"/>
      <c r="AF261" s="121"/>
      <c r="AG261" s="121"/>
      <c r="AH261" s="121"/>
      <c r="AI261" s="121"/>
      <c r="AJ261" s="121"/>
    </row>
    <row r="262" spans="1:36" ht="14.25" customHeight="1">
      <c r="A262" s="117">
        <v>210</v>
      </c>
      <c r="B262" s="117">
        <v>20</v>
      </c>
      <c r="C262" s="117">
        <v>400</v>
      </c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6">
        <v>0.13</v>
      </c>
      <c r="Y262" s="117">
        <v>3</v>
      </c>
      <c r="Z262" s="121"/>
      <c r="AA262" s="121"/>
      <c r="AB262" s="121"/>
      <c r="AC262" s="121"/>
      <c r="AD262" s="121"/>
      <c r="AE262" s="121"/>
      <c r="AF262" s="121"/>
      <c r="AG262" s="121"/>
      <c r="AH262" s="121"/>
      <c r="AI262" s="121"/>
      <c r="AJ262" s="121"/>
    </row>
    <row r="263" spans="1:36" ht="14.25" customHeight="1">
      <c r="A263" s="117">
        <v>210</v>
      </c>
      <c r="B263" s="117">
        <v>5</v>
      </c>
      <c r="C263" s="117">
        <v>730</v>
      </c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6">
        <v>0.13</v>
      </c>
      <c r="Y263" s="117">
        <v>4</v>
      </c>
      <c r="Z263" s="121"/>
      <c r="AA263" s="121"/>
      <c r="AB263" s="121"/>
      <c r="AC263" s="121"/>
      <c r="AD263" s="121"/>
      <c r="AE263" s="121"/>
      <c r="AF263" s="121"/>
      <c r="AG263" s="121"/>
      <c r="AH263" s="121"/>
      <c r="AI263" s="121"/>
      <c r="AJ263" s="121"/>
    </row>
    <row r="264" spans="1:36" ht="14.25" customHeight="1">
      <c r="A264" s="117">
        <v>210</v>
      </c>
      <c r="B264" s="117">
        <v>950</v>
      </c>
      <c r="C264" s="117"/>
      <c r="D264" s="117"/>
      <c r="E264" s="117"/>
      <c r="F264" s="117">
        <v>6</v>
      </c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6">
        <v>0.13</v>
      </c>
      <c r="Y264" s="117">
        <v>1</v>
      </c>
      <c r="Z264" s="121"/>
      <c r="AA264" s="121"/>
      <c r="AB264" s="121"/>
      <c r="AC264" s="121"/>
      <c r="AD264" s="121"/>
      <c r="AE264" s="121"/>
      <c r="AF264" s="121"/>
      <c r="AG264" s="121"/>
      <c r="AH264" s="121"/>
      <c r="AI264" s="121"/>
      <c r="AJ264" s="121"/>
    </row>
    <row r="265" spans="1:36" ht="14.25" customHeight="1">
      <c r="A265" s="117">
        <v>210</v>
      </c>
      <c r="B265" s="117">
        <v>200</v>
      </c>
      <c r="C265" s="117"/>
      <c r="D265" s="117"/>
      <c r="E265" s="117"/>
      <c r="F265" s="117">
        <v>10</v>
      </c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6">
        <v>0.13</v>
      </c>
      <c r="Y265" s="117">
        <v>1</v>
      </c>
      <c r="Z265" s="121"/>
      <c r="AA265" s="121"/>
      <c r="AB265" s="121"/>
      <c r="AC265" s="121"/>
      <c r="AD265" s="121"/>
      <c r="AE265" s="121"/>
      <c r="AF265" s="121"/>
      <c r="AG265" s="121"/>
      <c r="AH265" s="121"/>
      <c r="AI265" s="121"/>
      <c r="AJ265" s="121"/>
    </row>
    <row r="266" spans="1:36" ht="14.25" customHeight="1">
      <c r="A266" s="117">
        <v>210</v>
      </c>
      <c r="B266" s="117">
        <v>75</v>
      </c>
      <c r="C266" s="117"/>
      <c r="D266" s="117"/>
      <c r="E266" s="117"/>
      <c r="F266" s="117">
        <v>16</v>
      </c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6">
        <v>0.13</v>
      </c>
      <c r="Y266" s="117">
        <v>2</v>
      </c>
      <c r="Z266" s="121"/>
      <c r="AA266" s="121"/>
      <c r="AB266" s="121"/>
      <c r="AC266" s="121"/>
      <c r="AD266" s="121"/>
      <c r="AE266" s="121"/>
      <c r="AF266" s="121"/>
      <c r="AG266" s="121"/>
      <c r="AH266" s="121"/>
      <c r="AI266" s="121"/>
      <c r="AJ266" s="121"/>
    </row>
    <row r="267" spans="1:36" ht="14.25" customHeight="1">
      <c r="A267" s="117">
        <v>210</v>
      </c>
      <c r="B267" s="117">
        <v>20</v>
      </c>
      <c r="C267" s="117"/>
      <c r="D267" s="117"/>
      <c r="E267" s="117"/>
      <c r="F267" s="117">
        <v>24</v>
      </c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6">
        <v>0.13</v>
      </c>
      <c r="Y267" s="117">
        <v>3</v>
      </c>
      <c r="Z267" s="121"/>
      <c r="AA267" s="121"/>
      <c r="AB267" s="121"/>
      <c r="AC267" s="121"/>
      <c r="AD267" s="121"/>
      <c r="AE267" s="121"/>
      <c r="AF267" s="121"/>
      <c r="AG267" s="121"/>
      <c r="AH267" s="121"/>
      <c r="AI267" s="121"/>
      <c r="AJ267" s="121"/>
    </row>
    <row r="268" spans="1:36" ht="14.25" customHeight="1">
      <c r="A268" s="117">
        <v>210</v>
      </c>
      <c r="B268" s="117">
        <v>5</v>
      </c>
      <c r="C268" s="117"/>
      <c r="D268" s="117"/>
      <c r="E268" s="117"/>
      <c r="F268" s="117">
        <v>57</v>
      </c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6">
        <v>0.13</v>
      </c>
      <c r="Y268" s="117">
        <v>4</v>
      </c>
      <c r="Z268" s="121"/>
      <c r="AA268" s="121"/>
      <c r="AB268" s="121"/>
      <c r="AC268" s="121"/>
      <c r="AD268" s="121"/>
      <c r="AE268" s="121"/>
      <c r="AF268" s="121"/>
      <c r="AG268" s="121"/>
      <c r="AH268" s="121"/>
      <c r="AI268" s="121"/>
      <c r="AJ268" s="121"/>
    </row>
    <row r="269" spans="1:36" ht="14.25" customHeight="1">
      <c r="A269" s="117">
        <v>210</v>
      </c>
      <c r="B269" s="117">
        <v>950</v>
      </c>
      <c r="C269" s="117"/>
      <c r="D269" s="117"/>
      <c r="E269" s="117"/>
      <c r="F269" s="117"/>
      <c r="G269" s="117">
        <v>9</v>
      </c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6">
        <v>0.13</v>
      </c>
      <c r="Y269" s="117">
        <v>1</v>
      </c>
      <c r="Z269" s="121"/>
      <c r="AA269" s="121"/>
      <c r="AB269" s="121"/>
      <c r="AC269" s="121"/>
      <c r="AD269" s="121"/>
      <c r="AE269" s="121"/>
      <c r="AF269" s="121"/>
      <c r="AG269" s="121"/>
      <c r="AH269" s="121"/>
      <c r="AI269" s="121"/>
      <c r="AJ269" s="121"/>
    </row>
    <row r="270" spans="1:36" ht="14.25" customHeight="1">
      <c r="A270" s="117">
        <v>210</v>
      </c>
      <c r="B270" s="117">
        <v>200</v>
      </c>
      <c r="C270" s="117"/>
      <c r="D270" s="117"/>
      <c r="E270" s="117"/>
      <c r="F270" s="117"/>
      <c r="G270" s="117">
        <v>13</v>
      </c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6">
        <v>0.13</v>
      </c>
      <c r="Y270" s="117">
        <v>1</v>
      </c>
      <c r="Z270" s="121"/>
      <c r="AA270" s="121"/>
      <c r="AB270" s="121"/>
      <c r="AC270" s="121"/>
      <c r="AD270" s="121"/>
      <c r="AE270" s="121"/>
      <c r="AF270" s="121"/>
      <c r="AG270" s="121"/>
      <c r="AH270" s="121"/>
      <c r="AI270" s="121"/>
      <c r="AJ270" s="121"/>
    </row>
    <row r="271" spans="1:36" ht="14.25" customHeight="1">
      <c r="A271" s="117">
        <v>210</v>
      </c>
      <c r="B271" s="117">
        <v>75</v>
      </c>
      <c r="C271" s="117"/>
      <c r="D271" s="117"/>
      <c r="E271" s="117"/>
      <c r="F271" s="117"/>
      <c r="G271" s="117">
        <v>22</v>
      </c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6">
        <v>0.13</v>
      </c>
      <c r="Y271" s="117">
        <v>2</v>
      </c>
      <c r="Z271" s="121"/>
      <c r="AA271" s="121"/>
      <c r="AB271" s="121"/>
      <c r="AC271" s="121"/>
      <c r="AD271" s="121"/>
      <c r="AE271" s="121"/>
      <c r="AF271" s="121"/>
      <c r="AG271" s="121"/>
      <c r="AH271" s="121"/>
      <c r="AI271" s="121"/>
      <c r="AJ271" s="121"/>
    </row>
    <row r="272" spans="1:36" ht="14.25" customHeight="1">
      <c r="A272" s="117">
        <v>210</v>
      </c>
      <c r="B272" s="117">
        <v>20</v>
      </c>
      <c r="C272" s="117"/>
      <c r="D272" s="117"/>
      <c r="E272" s="117"/>
      <c r="F272" s="117"/>
      <c r="G272" s="117">
        <v>42</v>
      </c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6">
        <v>0.13</v>
      </c>
      <c r="Y272" s="117">
        <v>3</v>
      </c>
      <c r="Z272" s="121"/>
      <c r="AA272" s="121"/>
      <c r="AB272" s="121"/>
      <c r="AC272" s="121"/>
      <c r="AD272" s="121"/>
      <c r="AE272" s="121"/>
      <c r="AF272" s="121"/>
      <c r="AG272" s="121"/>
      <c r="AH272" s="121"/>
      <c r="AI272" s="121"/>
      <c r="AJ272" s="121"/>
    </row>
    <row r="273" spans="1:36" ht="14.25" customHeight="1">
      <c r="A273" s="117">
        <v>210</v>
      </c>
      <c r="B273" s="117">
        <v>5</v>
      </c>
      <c r="C273" s="117"/>
      <c r="D273" s="117"/>
      <c r="E273" s="117"/>
      <c r="F273" s="117"/>
      <c r="G273" s="117">
        <v>72</v>
      </c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6">
        <v>0.13</v>
      </c>
      <c r="Y273" s="117">
        <v>4</v>
      </c>
      <c r="Z273" s="121"/>
      <c r="AA273" s="121"/>
      <c r="AB273" s="121"/>
      <c r="AC273" s="121"/>
      <c r="AD273" s="121"/>
      <c r="AE273" s="121"/>
      <c r="AF273" s="121"/>
      <c r="AG273" s="121"/>
      <c r="AH273" s="121"/>
      <c r="AI273" s="121"/>
      <c r="AJ273" s="121"/>
    </row>
    <row r="274" spans="1:36" ht="14.25" customHeight="1">
      <c r="A274" s="117">
        <v>210</v>
      </c>
      <c r="B274" s="117">
        <v>950</v>
      </c>
      <c r="C274" s="117"/>
      <c r="D274" s="117">
        <v>4</v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6">
        <v>0.13</v>
      </c>
      <c r="Y274" s="117">
        <v>1</v>
      </c>
      <c r="Z274" s="121"/>
      <c r="AA274" s="121"/>
      <c r="AB274" s="121"/>
      <c r="AC274" s="121"/>
      <c r="AD274" s="121"/>
      <c r="AE274" s="121"/>
      <c r="AF274" s="121"/>
      <c r="AG274" s="121"/>
      <c r="AH274" s="121"/>
      <c r="AI274" s="121"/>
      <c r="AJ274" s="121"/>
    </row>
    <row r="275" spans="1:36" ht="14.25" customHeight="1">
      <c r="A275" s="117">
        <v>210</v>
      </c>
      <c r="B275" s="117">
        <v>200</v>
      </c>
      <c r="C275" s="117"/>
      <c r="D275" s="117">
        <v>8</v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6">
        <v>0.13</v>
      </c>
      <c r="Y275" s="117">
        <v>1</v>
      </c>
      <c r="Z275" s="121"/>
      <c r="AA275" s="121"/>
      <c r="AB275" s="121"/>
      <c r="AC275" s="121"/>
      <c r="AD275" s="121"/>
      <c r="AE275" s="121"/>
      <c r="AF275" s="121"/>
      <c r="AG275" s="121"/>
      <c r="AH275" s="121"/>
      <c r="AI275" s="121"/>
      <c r="AJ275" s="121"/>
    </row>
    <row r="276" spans="1:36" ht="14.25" customHeight="1">
      <c r="A276" s="117">
        <v>210</v>
      </c>
      <c r="B276" s="117">
        <v>75</v>
      </c>
      <c r="C276" s="117"/>
      <c r="D276" s="117">
        <v>11</v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6">
        <v>0.13</v>
      </c>
      <c r="Y276" s="117">
        <v>2</v>
      </c>
      <c r="Z276" s="121"/>
      <c r="AA276" s="121"/>
      <c r="AB276" s="121"/>
      <c r="AC276" s="121"/>
      <c r="AD276" s="121"/>
      <c r="AE276" s="121"/>
      <c r="AF276" s="121"/>
      <c r="AG276" s="121"/>
      <c r="AH276" s="121"/>
      <c r="AI276" s="121"/>
      <c r="AJ276" s="121"/>
    </row>
    <row r="277" spans="1:36" ht="14.25" customHeight="1">
      <c r="A277" s="117">
        <v>210</v>
      </c>
      <c r="B277" s="117">
        <v>20</v>
      </c>
      <c r="C277" s="117"/>
      <c r="D277" s="117">
        <v>17</v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6">
        <v>0.13</v>
      </c>
      <c r="Y277" s="117">
        <v>3</v>
      </c>
      <c r="Z277" s="121"/>
      <c r="AA277" s="121"/>
      <c r="AB277" s="121"/>
      <c r="AC277" s="121"/>
      <c r="AD277" s="121"/>
      <c r="AE277" s="121"/>
      <c r="AF277" s="121"/>
      <c r="AG277" s="121"/>
      <c r="AH277" s="121"/>
      <c r="AI277" s="121"/>
      <c r="AJ277" s="121"/>
    </row>
    <row r="278" spans="1:36" ht="14.25" customHeight="1">
      <c r="A278" s="117">
        <v>210</v>
      </c>
      <c r="B278" s="117">
        <v>5</v>
      </c>
      <c r="C278" s="117"/>
      <c r="D278" s="117">
        <v>40</v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6">
        <v>0.13</v>
      </c>
      <c r="Y278" s="117">
        <v>4</v>
      </c>
      <c r="Z278" s="121"/>
      <c r="AA278" s="121"/>
      <c r="AB278" s="121"/>
      <c r="AC278" s="121"/>
      <c r="AD278" s="121"/>
      <c r="AE278" s="121"/>
      <c r="AF278" s="121"/>
      <c r="AG278" s="121"/>
      <c r="AH278" s="121"/>
      <c r="AI278" s="121"/>
      <c r="AJ278" s="121"/>
    </row>
    <row r="279" spans="1:36" ht="14.25" customHeight="1">
      <c r="A279" s="117">
        <v>210</v>
      </c>
      <c r="B279" s="117">
        <v>500</v>
      </c>
      <c r="C279" s="117"/>
      <c r="D279" s="117"/>
      <c r="E279" s="117">
        <v>6</v>
      </c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6">
        <v>0.13</v>
      </c>
      <c r="Y279" s="117">
        <v>1</v>
      </c>
      <c r="Z279" s="121"/>
      <c r="AA279" s="121"/>
      <c r="AB279" s="121"/>
      <c r="AC279" s="121"/>
      <c r="AD279" s="121"/>
      <c r="AE279" s="121"/>
      <c r="AF279" s="121"/>
      <c r="AG279" s="121"/>
      <c r="AH279" s="121"/>
      <c r="AI279" s="121"/>
      <c r="AJ279" s="121"/>
    </row>
    <row r="280" spans="1:36" ht="14.25" customHeight="1">
      <c r="A280" s="117">
        <v>210</v>
      </c>
      <c r="B280" s="117">
        <v>200</v>
      </c>
      <c r="C280" s="117"/>
      <c r="D280" s="117"/>
      <c r="E280" s="117">
        <v>10</v>
      </c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6">
        <v>0.13</v>
      </c>
      <c r="Y280" s="117">
        <v>1</v>
      </c>
      <c r="Z280" s="121"/>
      <c r="AA280" s="121"/>
      <c r="AB280" s="121"/>
      <c r="AC280" s="121"/>
      <c r="AD280" s="121"/>
      <c r="AE280" s="121"/>
      <c r="AF280" s="121"/>
      <c r="AG280" s="121"/>
      <c r="AH280" s="121"/>
      <c r="AI280" s="121"/>
      <c r="AJ280" s="121"/>
    </row>
    <row r="281" spans="1:36" ht="14.25" customHeight="1">
      <c r="A281" s="117">
        <v>210</v>
      </c>
      <c r="B281" s="117">
        <v>75</v>
      </c>
      <c r="C281" s="117"/>
      <c r="D281" s="117"/>
      <c r="E281" s="117">
        <v>17</v>
      </c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6">
        <v>0.13</v>
      </c>
      <c r="Y281" s="117">
        <v>2</v>
      </c>
      <c r="Z281" s="121"/>
      <c r="AA281" s="121"/>
      <c r="AB281" s="121"/>
      <c r="AC281" s="121"/>
      <c r="AD281" s="121"/>
      <c r="AE281" s="121"/>
      <c r="AF281" s="121"/>
      <c r="AG281" s="121"/>
      <c r="AH281" s="121"/>
      <c r="AI281" s="121"/>
      <c r="AJ281" s="121"/>
    </row>
    <row r="282" spans="1:36" ht="14.25" customHeight="1">
      <c r="A282" s="117">
        <v>210</v>
      </c>
      <c r="B282" s="117">
        <v>20</v>
      </c>
      <c r="C282" s="117"/>
      <c r="D282" s="117"/>
      <c r="E282" s="117">
        <v>30</v>
      </c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6">
        <v>0.13</v>
      </c>
      <c r="Y282" s="117">
        <v>3</v>
      </c>
      <c r="Z282" s="121"/>
      <c r="AA282" s="121"/>
      <c r="AB282" s="121"/>
      <c r="AC282" s="121"/>
      <c r="AD282" s="121"/>
      <c r="AE282" s="121"/>
      <c r="AF282" s="121"/>
      <c r="AG282" s="121"/>
      <c r="AH282" s="121"/>
      <c r="AI282" s="121"/>
      <c r="AJ282" s="121"/>
    </row>
    <row r="283" spans="1:36" ht="14.25" customHeight="1">
      <c r="A283" s="117">
        <v>210</v>
      </c>
      <c r="B283" s="117">
        <v>5</v>
      </c>
      <c r="C283" s="117"/>
      <c r="D283" s="117"/>
      <c r="E283" s="117">
        <v>51</v>
      </c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6">
        <v>0.13</v>
      </c>
      <c r="Y283" s="117">
        <v>4</v>
      </c>
      <c r="Z283" s="121"/>
      <c r="AA283" s="121"/>
      <c r="AB283" s="121"/>
      <c r="AC283" s="121"/>
      <c r="AD283" s="121"/>
      <c r="AE283" s="121"/>
      <c r="AF283" s="121"/>
      <c r="AG283" s="121"/>
      <c r="AH283" s="121"/>
      <c r="AI283" s="121"/>
      <c r="AJ283" s="121"/>
    </row>
    <row r="284" spans="1:36" ht="14.25" customHeight="1">
      <c r="A284" s="117">
        <v>210</v>
      </c>
      <c r="B284" s="117">
        <v>500</v>
      </c>
      <c r="C284" s="117"/>
      <c r="D284" s="117"/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>
        <v>0.01</v>
      </c>
      <c r="Q284" s="117"/>
      <c r="R284" s="117"/>
      <c r="S284" s="117"/>
      <c r="T284" s="117"/>
      <c r="U284" s="117"/>
      <c r="V284" s="117"/>
      <c r="W284" s="117"/>
      <c r="X284" s="6">
        <v>0.13</v>
      </c>
      <c r="Y284" s="117">
        <v>1</v>
      </c>
      <c r="Z284" s="121"/>
      <c r="AA284" s="121"/>
      <c r="AB284" s="121"/>
      <c r="AC284" s="121"/>
      <c r="AD284" s="121"/>
      <c r="AE284" s="121"/>
      <c r="AF284" s="121"/>
      <c r="AG284" s="121"/>
      <c r="AH284" s="121"/>
      <c r="AI284" s="121"/>
      <c r="AJ284" s="121"/>
    </row>
    <row r="285" spans="1:36" ht="14.25" customHeight="1">
      <c r="A285" s="117">
        <v>210</v>
      </c>
      <c r="B285" s="117">
        <v>200</v>
      </c>
      <c r="C285" s="117"/>
      <c r="D285" s="117"/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>
        <v>0.02</v>
      </c>
      <c r="Q285" s="117"/>
      <c r="R285" s="117"/>
      <c r="S285" s="117"/>
      <c r="T285" s="117"/>
      <c r="U285" s="117"/>
      <c r="V285" s="117"/>
      <c r="W285" s="117"/>
      <c r="X285" s="6">
        <v>0.13</v>
      </c>
      <c r="Y285" s="117">
        <v>1</v>
      </c>
      <c r="Z285" s="121"/>
      <c r="AA285" s="121"/>
      <c r="AB285" s="121"/>
      <c r="AC285" s="121"/>
      <c r="AD285" s="121"/>
      <c r="AE285" s="121"/>
      <c r="AF285" s="121"/>
      <c r="AG285" s="121"/>
      <c r="AH285" s="121"/>
      <c r="AI285" s="121"/>
      <c r="AJ285" s="121"/>
    </row>
    <row r="286" spans="1:36" ht="14.25" customHeight="1">
      <c r="A286" s="117">
        <v>210</v>
      </c>
      <c r="B286" s="117">
        <v>75</v>
      </c>
      <c r="C286" s="117"/>
      <c r="D286" s="117"/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>
        <v>0.04</v>
      </c>
      <c r="Q286" s="117"/>
      <c r="R286" s="117"/>
      <c r="S286" s="117"/>
      <c r="T286" s="117"/>
      <c r="U286" s="117"/>
      <c r="V286" s="117"/>
      <c r="W286" s="117"/>
      <c r="X286" s="6">
        <v>0.13</v>
      </c>
      <c r="Y286" s="117">
        <v>2</v>
      </c>
      <c r="Z286" s="121"/>
      <c r="AA286" s="121"/>
      <c r="AB286" s="121"/>
      <c r="AC286" s="121"/>
      <c r="AD286" s="121"/>
      <c r="AE286" s="121"/>
      <c r="AF286" s="121"/>
      <c r="AG286" s="121"/>
      <c r="AH286" s="121"/>
      <c r="AI286" s="121"/>
      <c r="AJ286" s="121"/>
    </row>
    <row r="287" spans="1:36" ht="14.25" customHeight="1">
      <c r="A287" s="117">
        <v>210</v>
      </c>
      <c r="B287" s="117">
        <v>20</v>
      </c>
      <c r="C287" s="117"/>
      <c r="D287" s="117"/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>
        <v>7.0000000000000007E-2</v>
      </c>
      <c r="Q287" s="117"/>
      <c r="R287" s="117"/>
      <c r="S287" s="117"/>
      <c r="T287" s="117"/>
      <c r="U287" s="117"/>
      <c r="V287" s="117"/>
      <c r="W287" s="117"/>
      <c r="X287" s="6">
        <v>0.13</v>
      </c>
      <c r="Y287" s="117">
        <v>3</v>
      </c>
      <c r="Z287" s="121"/>
      <c r="AA287" s="121"/>
      <c r="AB287" s="121"/>
      <c r="AC287" s="121"/>
      <c r="AD287" s="121"/>
      <c r="AE287" s="121"/>
      <c r="AF287" s="121"/>
      <c r="AG287" s="121"/>
      <c r="AH287" s="121"/>
      <c r="AI287" s="121"/>
      <c r="AJ287" s="121"/>
    </row>
    <row r="288" spans="1:36" ht="14.25" customHeight="1">
      <c r="A288" s="117">
        <v>210</v>
      </c>
      <c r="B288" s="117">
        <v>5</v>
      </c>
      <c r="C288" s="117"/>
      <c r="D288" s="117"/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>
        <v>0.1</v>
      </c>
      <c r="Q288" s="117"/>
      <c r="R288" s="117"/>
      <c r="S288" s="117"/>
      <c r="T288" s="117"/>
      <c r="U288" s="117"/>
      <c r="V288" s="117"/>
      <c r="W288" s="117"/>
      <c r="X288" s="6">
        <v>0.13</v>
      </c>
      <c r="Y288" s="117">
        <v>4</v>
      </c>
      <c r="Z288" s="121"/>
      <c r="AA288" s="121"/>
      <c r="AB288" s="121"/>
      <c r="AC288" s="121"/>
      <c r="AD288" s="121"/>
      <c r="AE288" s="121"/>
      <c r="AF288" s="121"/>
      <c r="AG288" s="121"/>
      <c r="AH288" s="121"/>
      <c r="AI288" s="121"/>
      <c r="AJ288" s="121"/>
    </row>
    <row r="289" spans="1:36" ht="14.25" customHeight="1">
      <c r="A289" s="117">
        <v>210</v>
      </c>
      <c r="B289" s="117">
        <v>550</v>
      </c>
      <c r="C289" s="117"/>
      <c r="D289" s="117"/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>
        <v>0.02</v>
      </c>
      <c r="X289" s="6">
        <v>0.13</v>
      </c>
      <c r="Y289" s="117">
        <v>1</v>
      </c>
      <c r="Z289" s="121"/>
      <c r="AA289" s="121"/>
      <c r="AB289" s="121"/>
      <c r="AC289" s="121"/>
      <c r="AD289" s="121"/>
      <c r="AE289" s="121"/>
      <c r="AF289" s="121"/>
      <c r="AG289" s="121"/>
      <c r="AH289" s="121"/>
      <c r="AI289" s="121"/>
      <c r="AJ289" s="121"/>
    </row>
    <row r="290" spans="1:36" ht="14.25" customHeight="1">
      <c r="A290" s="117">
        <v>210</v>
      </c>
      <c r="B290" s="117">
        <v>100</v>
      </c>
      <c r="C290" s="117"/>
      <c r="D290" s="117"/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>
        <v>0.04</v>
      </c>
      <c r="X290" s="6">
        <v>0.13</v>
      </c>
      <c r="Y290" s="117">
        <v>1</v>
      </c>
      <c r="Z290" s="121"/>
      <c r="AA290" s="121"/>
      <c r="AB290" s="121"/>
      <c r="AC290" s="121"/>
      <c r="AD290" s="121"/>
      <c r="AE290" s="121"/>
      <c r="AF290" s="121"/>
      <c r="AG290" s="121"/>
      <c r="AH290" s="121"/>
      <c r="AI290" s="121"/>
      <c r="AJ290" s="121"/>
    </row>
    <row r="291" spans="1:36" ht="14.25" customHeight="1">
      <c r="A291" s="117">
        <v>210</v>
      </c>
      <c r="B291" s="117">
        <v>35</v>
      </c>
      <c r="C291" s="117"/>
      <c r="D291" s="117"/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>
        <v>0.08</v>
      </c>
      <c r="X291" s="6">
        <v>0.13</v>
      </c>
      <c r="Y291" s="117">
        <v>2</v>
      </c>
      <c r="Z291" s="121"/>
      <c r="AA291" s="121"/>
      <c r="AB291" s="121"/>
      <c r="AC291" s="121"/>
      <c r="AD291" s="121"/>
      <c r="AE291" s="121"/>
      <c r="AF291" s="121"/>
      <c r="AG291" s="121"/>
      <c r="AH291" s="121"/>
      <c r="AI291" s="121"/>
      <c r="AJ291" s="121"/>
    </row>
    <row r="292" spans="1:36" ht="14.25" customHeight="1">
      <c r="A292" s="117">
        <v>210</v>
      </c>
      <c r="B292" s="117">
        <v>10</v>
      </c>
      <c r="C292" s="117"/>
      <c r="D292" s="117"/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>
        <v>1.2999999999999999E-2</v>
      </c>
      <c r="X292" s="6">
        <v>0.13</v>
      </c>
      <c r="Y292" s="117">
        <v>3</v>
      </c>
      <c r="Z292" s="121"/>
      <c r="AA292" s="121"/>
      <c r="AB292" s="121"/>
      <c r="AC292" s="121"/>
      <c r="AD292" s="121"/>
      <c r="AE292" s="121"/>
      <c r="AF292" s="121"/>
      <c r="AG292" s="121"/>
      <c r="AH292" s="121"/>
      <c r="AI292" s="121"/>
      <c r="AJ292" s="121"/>
    </row>
    <row r="293" spans="1:36" ht="14.25" customHeight="1">
      <c r="A293" s="117">
        <v>210</v>
      </c>
      <c r="B293" s="117">
        <v>5</v>
      </c>
      <c r="C293" s="117"/>
      <c r="D293" s="117"/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>
        <v>0.2</v>
      </c>
      <c r="X293" s="6">
        <v>0.13</v>
      </c>
      <c r="Y293" s="117">
        <v>4</v>
      </c>
      <c r="Z293" s="121"/>
      <c r="AA293" s="121"/>
      <c r="AB293" s="121"/>
      <c r="AC293" s="121"/>
      <c r="AD293" s="121"/>
      <c r="AE293" s="121"/>
      <c r="AF293" s="121"/>
      <c r="AG293" s="121"/>
      <c r="AH293" s="121"/>
      <c r="AI293" s="121"/>
      <c r="AJ293" s="121"/>
    </row>
    <row r="294" spans="1:36" ht="14.25" customHeight="1">
      <c r="A294" s="119">
        <v>211</v>
      </c>
      <c r="B294" s="119">
        <v>2000</v>
      </c>
      <c r="C294" s="123"/>
      <c r="D294" s="123"/>
      <c r="E294" s="123"/>
      <c r="F294" s="123"/>
      <c r="G294" s="123"/>
      <c r="H294" s="123"/>
      <c r="I294" s="123"/>
      <c r="J294" s="123"/>
      <c r="K294" s="123"/>
      <c r="L294" s="123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</row>
    <row r="295" spans="1:36" ht="14.25" customHeight="1">
      <c r="A295" s="119">
        <v>211</v>
      </c>
      <c r="B295" s="119">
        <v>950</v>
      </c>
      <c r="C295" s="119">
        <v>65</v>
      </c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8">
        <v>0.11</v>
      </c>
      <c r="Y295" s="119">
        <v>1</v>
      </c>
    </row>
    <row r="296" spans="1:36" ht="14.25" customHeight="1">
      <c r="A296" s="119">
        <v>211</v>
      </c>
      <c r="B296" s="119">
        <v>200</v>
      </c>
      <c r="C296" s="119">
        <v>115</v>
      </c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8">
        <v>0.11</v>
      </c>
      <c r="Y296" s="119">
        <v>1</v>
      </c>
    </row>
    <row r="297" spans="1:36" ht="14.25" customHeight="1">
      <c r="A297" s="119">
        <v>211</v>
      </c>
      <c r="B297" s="119">
        <v>75</v>
      </c>
      <c r="C297" s="119">
        <v>210</v>
      </c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8">
        <v>0.11</v>
      </c>
      <c r="Y297" s="119">
        <v>2</v>
      </c>
    </row>
    <row r="298" spans="1:36" ht="14.25" customHeight="1">
      <c r="A298" s="119">
        <v>211</v>
      </c>
      <c r="B298" s="119">
        <v>20</v>
      </c>
      <c r="C298" s="119">
        <v>400</v>
      </c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8">
        <v>0.11</v>
      </c>
      <c r="Y298" s="119">
        <v>3</v>
      </c>
    </row>
    <row r="299" spans="1:36" ht="14.25" customHeight="1">
      <c r="A299" s="119">
        <v>211</v>
      </c>
      <c r="B299" s="119">
        <v>5</v>
      </c>
      <c r="C299" s="119">
        <v>730</v>
      </c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8">
        <v>0.11</v>
      </c>
      <c r="Y299" s="119">
        <v>4</v>
      </c>
    </row>
    <row r="300" spans="1:36" ht="14.25" customHeight="1">
      <c r="A300" s="119">
        <v>211</v>
      </c>
      <c r="B300" s="119">
        <v>950</v>
      </c>
      <c r="C300" s="119"/>
      <c r="D300" s="119"/>
      <c r="E300" s="119"/>
      <c r="F300" s="119">
        <v>6</v>
      </c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8">
        <v>0.11</v>
      </c>
      <c r="Y300" s="119">
        <v>1</v>
      </c>
    </row>
    <row r="301" spans="1:36" ht="14.25" customHeight="1">
      <c r="A301" s="119">
        <v>211</v>
      </c>
      <c r="B301" s="119">
        <v>200</v>
      </c>
      <c r="C301" s="119"/>
      <c r="D301" s="119"/>
      <c r="E301" s="119"/>
      <c r="F301" s="119">
        <v>10</v>
      </c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8">
        <v>0.11</v>
      </c>
      <c r="Y301" s="119">
        <v>1</v>
      </c>
    </row>
    <row r="302" spans="1:36" ht="14.25" customHeight="1">
      <c r="A302" s="119">
        <v>211</v>
      </c>
      <c r="B302" s="119">
        <v>75</v>
      </c>
      <c r="C302" s="119"/>
      <c r="D302" s="119"/>
      <c r="E302" s="119"/>
      <c r="F302" s="119">
        <v>16</v>
      </c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8">
        <v>0.11</v>
      </c>
      <c r="Y302" s="119">
        <v>2</v>
      </c>
    </row>
    <row r="303" spans="1:36" ht="14.25" customHeight="1">
      <c r="A303" s="119">
        <v>211</v>
      </c>
      <c r="B303" s="119">
        <v>20</v>
      </c>
      <c r="C303" s="119"/>
      <c r="D303" s="119"/>
      <c r="E303" s="119"/>
      <c r="F303" s="119">
        <v>24</v>
      </c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8">
        <v>0.11</v>
      </c>
      <c r="Y303" s="119">
        <v>3</v>
      </c>
    </row>
    <row r="304" spans="1:36" ht="14.25" customHeight="1">
      <c r="A304" s="119">
        <v>211</v>
      </c>
      <c r="B304" s="119">
        <v>5</v>
      </c>
      <c r="C304" s="119"/>
      <c r="D304" s="119"/>
      <c r="E304" s="119"/>
      <c r="F304" s="119">
        <v>57</v>
      </c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8">
        <v>0.11</v>
      </c>
      <c r="Y304" s="119">
        <v>4</v>
      </c>
    </row>
    <row r="305" spans="1:25" ht="14.25" customHeight="1">
      <c r="A305" s="119">
        <v>211</v>
      </c>
      <c r="B305" s="119">
        <v>950</v>
      </c>
      <c r="C305" s="119"/>
      <c r="D305" s="119"/>
      <c r="E305" s="119"/>
      <c r="F305" s="119"/>
      <c r="G305" s="119">
        <v>9</v>
      </c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8">
        <v>0.11</v>
      </c>
      <c r="Y305" s="119">
        <v>1</v>
      </c>
    </row>
    <row r="306" spans="1:25" ht="14.25" customHeight="1">
      <c r="A306" s="119">
        <v>211</v>
      </c>
      <c r="B306" s="119">
        <v>200</v>
      </c>
      <c r="C306" s="119"/>
      <c r="D306" s="119"/>
      <c r="E306" s="119"/>
      <c r="F306" s="119"/>
      <c r="G306" s="119">
        <v>13</v>
      </c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8">
        <v>0.11</v>
      </c>
      <c r="Y306" s="119">
        <v>1</v>
      </c>
    </row>
    <row r="307" spans="1:25" ht="14.25" customHeight="1">
      <c r="A307" s="119">
        <v>211</v>
      </c>
      <c r="B307" s="119">
        <v>75</v>
      </c>
      <c r="C307" s="119"/>
      <c r="D307" s="119"/>
      <c r="E307" s="119"/>
      <c r="F307" s="119"/>
      <c r="G307" s="119">
        <v>22</v>
      </c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8">
        <v>0.11</v>
      </c>
      <c r="Y307" s="119">
        <v>2</v>
      </c>
    </row>
    <row r="308" spans="1:25" ht="14.25" customHeight="1">
      <c r="A308" s="119">
        <v>211</v>
      </c>
      <c r="B308" s="119">
        <v>20</v>
      </c>
      <c r="C308" s="119"/>
      <c r="D308" s="119"/>
      <c r="E308" s="119"/>
      <c r="F308" s="119"/>
      <c r="G308" s="119">
        <v>42</v>
      </c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8">
        <v>0.11</v>
      </c>
      <c r="Y308" s="119">
        <v>3</v>
      </c>
    </row>
    <row r="309" spans="1:25" ht="14.25" customHeight="1">
      <c r="A309" s="119">
        <v>211</v>
      </c>
      <c r="B309" s="119">
        <v>5</v>
      </c>
      <c r="C309" s="119"/>
      <c r="D309" s="119"/>
      <c r="E309" s="119"/>
      <c r="F309" s="119"/>
      <c r="G309" s="119">
        <v>72</v>
      </c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8">
        <v>0.11</v>
      </c>
      <c r="Y309" s="119">
        <v>4</v>
      </c>
    </row>
    <row r="310" spans="1:25" ht="14.25" customHeight="1">
      <c r="A310" s="119">
        <v>211</v>
      </c>
      <c r="B310" s="119">
        <v>950</v>
      </c>
      <c r="C310" s="119"/>
      <c r="D310" s="119">
        <v>4</v>
      </c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8">
        <v>0.11</v>
      </c>
      <c r="Y310" s="119">
        <v>1</v>
      </c>
    </row>
    <row r="311" spans="1:25" ht="14.25" customHeight="1">
      <c r="A311" s="119">
        <v>211</v>
      </c>
      <c r="B311" s="119">
        <v>200</v>
      </c>
      <c r="C311" s="119"/>
      <c r="D311" s="119">
        <v>8</v>
      </c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8">
        <v>0.11</v>
      </c>
      <c r="Y311" s="119">
        <v>1</v>
      </c>
    </row>
    <row r="312" spans="1:25" ht="14.25" customHeight="1">
      <c r="A312" s="119">
        <v>211</v>
      </c>
      <c r="B312" s="119">
        <v>75</v>
      </c>
      <c r="C312" s="119"/>
      <c r="D312" s="119">
        <v>11</v>
      </c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8">
        <v>0.11</v>
      </c>
      <c r="Y312" s="119">
        <v>2</v>
      </c>
    </row>
    <row r="313" spans="1:25" ht="14.25" customHeight="1">
      <c r="A313" s="119">
        <v>211</v>
      </c>
      <c r="B313" s="119">
        <v>20</v>
      </c>
      <c r="C313" s="119"/>
      <c r="D313" s="119">
        <v>17</v>
      </c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8">
        <v>0.11</v>
      </c>
      <c r="Y313" s="119">
        <v>3</v>
      </c>
    </row>
    <row r="314" spans="1:25" ht="14.25" customHeight="1">
      <c r="A314" s="119">
        <v>211</v>
      </c>
      <c r="B314" s="119">
        <v>5</v>
      </c>
      <c r="C314" s="119"/>
      <c r="D314" s="119">
        <v>40</v>
      </c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8">
        <v>0.11</v>
      </c>
      <c r="Y314" s="119">
        <v>4</v>
      </c>
    </row>
    <row r="315" spans="1:25" ht="14.25" customHeight="1">
      <c r="A315" s="119">
        <v>211</v>
      </c>
      <c r="B315" s="119">
        <v>500</v>
      </c>
      <c r="C315" s="119"/>
      <c r="D315" s="119"/>
      <c r="E315" s="119">
        <v>6</v>
      </c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8">
        <v>0.11</v>
      </c>
      <c r="Y315" s="119">
        <v>1</v>
      </c>
    </row>
    <row r="316" spans="1:25" ht="14.25" customHeight="1">
      <c r="A316" s="119">
        <v>211</v>
      </c>
      <c r="B316" s="119">
        <v>200</v>
      </c>
      <c r="C316" s="119"/>
      <c r="D316" s="119"/>
      <c r="E316" s="119">
        <v>10</v>
      </c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8">
        <v>0.11</v>
      </c>
      <c r="Y316" s="119">
        <v>1</v>
      </c>
    </row>
    <row r="317" spans="1:25" ht="14.25" customHeight="1">
      <c r="A317" s="119">
        <v>211</v>
      </c>
      <c r="B317" s="119">
        <v>75</v>
      </c>
      <c r="C317" s="119"/>
      <c r="D317" s="119"/>
      <c r="E317" s="119">
        <v>17</v>
      </c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8">
        <v>0.11</v>
      </c>
      <c r="Y317" s="119">
        <v>2</v>
      </c>
    </row>
    <row r="318" spans="1:25" ht="14.25" customHeight="1">
      <c r="A318" s="119">
        <v>211</v>
      </c>
      <c r="B318" s="119">
        <v>20</v>
      </c>
      <c r="C318" s="119"/>
      <c r="D318" s="119"/>
      <c r="E318" s="119">
        <v>30</v>
      </c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8">
        <v>0.11</v>
      </c>
      <c r="Y318" s="119">
        <v>3</v>
      </c>
    </row>
    <row r="319" spans="1:25" ht="14.25" customHeight="1">
      <c r="A319" s="119">
        <v>211</v>
      </c>
      <c r="B319" s="119">
        <v>5</v>
      </c>
      <c r="C319" s="119"/>
      <c r="D319" s="119"/>
      <c r="E319" s="119">
        <v>51</v>
      </c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8">
        <v>0.11</v>
      </c>
      <c r="Y319" s="119">
        <v>4</v>
      </c>
    </row>
    <row r="320" spans="1:25" ht="14.25" customHeight="1">
      <c r="A320" s="119">
        <v>211</v>
      </c>
      <c r="B320" s="119">
        <v>500</v>
      </c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>
        <v>0.01</v>
      </c>
      <c r="Q320" s="119"/>
      <c r="R320" s="119"/>
      <c r="S320" s="119"/>
      <c r="T320" s="119"/>
      <c r="U320" s="119"/>
      <c r="V320" s="119"/>
      <c r="W320" s="119"/>
      <c r="X320" s="118">
        <v>0.11</v>
      </c>
      <c r="Y320" s="119">
        <v>1</v>
      </c>
    </row>
    <row r="321" spans="1:25" ht="14.25" customHeight="1">
      <c r="A321" s="119">
        <v>211</v>
      </c>
      <c r="B321" s="119">
        <v>200</v>
      </c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>
        <v>0.02</v>
      </c>
      <c r="Q321" s="119"/>
      <c r="R321" s="119"/>
      <c r="S321" s="119"/>
      <c r="T321" s="119"/>
      <c r="U321" s="119"/>
      <c r="V321" s="119"/>
      <c r="W321" s="119"/>
      <c r="X321" s="118">
        <v>0.11</v>
      </c>
      <c r="Y321" s="119">
        <v>1</v>
      </c>
    </row>
    <row r="322" spans="1:25" ht="14.25" customHeight="1">
      <c r="A322" s="119">
        <v>211</v>
      </c>
      <c r="B322" s="119">
        <v>75</v>
      </c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>
        <v>0.04</v>
      </c>
      <c r="Q322" s="119"/>
      <c r="R322" s="119"/>
      <c r="S322" s="119"/>
      <c r="T322" s="119"/>
      <c r="U322" s="119"/>
      <c r="V322" s="119"/>
      <c r="W322" s="119"/>
      <c r="X322" s="118">
        <v>0.11</v>
      </c>
      <c r="Y322" s="119">
        <v>2</v>
      </c>
    </row>
    <row r="323" spans="1:25" ht="14.25" customHeight="1">
      <c r="A323" s="119">
        <v>211</v>
      </c>
      <c r="B323" s="119">
        <v>20</v>
      </c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>
        <v>7.0000000000000007E-2</v>
      </c>
      <c r="Q323" s="119"/>
      <c r="R323" s="119"/>
      <c r="S323" s="119"/>
      <c r="T323" s="119"/>
      <c r="U323" s="119"/>
      <c r="V323" s="119"/>
      <c r="W323" s="119"/>
      <c r="X323" s="118">
        <v>0.11</v>
      </c>
      <c r="Y323" s="119">
        <v>3</v>
      </c>
    </row>
    <row r="324" spans="1:25" ht="14.25" customHeight="1">
      <c r="A324" s="119">
        <v>211</v>
      </c>
      <c r="B324" s="119">
        <v>5</v>
      </c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>
        <v>0.1</v>
      </c>
      <c r="Q324" s="119"/>
      <c r="R324" s="119"/>
      <c r="S324" s="119"/>
      <c r="T324" s="119"/>
      <c r="U324" s="119"/>
      <c r="V324" s="119"/>
      <c r="W324" s="119"/>
      <c r="X324" s="118">
        <v>0.11</v>
      </c>
      <c r="Y324" s="119">
        <v>4</v>
      </c>
    </row>
    <row r="325" spans="1:25" ht="14.25" customHeight="1">
      <c r="A325" s="119">
        <v>211</v>
      </c>
      <c r="B325" s="119">
        <v>550</v>
      </c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>
        <v>0.02</v>
      </c>
      <c r="X325" s="118">
        <v>0.11</v>
      </c>
      <c r="Y325" s="119">
        <v>1</v>
      </c>
    </row>
    <row r="326" spans="1:25" ht="14.25" customHeight="1">
      <c r="A326" s="119">
        <v>211</v>
      </c>
      <c r="B326" s="119">
        <v>100</v>
      </c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>
        <v>0.04</v>
      </c>
      <c r="X326" s="118">
        <v>0.11</v>
      </c>
      <c r="Y326" s="119">
        <v>1</v>
      </c>
    </row>
    <row r="327" spans="1:25" ht="14.25" customHeight="1">
      <c r="A327" s="119">
        <v>211</v>
      </c>
      <c r="B327" s="119">
        <v>35</v>
      </c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>
        <v>0.08</v>
      </c>
      <c r="X327" s="118">
        <v>0.11</v>
      </c>
      <c r="Y327" s="119">
        <v>2</v>
      </c>
    </row>
    <row r="328" spans="1:25" ht="14.25" customHeight="1">
      <c r="A328" s="119">
        <v>211</v>
      </c>
      <c r="B328" s="119">
        <v>10</v>
      </c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>
        <v>1.2999999999999999E-2</v>
      </c>
      <c r="X328" s="118">
        <v>0.11</v>
      </c>
      <c r="Y328" s="119">
        <v>3</v>
      </c>
    </row>
    <row r="329" spans="1:25" ht="14.25" customHeight="1">
      <c r="A329" s="119">
        <v>211</v>
      </c>
      <c r="B329" s="119">
        <v>5</v>
      </c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>
        <v>0.2</v>
      </c>
      <c r="X329" s="118">
        <v>0.11</v>
      </c>
      <c r="Y329" s="119">
        <v>4</v>
      </c>
    </row>
    <row r="330" spans="1:25" ht="14.25" customHeight="1">
      <c r="A330" s="119">
        <v>211</v>
      </c>
      <c r="B330" s="119">
        <v>550</v>
      </c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>
        <v>0.01</v>
      </c>
      <c r="W330" s="119"/>
      <c r="X330" s="118">
        <v>0.11</v>
      </c>
      <c r="Y330" s="119">
        <v>1</v>
      </c>
    </row>
    <row r="331" spans="1:25" ht="14.25" customHeight="1">
      <c r="A331" s="119">
        <v>211</v>
      </c>
      <c r="B331" s="119">
        <v>100</v>
      </c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>
        <v>0.03</v>
      </c>
      <c r="W331" s="119"/>
      <c r="X331" s="118">
        <v>0.11</v>
      </c>
      <c r="Y331" s="119">
        <v>1</v>
      </c>
    </row>
    <row r="332" spans="1:25" ht="14.25" customHeight="1">
      <c r="A332" s="119">
        <v>211</v>
      </c>
      <c r="B332" s="119">
        <v>35</v>
      </c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>
        <v>0.06</v>
      </c>
      <c r="W332" s="119"/>
      <c r="X332" s="118">
        <v>0.11</v>
      </c>
      <c r="Y332" s="119">
        <v>2</v>
      </c>
    </row>
    <row r="333" spans="1:25" ht="14.25" customHeight="1">
      <c r="A333" s="119">
        <v>211</v>
      </c>
      <c r="B333" s="119">
        <v>10</v>
      </c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>
        <v>0.1</v>
      </c>
      <c r="W333" s="119"/>
      <c r="X333" s="118">
        <v>0.11</v>
      </c>
      <c r="Y333" s="119">
        <v>3</v>
      </c>
    </row>
    <row r="334" spans="1:25" ht="14.25" customHeight="1">
      <c r="A334" s="119">
        <v>211</v>
      </c>
      <c r="B334" s="119">
        <v>5</v>
      </c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>
        <v>0.15</v>
      </c>
      <c r="W334" s="119"/>
      <c r="X334" s="118">
        <v>0.11</v>
      </c>
      <c r="Y334" s="119">
        <v>4</v>
      </c>
    </row>
    <row r="335" spans="1:25" ht="14.25" customHeight="1">
      <c r="A335" s="117">
        <v>212</v>
      </c>
      <c r="B335" s="117">
        <v>1900</v>
      </c>
      <c r="C335" s="122"/>
      <c r="D335" s="122"/>
      <c r="E335" s="122"/>
      <c r="F335" s="122"/>
      <c r="G335" s="122"/>
      <c r="H335" s="122"/>
      <c r="I335" s="122"/>
      <c r="J335" s="122"/>
      <c r="K335" s="122"/>
      <c r="L335" s="122"/>
      <c r="M335" s="122"/>
      <c r="N335" s="122"/>
      <c r="O335" s="122"/>
      <c r="P335" s="122"/>
      <c r="Q335" s="122"/>
      <c r="R335" s="122"/>
      <c r="S335" s="122"/>
      <c r="T335" s="122"/>
      <c r="U335" s="122"/>
      <c r="V335" s="122"/>
      <c r="W335" s="122"/>
      <c r="X335" s="122"/>
      <c r="Y335" s="122"/>
    </row>
    <row r="336" spans="1:25" ht="14.25" customHeight="1">
      <c r="A336" s="117">
        <v>212</v>
      </c>
      <c r="B336" s="117">
        <v>950</v>
      </c>
      <c r="C336" s="117">
        <v>65</v>
      </c>
      <c r="D336" s="117"/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>
        <v>0.08</v>
      </c>
      <c r="Y336" s="117">
        <v>1</v>
      </c>
    </row>
    <row r="337" spans="1:25" ht="14.25" customHeight="1">
      <c r="A337" s="117">
        <v>212</v>
      </c>
      <c r="B337" s="117">
        <v>200</v>
      </c>
      <c r="C337" s="117">
        <v>115</v>
      </c>
      <c r="D337" s="117"/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>
        <v>0.08</v>
      </c>
      <c r="Y337" s="117">
        <v>1</v>
      </c>
    </row>
    <row r="338" spans="1:25" ht="14.25" customHeight="1">
      <c r="A338" s="117">
        <v>212</v>
      </c>
      <c r="B338" s="117">
        <v>75</v>
      </c>
      <c r="C338" s="117">
        <v>210</v>
      </c>
      <c r="D338" s="117"/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>
        <v>0.08</v>
      </c>
      <c r="Y338" s="117">
        <v>2</v>
      </c>
    </row>
    <row r="339" spans="1:25" ht="14.25" customHeight="1">
      <c r="A339" s="117">
        <v>212</v>
      </c>
      <c r="B339" s="117">
        <v>20</v>
      </c>
      <c r="C339" s="117">
        <v>400</v>
      </c>
      <c r="D339" s="117"/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>
        <v>0.08</v>
      </c>
      <c r="Y339" s="117">
        <v>3</v>
      </c>
    </row>
    <row r="340" spans="1:25" ht="14.25" customHeight="1">
      <c r="A340" s="117">
        <v>212</v>
      </c>
      <c r="B340" s="117">
        <v>5</v>
      </c>
      <c r="C340" s="117">
        <v>730</v>
      </c>
      <c r="D340" s="117"/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>
        <v>0.08</v>
      </c>
      <c r="Y340" s="117">
        <v>4</v>
      </c>
    </row>
    <row r="341" spans="1:25" ht="14.25" customHeight="1">
      <c r="A341" s="117">
        <v>212</v>
      </c>
      <c r="B341" s="117">
        <v>750</v>
      </c>
      <c r="C341" s="117"/>
      <c r="D341" s="117"/>
      <c r="E341" s="117"/>
      <c r="F341" s="117">
        <v>6</v>
      </c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>
        <v>0.08</v>
      </c>
      <c r="Y341" s="117">
        <v>1</v>
      </c>
    </row>
    <row r="342" spans="1:25" ht="14.25" customHeight="1">
      <c r="A342" s="117">
        <v>212</v>
      </c>
      <c r="B342" s="117">
        <v>200</v>
      </c>
      <c r="C342" s="117"/>
      <c r="D342" s="117"/>
      <c r="E342" s="117"/>
      <c r="F342" s="117">
        <v>10</v>
      </c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>
        <v>0.08</v>
      </c>
      <c r="Y342" s="117">
        <v>1</v>
      </c>
    </row>
    <row r="343" spans="1:25" ht="14.25" customHeight="1">
      <c r="A343" s="117">
        <v>212</v>
      </c>
      <c r="B343" s="117">
        <v>75</v>
      </c>
      <c r="C343" s="117"/>
      <c r="D343" s="117"/>
      <c r="E343" s="117"/>
      <c r="F343" s="117">
        <v>16</v>
      </c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>
        <v>0.08</v>
      </c>
      <c r="Y343" s="117">
        <v>2</v>
      </c>
    </row>
    <row r="344" spans="1:25" ht="14.25" customHeight="1">
      <c r="A344" s="117">
        <v>212</v>
      </c>
      <c r="B344" s="117">
        <v>20</v>
      </c>
      <c r="C344" s="117"/>
      <c r="D344" s="117"/>
      <c r="E344" s="117"/>
      <c r="F344" s="117">
        <v>24</v>
      </c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>
        <v>0.08</v>
      </c>
      <c r="Y344" s="117">
        <v>3</v>
      </c>
    </row>
    <row r="345" spans="1:25" ht="14.25" customHeight="1">
      <c r="A345" s="117">
        <v>212</v>
      </c>
      <c r="B345" s="117">
        <v>5</v>
      </c>
      <c r="C345" s="117"/>
      <c r="D345" s="117"/>
      <c r="E345" s="117"/>
      <c r="F345" s="117">
        <v>57</v>
      </c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>
        <v>0.08</v>
      </c>
      <c r="Y345" s="117">
        <v>4</v>
      </c>
    </row>
    <row r="346" spans="1:25" ht="14.25" customHeight="1">
      <c r="A346" s="117">
        <v>212</v>
      </c>
      <c r="B346" s="117">
        <v>750</v>
      </c>
      <c r="C346" s="117"/>
      <c r="D346" s="117"/>
      <c r="E346" s="117"/>
      <c r="F346" s="117"/>
      <c r="G346" s="117">
        <v>9</v>
      </c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>
        <v>0.08</v>
      </c>
      <c r="Y346" s="117">
        <v>1</v>
      </c>
    </row>
    <row r="347" spans="1:25" ht="14.25" customHeight="1">
      <c r="A347" s="117">
        <v>212</v>
      </c>
      <c r="B347" s="117">
        <v>200</v>
      </c>
      <c r="C347" s="117"/>
      <c r="D347" s="117"/>
      <c r="E347" s="117"/>
      <c r="F347" s="117"/>
      <c r="G347" s="117">
        <v>13</v>
      </c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>
        <v>0.08</v>
      </c>
      <c r="Y347" s="117">
        <v>1</v>
      </c>
    </row>
    <row r="348" spans="1:25" ht="14.25" customHeight="1">
      <c r="A348" s="117">
        <v>212</v>
      </c>
      <c r="B348" s="117">
        <v>75</v>
      </c>
      <c r="C348" s="117"/>
      <c r="D348" s="117"/>
      <c r="E348" s="117"/>
      <c r="F348" s="117"/>
      <c r="G348" s="117">
        <v>22</v>
      </c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>
        <v>0.08</v>
      </c>
      <c r="Y348" s="117">
        <v>2</v>
      </c>
    </row>
    <row r="349" spans="1:25" ht="14.25" customHeight="1">
      <c r="A349" s="117">
        <v>212</v>
      </c>
      <c r="B349" s="117">
        <v>20</v>
      </c>
      <c r="C349" s="117"/>
      <c r="D349" s="117"/>
      <c r="E349" s="117"/>
      <c r="F349" s="117"/>
      <c r="G349" s="117">
        <v>42</v>
      </c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>
        <v>0.08</v>
      </c>
      <c r="Y349" s="117">
        <v>3</v>
      </c>
    </row>
    <row r="350" spans="1:25" ht="14.25" customHeight="1">
      <c r="A350" s="117">
        <v>212</v>
      </c>
      <c r="B350" s="117">
        <v>5</v>
      </c>
      <c r="C350" s="117"/>
      <c r="D350" s="117"/>
      <c r="E350" s="117"/>
      <c r="F350" s="117"/>
      <c r="G350" s="117">
        <v>72</v>
      </c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>
        <v>0.08</v>
      </c>
      <c r="Y350" s="117">
        <v>4</v>
      </c>
    </row>
    <row r="351" spans="1:25" ht="14.25" customHeight="1">
      <c r="A351" s="117">
        <v>212</v>
      </c>
      <c r="B351" s="117">
        <v>750</v>
      </c>
      <c r="C351" s="117"/>
      <c r="D351" s="117">
        <v>4</v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>
        <v>0.08</v>
      </c>
      <c r="Y351" s="117">
        <v>1</v>
      </c>
    </row>
    <row r="352" spans="1:25" ht="14.25" customHeight="1">
      <c r="A352" s="117">
        <v>212</v>
      </c>
      <c r="B352" s="117">
        <v>200</v>
      </c>
      <c r="C352" s="117"/>
      <c r="D352" s="117">
        <v>8</v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>
        <v>0.08</v>
      </c>
      <c r="Y352" s="117">
        <v>1</v>
      </c>
    </row>
    <row r="353" spans="1:25" ht="14.25" customHeight="1">
      <c r="A353" s="117">
        <v>212</v>
      </c>
      <c r="B353" s="117">
        <v>75</v>
      </c>
      <c r="C353" s="117"/>
      <c r="D353" s="117">
        <v>11</v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>
        <v>0.08</v>
      </c>
      <c r="Y353" s="117">
        <v>2</v>
      </c>
    </row>
    <row r="354" spans="1:25" ht="14.25" customHeight="1">
      <c r="A354" s="117">
        <v>212</v>
      </c>
      <c r="B354" s="117">
        <v>20</v>
      </c>
      <c r="C354" s="117"/>
      <c r="D354" s="117">
        <v>17</v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>
        <v>0.08</v>
      </c>
      <c r="Y354" s="117">
        <v>3</v>
      </c>
    </row>
    <row r="355" spans="1:25" ht="14.25" customHeight="1">
      <c r="A355" s="117">
        <v>212</v>
      </c>
      <c r="B355" s="117">
        <v>5</v>
      </c>
      <c r="C355" s="117"/>
      <c r="D355" s="117">
        <v>40</v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>
        <v>0.08</v>
      </c>
      <c r="Y355" s="117">
        <v>4</v>
      </c>
    </row>
    <row r="356" spans="1:25" ht="14.25" customHeight="1">
      <c r="A356" s="117">
        <v>212</v>
      </c>
      <c r="B356" s="117">
        <v>500</v>
      </c>
      <c r="C356" s="117"/>
      <c r="D356" s="117"/>
      <c r="E356" s="117">
        <v>6</v>
      </c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>
        <v>0.08</v>
      </c>
      <c r="Y356" s="117">
        <v>1</v>
      </c>
    </row>
    <row r="357" spans="1:25" ht="14.25" customHeight="1">
      <c r="A357" s="117">
        <v>212</v>
      </c>
      <c r="B357" s="117">
        <v>200</v>
      </c>
      <c r="C357" s="117"/>
      <c r="D357" s="117"/>
      <c r="E357" s="117">
        <v>10</v>
      </c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>
        <v>0.08</v>
      </c>
      <c r="Y357" s="117">
        <v>1</v>
      </c>
    </row>
    <row r="358" spans="1:25" ht="14.25" customHeight="1">
      <c r="A358" s="117">
        <v>212</v>
      </c>
      <c r="B358" s="117">
        <v>75</v>
      </c>
      <c r="C358" s="117"/>
      <c r="D358" s="117"/>
      <c r="E358" s="117">
        <v>17</v>
      </c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>
        <v>0.08</v>
      </c>
      <c r="Y358" s="117">
        <v>2</v>
      </c>
    </row>
    <row r="359" spans="1:25" ht="14.25" customHeight="1">
      <c r="A359" s="117">
        <v>212</v>
      </c>
      <c r="B359" s="117">
        <v>20</v>
      </c>
      <c r="C359" s="117"/>
      <c r="D359" s="117"/>
      <c r="E359" s="117">
        <v>30</v>
      </c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>
        <v>0.08</v>
      </c>
      <c r="Y359" s="117">
        <v>3</v>
      </c>
    </row>
    <row r="360" spans="1:25" ht="14.25" customHeight="1">
      <c r="A360" s="117">
        <v>212</v>
      </c>
      <c r="B360" s="117">
        <v>5</v>
      </c>
      <c r="C360" s="117"/>
      <c r="D360" s="117"/>
      <c r="E360" s="117">
        <v>51</v>
      </c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>
        <v>0.08</v>
      </c>
      <c r="Y360" s="117">
        <v>4</v>
      </c>
    </row>
    <row r="361" spans="1:25" ht="14.25" customHeight="1">
      <c r="A361" s="117">
        <v>212</v>
      </c>
      <c r="B361" s="117">
        <v>500</v>
      </c>
      <c r="C361" s="117"/>
      <c r="D361" s="117"/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>
        <v>0.01</v>
      </c>
      <c r="Q361" s="117"/>
      <c r="R361" s="117"/>
      <c r="S361" s="117"/>
      <c r="T361" s="117"/>
      <c r="U361" s="117"/>
      <c r="V361" s="117"/>
      <c r="W361" s="117"/>
      <c r="X361" s="117">
        <v>0.08</v>
      </c>
      <c r="Y361" s="117">
        <v>1</v>
      </c>
    </row>
    <row r="362" spans="1:25" ht="14.25" customHeight="1">
      <c r="A362" s="117">
        <v>212</v>
      </c>
      <c r="B362" s="117">
        <v>200</v>
      </c>
      <c r="C362" s="117"/>
      <c r="D362" s="117"/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>
        <v>0.02</v>
      </c>
      <c r="Q362" s="117"/>
      <c r="R362" s="117"/>
      <c r="S362" s="117"/>
      <c r="T362" s="117"/>
      <c r="U362" s="117"/>
      <c r="V362" s="117"/>
      <c r="W362" s="117"/>
      <c r="X362" s="117">
        <v>0.08</v>
      </c>
      <c r="Y362" s="117">
        <v>1</v>
      </c>
    </row>
    <row r="363" spans="1:25" ht="14.25" customHeight="1">
      <c r="A363" s="117">
        <v>212</v>
      </c>
      <c r="B363" s="117">
        <v>75</v>
      </c>
      <c r="C363" s="117"/>
      <c r="D363" s="117"/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>
        <v>0.04</v>
      </c>
      <c r="Q363" s="117"/>
      <c r="R363" s="117"/>
      <c r="S363" s="117"/>
      <c r="T363" s="117"/>
      <c r="U363" s="117"/>
      <c r="V363" s="117"/>
      <c r="W363" s="117"/>
      <c r="X363" s="117">
        <v>0.08</v>
      </c>
      <c r="Y363" s="117">
        <v>2</v>
      </c>
    </row>
    <row r="364" spans="1:25" ht="14.25" customHeight="1">
      <c r="A364" s="117">
        <v>212</v>
      </c>
      <c r="B364" s="117">
        <v>20</v>
      </c>
      <c r="C364" s="117"/>
      <c r="D364" s="117"/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>
        <v>7.0000000000000007E-2</v>
      </c>
      <c r="Q364" s="117"/>
      <c r="R364" s="117"/>
      <c r="S364" s="117"/>
      <c r="T364" s="117"/>
      <c r="U364" s="117"/>
      <c r="V364" s="117"/>
      <c r="W364" s="117"/>
      <c r="X364" s="117">
        <v>0.08</v>
      </c>
      <c r="Y364" s="117">
        <v>3</v>
      </c>
    </row>
    <row r="365" spans="1:25" ht="14.25" customHeight="1">
      <c r="A365" s="117">
        <v>212</v>
      </c>
      <c r="B365" s="117">
        <v>5</v>
      </c>
      <c r="C365" s="117"/>
      <c r="D365" s="117"/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>
        <v>0.1</v>
      </c>
      <c r="Q365" s="117"/>
      <c r="R365" s="117"/>
      <c r="S365" s="117"/>
      <c r="T365" s="117"/>
      <c r="U365" s="117"/>
      <c r="V365" s="117"/>
      <c r="W365" s="117"/>
      <c r="X365" s="117">
        <v>0.08</v>
      </c>
      <c r="Y365" s="117">
        <v>4</v>
      </c>
    </row>
    <row r="366" spans="1:25" ht="14.25" customHeight="1">
      <c r="A366" s="117">
        <v>212</v>
      </c>
      <c r="B366" s="117">
        <v>550</v>
      </c>
      <c r="C366" s="117"/>
      <c r="D366" s="117"/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>
        <v>0.02</v>
      </c>
      <c r="X366" s="117">
        <v>0.08</v>
      </c>
      <c r="Y366" s="117">
        <v>1</v>
      </c>
    </row>
    <row r="367" spans="1:25" ht="14.25" customHeight="1">
      <c r="A367" s="117">
        <v>212</v>
      </c>
      <c r="B367" s="117">
        <v>100</v>
      </c>
      <c r="C367" s="117"/>
      <c r="D367" s="117"/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>
        <v>0.04</v>
      </c>
      <c r="X367" s="117">
        <v>0.08</v>
      </c>
      <c r="Y367" s="117">
        <v>1</v>
      </c>
    </row>
    <row r="368" spans="1:25" ht="14.25" customHeight="1">
      <c r="A368" s="117">
        <v>212</v>
      </c>
      <c r="B368" s="117">
        <v>35</v>
      </c>
      <c r="C368" s="117"/>
      <c r="D368" s="117"/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>
        <v>0.08</v>
      </c>
      <c r="X368" s="117">
        <v>0.08</v>
      </c>
      <c r="Y368" s="117">
        <v>2</v>
      </c>
    </row>
    <row r="369" spans="1:25" ht="14.25" customHeight="1">
      <c r="A369" s="117">
        <v>212</v>
      </c>
      <c r="B369" s="117">
        <v>10</v>
      </c>
      <c r="C369" s="117"/>
      <c r="D369" s="117"/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>
        <v>1.2999999999999999E-2</v>
      </c>
      <c r="X369" s="117">
        <v>0.08</v>
      </c>
      <c r="Y369" s="117">
        <v>3</v>
      </c>
    </row>
    <row r="370" spans="1:25" ht="14.25" customHeight="1">
      <c r="A370" s="117">
        <v>212</v>
      </c>
      <c r="B370" s="117">
        <v>5</v>
      </c>
      <c r="C370" s="117"/>
      <c r="D370" s="117"/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>
        <v>0.2</v>
      </c>
      <c r="X370" s="117">
        <v>0.08</v>
      </c>
      <c r="Y370" s="117">
        <v>4</v>
      </c>
    </row>
    <row r="371" spans="1:25" ht="14.25" customHeight="1">
      <c r="A371" s="117">
        <v>212</v>
      </c>
      <c r="B371" s="117">
        <v>550</v>
      </c>
      <c r="C371" s="117"/>
      <c r="D371" s="117"/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>
        <v>0.01</v>
      </c>
      <c r="W371" s="117"/>
      <c r="X371" s="117">
        <v>0.08</v>
      </c>
      <c r="Y371" s="117">
        <v>1</v>
      </c>
    </row>
    <row r="372" spans="1:25" ht="14.25" customHeight="1">
      <c r="A372" s="117">
        <v>212</v>
      </c>
      <c r="B372" s="117">
        <v>100</v>
      </c>
      <c r="C372" s="117"/>
      <c r="D372" s="117"/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>
        <v>0.03</v>
      </c>
      <c r="W372" s="117"/>
      <c r="X372" s="117">
        <v>0.08</v>
      </c>
      <c r="Y372" s="117">
        <v>1</v>
      </c>
    </row>
    <row r="373" spans="1:25" ht="14.25" customHeight="1">
      <c r="A373" s="117">
        <v>212</v>
      </c>
      <c r="B373" s="117">
        <v>35</v>
      </c>
      <c r="C373" s="117"/>
      <c r="D373" s="117"/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>
        <v>0.06</v>
      </c>
      <c r="W373" s="117"/>
      <c r="X373" s="117">
        <v>0.08</v>
      </c>
      <c r="Y373" s="117">
        <v>2</v>
      </c>
    </row>
    <row r="374" spans="1:25" ht="14.25" customHeight="1">
      <c r="A374" s="117">
        <v>212</v>
      </c>
      <c r="B374" s="117">
        <v>10</v>
      </c>
      <c r="C374" s="117"/>
      <c r="D374" s="117"/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>
        <v>0.1</v>
      </c>
      <c r="W374" s="117"/>
      <c r="X374" s="117">
        <v>0.08</v>
      </c>
      <c r="Y374" s="117">
        <v>3</v>
      </c>
    </row>
    <row r="375" spans="1:25" ht="14.25" customHeight="1">
      <c r="A375" s="117">
        <v>212</v>
      </c>
      <c r="B375" s="117">
        <v>5</v>
      </c>
      <c r="C375" s="117"/>
      <c r="D375" s="117"/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>
        <v>0.15</v>
      </c>
      <c r="W375" s="117"/>
      <c r="X375" s="117">
        <v>0.08</v>
      </c>
      <c r="Y375" s="117">
        <v>4</v>
      </c>
    </row>
    <row r="376" spans="1:25" ht="14.25" customHeight="1">
      <c r="A376" s="117">
        <v>212</v>
      </c>
      <c r="B376" s="117">
        <v>550</v>
      </c>
      <c r="C376" s="117"/>
      <c r="D376" s="117"/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>
        <v>0.02</v>
      </c>
      <c r="T376" s="117"/>
      <c r="U376" s="117"/>
      <c r="V376" s="117"/>
      <c r="W376" s="117"/>
      <c r="X376" s="117">
        <v>0.08</v>
      </c>
      <c r="Y376" s="117">
        <v>1</v>
      </c>
    </row>
    <row r="377" spans="1:25" ht="14.25" customHeight="1">
      <c r="A377" s="117">
        <v>212</v>
      </c>
      <c r="B377" s="117">
        <v>100</v>
      </c>
      <c r="C377" s="117"/>
      <c r="D377" s="117"/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>
        <v>0.04</v>
      </c>
      <c r="T377" s="117"/>
      <c r="U377" s="117"/>
      <c r="V377" s="117"/>
      <c r="W377" s="117"/>
      <c r="X377" s="117">
        <v>0.08</v>
      </c>
      <c r="Y377" s="117">
        <v>1</v>
      </c>
    </row>
    <row r="378" spans="1:25" ht="14.25" customHeight="1">
      <c r="A378" s="117">
        <v>212</v>
      </c>
      <c r="B378" s="117">
        <v>35</v>
      </c>
      <c r="C378" s="117"/>
      <c r="D378" s="117"/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>
        <v>0.08</v>
      </c>
      <c r="T378" s="117"/>
      <c r="U378" s="117"/>
      <c r="V378" s="117"/>
      <c r="W378" s="117"/>
      <c r="X378" s="117">
        <v>0.08</v>
      </c>
      <c r="Y378" s="117">
        <v>2</v>
      </c>
    </row>
    <row r="379" spans="1:25" ht="14.25" customHeight="1">
      <c r="A379" s="117">
        <v>212</v>
      </c>
      <c r="B379" s="117">
        <v>10</v>
      </c>
      <c r="C379" s="117"/>
      <c r="D379" s="117"/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>
        <v>1.2999999999999999E-2</v>
      </c>
      <c r="T379" s="117"/>
      <c r="U379" s="117"/>
      <c r="V379" s="117"/>
      <c r="W379" s="117"/>
      <c r="X379" s="117">
        <v>0.08</v>
      </c>
      <c r="Y379" s="117">
        <v>3</v>
      </c>
    </row>
    <row r="380" spans="1:25" ht="14.25" customHeight="1">
      <c r="A380" s="117">
        <v>212</v>
      </c>
      <c r="B380" s="117">
        <v>5</v>
      </c>
      <c r="C380" s="117"/>
      <c r="D380" s="117"/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>
        <v>0.2</v>
      </c>
      <c r="T380" s="117"/>
      <c r="U380" s="117"/>
      <c r="V380" s="117"/>
      <c r="W380" s="117"/>
      <c r="X380" s="117">
        <v>0.08</v>
      </c>
      <c r="Y380" s="117">
        <v>4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12"/>
  <sheetViews>
    <sheetView zoomScaleNormal="100" workbookViewId="0">
      <selection activeCell="J20" sqref="J20"/>
    </sheetView>
  </sheetViews>
  <sheetFormatPr defaultColWidth="12.5703125" defaultRowHeight="12.75"/>
  <sheetData>
    <row r="1" spans="1:2" ht="14.25" customHeight="1">
      <c r="A1" s="6" t="s">
        <v>0</v>
      </c>
      <c r="B1" s="6" t="s">
        <v>3747</v>
      </c>
    </row>
    <row r="2" spans="1:2" ht="14.25" customHeight="1">
      <c r="A2" s="6">
        <v>1000</v>
      </c>
      <c r="B2" s="6">
        <v>9999</v>
      </c>
    </row>
    <row r="3" spans="1:2" ht="14.25" customHeight="1">
      <c r="A3" s="6">
        <v>1001</v>
      </c>
      <c r="B3" s="6">
        <v>3000</v>
      </c>
    </row>
    <row r="4" spans="1:2" ht="14.25" customHeight="1">
      <c r="A4" s="6">
        <v>8001</v>
      </c>
      <c r="B4" s="6">
        <v>9999</v>
      </c>
    </row>
    <row r="5" spans="1:2" ht="14.25" customHeight="1">
      <c r="A5" s="6">
        <v>8002</v>
      </c>
      <c r="B5" s="6">
        <v>9999</v>
      </c>
    </row>
    <row r="6" spans="1:2" ht="14.25" customHeight="1">
      <c r="A6" s="6">
        <v>8003</v>
      </c>
      <c r="B6" s="6">
        <v>9999</v>
      </c>
    </row>
    <row r="7" spans="1:2" ht="14.25" customHeight="1">
      <c r="A7" s="6">
        <v>2000</v>
      </c>
      <c r="B7" s="6">
        <v>9999</v>
      </c>
    </row>
    <row r="8" spans="1:2" ht="14.25" customHeight="1">
      <c r="A8" s="6">
        <v>2001</v>
      </c>
      <c r="B8" s="6">
        <v>9999</v>
      </c>
    </row>
    <row r="9" spans="1:2" ht="14.25" customHeight="1">
      <c r="A9" s="6">
        <v>2002</v>
      </c>
      <c r="B9" s="6">
        <v>9999</v>
      </c>
    </row>
    <row r="10" spans="1:2" ht="14.25" customHeight="1">
      <c r="A10" s="6">
        <v>2005</v>
      </c>
      <c r="B10" s="6">
        <v>100</v>
      </c>
    </row>
    <row r="11" spans="1:2" ht="14.25" customHeight="1">
      <c r="A11" s="6">
        <v>2006</v>
      </c>
      <c r="B11" s="6">
        <v>100</v>
      </c>
    </row>
    <row r="12" spans="1:2" ht="14.25" customHeight="1">
      <c r="A12" s="6"/>
      <c r="B12" s="6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50"/>
  <sheetViews>
    <sheetView zoomScaleNormal="100" workbookViewId="0">
      <selection activeCell="A2" sqref="A2"/>
    </sheetView>
  </sheetViews>
  <sheetFormatPr defaultColWidth="12.5703125" defaultRowHeight="12.75"/>
  <cols>
    <col min="2" max="2" width="19" customWidth="1"/>
  </cols>
  <sheetData>
    <row r="1" spans="1:3" ht="14.25" customHeight="1">
      <c r="A1" s="40" t="s">
        <v>0</v>
      </c>
      <c r="B1" s="48" t="s">
        <v>3748</v>
      </c>
      <c r="C1" s="40" t="s">
        <v>3749</v>
      </c>
    </row>
    <row r="2" spans="1:3" ht="15" customHeight="1">
      <c r="A2" s="6">
        <v>8000</v>
      </c>
      <c r="B2" s="124" t="s">
        <v>178</v>
      </c>
      <c r="C2" s="6">
        <v>9999</v>
      </c>
    </row>
    <row r="3" spans="1:3" ht="15" customHeight="1">
      <c r="A3" s="6">
        <v>8001</v>
      </c>
      <c r="B3" s="124" t="s">
        <v>200</v>
      </c>
      <c r="C3" s="6">
        <v>9999</v>
      </c>
    </row>
    <row r="4" spans="1:3" ht="15" customHeight="1">
      <c r="A4" s="6">
        <v>8002</v>
      </c>
      <c r="B4" s="124" t="s">
        <v>3750</v>
      </c>
      <c r="C4" s="6">
        <v>9999</v>
      </c>
    </row>
    <row r="5" spans="1:3" ht="15" customHeight="1">
      <c r="A5" s="6">
        <v>8003</v>
      </c>
      <c r="B5" s="124" t="s">
        <v>3751</v>
      </c>
      <c r="C5" s="6">
        <v>9999</v>
      </c>
    </row>
    <row r="6" spans="1:3" ht="15" customHeight="1">
      <c r="A6" s="6">
        <v>8003</v>
      </c>
      <c r="B6" s="124" t="s">
        <v>3752</v>
      </c>
      <c r="C6" s="6">
        <v>9999</v>
      </c>
    </row>
    <row r="7" spans="1:3" ht="15" customHeight="1">
      <c r="A7" s="6">
        <v>1000</v>
      </c>
      <c r="B7" s="124" t="s">
        <v>3753</v>
      </c>
      <c r="C7" s="6">
        <v>99</v>
      </c>
    </row>
    <row r="8" spans="1:3" ht="15" customHeight="1">
      <c r="A8" s="6">
        <v>1001</v>
      </c>
      <c r="B8" s="124" t="s">
        <v>3754</v>
      </c>
      <c r="C8" s="6">
        <v>99</v>
      </c>
    </row>
    <row r="9" spans="1:3" ht="15" customHeight="1">
      <c r="A9" s="6">
        <v>2000</v>
      </c>
      <c r="B9" s="124" t="s">
        <v>3755</v>
      </c>
      <c r="C9" s="6">
        <v>1</v>
      </c>
    </row>
    <row r="10" spans="1:3" ht="15" customHeight="1">
      <c r="A10" s="6">
        <v>2001</v>
      </c>
      <c r="B10" s="124" t="s">
        <v>3756</v>
      </c>
      <c r="C10" s="6">
        <v>1</v>
      </c>
    </row>
    <row r="11" spans="1:3" ht="15" customHeight="1">
      <c r="A11" s="6">
        <v>2002</v>
      </c>
      <c r="B11" s="124" t="s">
        <v>3757</v>
      </c>
      <c r="C11" s="6">
        <v>1</v>
      </c>
    </row>
    <row r="12" spans="1:3" ht="15" customHeight="1">
      <c r="A12" s="6">
        <v>2003</v>
      </c>
      <c r="B12" s="124" t="s">
        <v>3758</v>
      </c>
      <c r="C12" s="6">
        <v>1</v>
      </c>
    </row>
    <row r="13" spans="1:3" ht="15" customHeight="1">
      <c r="A13" s="6">
        <v>2004</v>
      </c>
      <c r="B13" s="124" t="s">
        <v>3759</v>
      </c>
      <c r="C13" s="6">
        <v>1</v>
      </c>
    </row>
    <row r="14" spans="1:3" ht="15" customHeight="1">
      <c r="A14" s="6">
        <v>2005</v>
      </c>
      <c r="B14" s="124" t="s">
        <v>3760</v>
      </c>
      <c r="C14" s="6">
        <v>1</v>
      </c>
    </row>
    <row r="15" spans="1:3" ht="15" customHeight="1">
      <c r="A15" s="6">
        <v>2006</v>
      </c>
      <c r="B15" s="124" t="s">
        <v>3761</v>
      </c>
      <c r="C15" s="6">
        <v>1</v>
      </c>
    </row>
    <row r="16" spans="1:3" ht="15" customHeight="1">
      <c r="A16" s="6">
        <v>2007</v>
      </c>
      <c r="B16" s="124" t="s">
        <v>3762</v>
      </c>
      <c r="C16" s="6">
        <v>1</v>
      </c>
    </row>
    <row r="17" spans="1:3" ht="15" customHeight="1">
      <c r="A17" s="6">
        <v>2008</v>
      </c>
      <c r="B17" s="124" t="s">
        <v>3763</v>
      </c>
      <c r="C17" s="6">
        <v>1</v>
      </c>
    </row>
    <row r="18" spans="1:3" ht="15" customHeight="1">
      <c r="A18" s="6">
        <v>2009</v>
      </c>
      <c r="B18" s="124" t="s">
        <v>3764</v>
      </c>
      <c r="C18" s="6">
        <v>1</v>
      </c>
    </row>
    <row r="19" spans="1:3" ht="15" customHeight="1">
      <c r="A19" s="6">
        <v>9000</v>
      </c>
      <c r="B19" s="124" t="s">
        <v>3765</v>
      </c>
      <c r="C19" s="6">
        <v>100</v>
      </c>
    </row>
    <row r="20" spans="1:3" ht="15" customHeight="1">
      <c r="A20" s="6">
        <f>card!A3-900</f>
        <v>9101</v>
      </c>
      <c r="B20" s="124" t="s">
        <v>3766</v>
      </c>
      <c r="C20" s="6">
        <v>100</v>
      </c>
    </row>
    <row r="21" spans="1:3" ht="15" customHeight="1">
      <c r="A21" s="6">
        <f>card!A4-900</f>
        <v>9102</v>
      </c>
      <c r="B21" s="124" t="s">
        <v>3767</v>
      </c>
      <c r="C21" s="6">
        <v>100</v>
      </c>
    </row>
    <row r="22" spans="1:3" ht="15" customHeight="1">
      <c r="A22" s="6">
        <f>card!A5-900</f>
        <v>9103</v>
      </c>
      <c r="B22" s="124" t="s">
        <v>3768</v>
      </c>
      <c r="C22" s="6">
        <v>100</v>
      </c>
    </row>
    <row r="23" spans="1:3" ht="15" customHeight="1">
      <c r="A23" s="6">
        <f>card!A6-900</f>
        <v>9104</v>
      </c>
      <c r="B23" s="124" t="s">
        <v>3769</v>
      </c>
      <c r="C23" s="6">
        <v>100</v>
      </c>
    </row>
    <row r="24" spans="1:3" ht="15" customHeight="1">
      <c r="A24" s="6">
        <f>card!A7-900</f>
        <v>9105</v>
      </c>
      <c r="B24" s="124" t="s">
        <v>3770</v>
      </c>
      <c r="C24" s="6">
        <v>100</v>
      </c>
    </row>
    <row r="25" spans="1:3" ht="15" customHeight="1">
      <c r="A25" s="6">
        <f>card!A8-900</f>
        <v>9106</v>
      </c>
      <c r="B25" s="124" t="s">
        <v>3771</v>
      </c>
      <c r="C25" s="6">
        <v>100</v>
      </c>
    </row>
    <row r="26" spans="1:3" ht="15" customHeight="1">
      <c r="A26" s="6">
        <f>card!A9-900</f>
        <v>9107</v>
      </c>
      <c r="B26" s="124" t="s">
        <v>3772</v>
      </c>
      <c r="C26" s="6">
        <v>100</v>
      </c>
    </row>
    <row r="27" spans="1:3" ht="15" customHeight="1">
      <c r="A27" s="6">
        <f>card!A10-900</f>
        <v>9108</v>
      </c>
      <c r="B27" s="124" t="s">
        <v>3773</v>
      </c>
      <c r="C27" s="6">
        <v>100</v>
      </c>
    </row>
    <row r="28" spans="1:3" ht="15" customHeight="1">
      <c r="A28" s="6">
        <f>card!A11-900</f>
        <v>9109</v>
      </c>
      <c r="B28" s="124" t="s">
        <v>3774</v>
      </c>
      <c r="C28" s="6">
        <v>100</v>
      </c>
    </row>
    <row r="29" spans="1:3" ht="15" customHeight="1">
      <c r="A29" s="6">
        <f>card!A12-900</f>
        <v>9110</v>
      </c>
      <c r="B29" s="124" t="s">
        <v>3775</v>
      </c>
      <c r="C29" s="6">
        <v>100</v>
      </c>
    </row>
    <row r="30" spans="1:3" ht="15" customHeight="1">
      <c r="A30" s="6">
        <f>card!A13-900</f>
        <v>9111</v>
      </c>
      <c r="B30" s="124" t="s">
        <v>3776</v>
      </c>
      <c r="C30" s="6">
        <v>100</v>
      </c>
    </row>
    <row r="31" spans="1:3" ht="15" customHeight="1">
      <c r="A31" s="6">
        <f>card!A14-900</f>
        <v>9112</v>
      </c>
      <c r="B31" s="124" t="s">
        <v>3777</v>
      </c>
      <c r="C31" s="6">
        <v>100</v>
      </c>
    </row>
    <row r="32" spans="1:3" ht="15" customHeight="1">
      <c r="A32" s="6">
        <f>card!A15-900</f>
        <v>9113</v>
      </c>
      <c r="B32" s="124" t="s">
        <v>3778</v>
      </c>
      <c r="C32" s="6">
        <v>100</v>
      </c>
    </row>
    <row r="33" spans="1:3" ht="15" customHeight="1">
      <c r="A33" s="6">
        <f>card!A16-900</f>
        <v>9114</v>
      </c>
      <c r="B33" s="124" t="s">
        <v>3779</v>
      </c>
      <c r="C33" s="6">
        <v>100</v>
      </c>
    </row>
    <row r="34" spans="1:3" ht="15" customHeight="1">
      <c r="A34" s="6">
        <f>card!A17-900</f>
        <v>9115</v>
      </c>
      <c r="B34" s="124" t="s">
        <v>3780</v>
      </c>
      <c r="C34" s="6">
        <v>100</v>
      </c>
    </row>
    <row r="35" spans="1:3" ht="15" customHeight="1">
      <c r="A35" s="6">
        <f>card!A18-900</f>
        <v>9116</v>
      </c>
      <c r="B35" s="124" t="s">
        <v>3781</v>
      </c>
      <c r="C35" s="6">
        <v>100</v>
      </c>
    </row>
    <row r="36" spans="1:3" ht="15" customHeight="1">
      <c r="A36" s="6">
        <f>card!A19-900</f>
        <v>9117</v>
      </c>
      <c r="B36" s="124" t="s">
        <v>3782</v>
      </c>
      <c r="C36" s="6">
        <v>100</v>
      </c>
    </row>
    <row r="37" spans="1:3" ht="15" customHeight="1">
      <c r="A37" s="6">
        <f>card!A20-900</f>
        <v>9118</v>
      </c>
      <c r="B37" s="124" t="s">
        <v>3783</v>
      </c>
      <c r="C37" s="6">
        <v>100</v>
      </c>
    </row>
    <row r="38" spans="1:3" ht="15" customHeight="1">
      <c r="A38" s="6">
        <f>card!A21-900</f>
        <v>9119</v>
      </c>
      <c r="B38" s="124" t="s">
        <v>3784</v>
      </c>
      <c r="C38" s="6">
        <v>100</v>
      </c>
    </row>
    <row r="39" spans="1:3" ht="15" customHeight="1">
      <c r="A39" s="6">
        <f>card!A22-900</f>
        <v>9120</v>
      </c>
      <c r="B39" s="124" t="s">
        <v>3785</v>
      </c>
      <c r="C39" s="6">
        <v>100</v>
      </c>
    </row>
    <row r="40" spans="1:3" ht="15" customHeight="1">
      <c r="A40" s="6">
        <f>card!A23-900</f>
        <v>9121</v>
      </c>
      <c r="B40" s="124" t="s">
        <v>3786</v>
      </c>
      <c r="C40" s="6">
        <v>100</v>
      </c>
    </row>
    <row r="41" spans="1:3" ht="15" customHeight="1">
      <c r="A41" s="6">
        <f>card!A24-900</f>
        <v>9122</v>
      </c>
      <c r="B41" s="124" t="s">
        <v>3787</v>
      </c>
      <c r="C41" s="6">
        <v>100</v>
      </c>
    </row>
    <row r="42" spans="1:3" ht="15" customHeight="1">
      <c r="A42" s="6">
        <f>card!A25-900</f>
        <v>9123</v>
      </c>
      <c r="B42" s="124" t="s">
        <v>3788</v>
      </c>
      <c r="C42" s="6">
        <v>100</v>
      </c>
    </row>
    <row r="43" spans="1:3" ht="15" customHeight="1">
      <c r="A43" s="6">
        <f>card!A26-900</f>
        <v>9124</v>
      </c>
      <c r="B43" s="124" t="s">
        <v>3789</v>
      </c>
      <c r="C43" s="6">
        <v>100</v>
      </c>
    </row>
    <row r="44" spans="1:3" ht="15" customHeight="1">
      <c r="A44" s="6">
        <f>card!A27-900</f>
        <v>9125</v>
      </c>
      <c r="B44" s="124" t="s">
        <v>3790</v>
      </c>
      <c r="C44" s="6">
        <v>100</v>
      </c>
    </row>
    <row r="45" spans="1:3" ht="15" customHeight="1">
      <c r="A45" s="6">
        <f>card!A28-900</f>
        <v>9126</v>
      </c>
      <c r="B45" s="124" t="s">
        <v>3791</v>
      </c>
      <c r="C45" s="6">
        <v>100</v>
      </c>
    </row>
    <row r="46" spans="1:3" ht="15" customHeight="1">
      <c r="A46" s="6">
        <f>card!A29-900</f>
        <v>9127</v>
      </c>
      <c r="B46" s="124" t="s">
        <v>3792</v>
      </c>
      <c r="C46" s="6">
        <v>100</v>
      </c>
    </row>
    <row r="47" spans="1:3" ht="15" customHeight="1">
      <c r="A47" s="6">
        <f>card!A30-900</f>
        <v>9128</v>
      </c>
      <c r="B47" s="124" t="s">
        <v>3793</v>
      </c>
      <c r="C47" s="6">
        <v>100</v>
      </c>
    </row>
    <row r="48" spans="1:3" ht="15" customHeight="1">
      <c r="A48" s="6">
        <f>card!A31-900</f>
        <v>9129</v>
      </c>
      <c r="B48" s="124" t="s">
        <v>3794</v>
      </c>
      <c r="C48" s="6">
        <v>100</v>
      </c>
    </row>
    <row r="49" spans="1:3" ht="15" customHeight="1">
      <c r="A49" s="6">
        <f>card!A32-900</f>
        <v>9130</v>
      </c>
      <c r="B49" s="124" t="s">
        <v>3795</v>
      </c>
      <c r="C49" s="6">
        <v>100</v>
      </c>
    </row>
    <row r="50" spans="1:3" ht="14.25" customHeight="1">
      <c r="A50" s="6">
        <f>card!A33-900</f>
        <v>9131</v>
      </c>
      <c r="B50" s="8" t="s">
        <v>3796</v>
      </c>
      <c r="C50" s="6">
        <v>100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601"/>
  <sheetViews>
    <sheetView zoomScaleNormal="100" workbookViewId="0">
      <selection activeCell="G8" sqref="G8"/>
    </sheetView>
  </sheetViews>
  <sheetFormatPr defaultColWidth="12.5703125" defaultRowHeight="12.75"/>
  <cols>
    <col min="1" max="1" width="5.5703125" customWidth="1"/>
    <col min="2" max="2" width="43.85546875" customWidth="1"/>
    <col min="3" max="3" width="4.42578125" customWidth="1"/>
    <col min="4" max="4" width="23.85546875" customWidth="1"/>
    <col min="5" max="5" width="16.140625" customWidth="1"/>
    <col min="6" max="6" width="13.42578125" customWidth="1"/>
    <col min="7" max="7" width="11.85546875" customWidth="1"/>
    <col min="8" max="8" width="16.140625" customWidth="1"/>
    <col min="9" max="9" width="13.42578125" customWidth="1"/>
  </cols>
  <sheetData>
    <row r="1" spans="1:27" ht="14.25" customHeight="1">
      <c r="A1" s="2" t="s">
        <v>1603</v>
      </c>
      <c r="B1" s="2" t="s">
        <v>3797</v>
      </c>
      <c r="C1" s="2" t="s">
        <v>63</v>
      </c>
      <c r="D1" s="2" t="s">
        <v>3798</v>
      </c>
      <c r="E1" s="2" t="s">
        <v>3799</v>
      </c>
      <c r="F1" s="2" t="s">
        <v>3800</v>
      </c>
      <c r="G1" s="2" t="s">
        <v>3801</v>
      </c>
      <c r="H1" s="2" t="s">
        <v>3802</v>
      </c>
      <c r="I1" s="2" t="s">
        <v>3803</v>
      </c>
      <c r="J1" s="2" t="s">
        <v>3804</v>
      </c>
      <c r="K1" s="2" t="s">
        <v>3805</v>
      </c>
      <c r="L1" s="2" t="s">
        <v>3806</v>
      </c>
      <c r="M1" s="2" t="s">
        <v>3807</v>
      </c>
      <c r="N1" s="2" t="s">
        <v>3808</v>
      </c>
      <c r="O1" s="2" t="s">
        <v>3809</v>
      </c>
      <c r="P1" t="s">
        <v>3810</v>
      </c>
      <c r="Q1" t="s">
        <v>3811</v>
      </c>
      <c r="R1" t="s">
        <v>3812</v>
      </c>
      <c r="S1" t="s">
        <v>3813</v>
      </c>
      <c r="T1" t="s">
        <v>3814</v>
      </c>
      <c r="U1" t="s">
        <v>3815</v>
      </c>
      <c r="V1" t="s">
        <v>3816</v>
      </c>
      <c r="W1" t="s">
        <v>3817</v>
      </c>
      <c r="X1" t="s">
        <v>3818</v>
      </c>
      <c r="Y1" t="s">
        <v>3819</v>
      </c>
      <c r="Z1" t="s">
        <v>3820</v>
      </c>
      <c r="AA1" t="s">
        <v>3821</v>
      </c>
    </row>
    <row r="2" spans="1:27" ht="14.25" customHeight="1">
      <c r="A2" s="2">
        <v>1000</v>
      </c>
      <c r="B2" s="52" t="s">
        <v>3822</v>
      </c>
      <c r="C2" s="2">
        <v>1</v>
      </c>
      <c r="D2" s="134" t="s">
        <v>4531</v>
      </c>
      <c r="E2" s="2">
        <v>1</v>
      </c>
      <c r="F2" s="2">
        <v>0.05</v>
      </c>
      <c r="G2" s="6">
        <v>8001</v>
      </c>
      <c r="H2" s="2">
        <v>40</v>
      </c>
      <c r="I2" s="2">
        <v>1</v>
      </c>
      <c r="J2" s="6">
        <v>8000</v>
      </c>
      <c r="K2" s="2">
        <v>60</v>
      </c>
      <c r="L2" s="2">
        <v>1</v>
      </c>
      <c r="M2" s="6">
        <v>2007</v>
      </c>
      <c r="N2" s="2">
        <v>1</v>
      </c>
      <c r="O2" s="2">
        <v>0.05</v>
      </c>
      <c r="P2">
        <v>9000</v>
      </c>
      <c r="Q2">
        <v>10</v>
      </c>
      <c r="R2">
        <v>1</v>
      </c>
      <c r="S2" t="s">
        <v>3824</v>
      </c>
      <c r="T2">
        <v>2</v>
      </c>
      <c r="U2">
        <v>0.5</v>
      </c>
      <c r="V2">
        <v>1000</v>
      </c>
      <c r="W2">
        <v>625</v>
      </c>
      <c r="X2">
        <v>1</v>
      </c>
      <c r="Y2">
        <v>2006</v>
      </c>
      <c r="Z2">
        <v>1</v>
      </c>
      <c r="AA2">
        <v>0.03</v>
      </c>
    </row>
    <row r="3" spans="1:27" ht="14.25" customHeight="1">
      <c r="A3" s="2">
        <v>1001</v>
      </c>
      <c r="B3" s="52" t="s">
        <v>3825</v>
      </c>
      <c r="C3" s="2">
        <v>1</v>
      </c>
      <c r="D3" s="2" t="s">
        <v>3823</v>
      </c>
      <c r="E3" s="2">
        <v>1</v>
      </c>
      <c r="F3" s="2">
        <v>0.05</v>
      </c>
      <c r="G3" s="6">
        <v>8001</v>
      </c>
      <c r="H3" s="2">
        <v>40</v>
      </c>
      <c r="I3" s="2">
        <v>1</v>
      </c>
      <c r="J3" s="6">
        <v>8000</v>
      </c>
      <c r="K3" s="2">
        <v>60</v>
      </c>
      <c r="L3" s="2">
        <v>1</v>
      </c>
      <c r="M3" s="6">
        <v>2007</v>
      </c>
      <c r="N3" s="2">
        <v>1</v>
      </c>
      <c r="O3" s="2">
        <v>0.05</v>
      </c>
      <c r="P3">
        <v>9000</v>
      </c>
      <c r="Q3">
        <v>10</v>
      </c>
      <c r="R3">
        <v>1</v>
      </c>
      <c r="S3" t="s">
        <v>3824</v>
      </c>
      <c r="T3">
        <v>2</v>
      </c>
      <c r="U3">
        <v>0.5</v>
      </c>
      <c r="V3">
        <v>1000</v>
      </c>
      <c r="W3">
        <v>625</v>
      </c>
      <c r="X3">
        <v>1</v>
      </c>
      <c r="Y3">
        <v>2006</v>
      </c>
      <c r="Z3">
        <v>1</v>
      </c>
      <c r="AA3">
        <v>0.03</v>
      </c>
    </row>
    <row r="4" spans="1:27" ht="14.25" customHeight="1">
      <c r="A4" s="2">
        <v>1002</v>
      </c>
      <c r="B4" s="52" t="s">
        <v>3826</v>
      </c>
      <c r="C4" s="2">
        <v>2</v>
      </c>
      <c r="D4" s="2" t="s">
        <v>3823</v>
      </c>
      <c r="E4" s="2">
        <v>1</v>
      </c>
      <c r="F4" s="2">
        <v>0.05</v>
      </c>
      <c r="G4" s="6">
        <v>8001</v>
      </c>
      <c r="H4" s="2">
        <v>40</v>
      </c>
      <c r="I4" s="2">
        <v>1</v>
      </c>
      <c r="J4" s="6">
        <v>8000</v>
      </c>
      <c r="K4" s="2">
        <v>60</v>
      </c>
      <c r="L4" s="2">
        <v>1</v>
      </c>
      <c r="M4" s="6">
        <v>2007</v>
      </c>
      <c r="N4" s="2">
        <v>1</v>
      </c>
      <c r="O4" s="2">
        <v>0.05</v>
      </c>
      <c r="P4">
        <v>9000</v>
      </c>
      <c r="Q4">
        <v>10</v>
      </c>
      <c r="R4">
        <v>1</v>
      </c>
      <c r="S4" t="s">
        <v>3824</v>
      </c>
      <c r="T4">
        <v>2</v>
      </c>
      <c r="U4">
        <v>0.5</v>
      </c>
      <c r="V4">
        <v>1000</v>
      </c>
      <c r="W4">
        <v>625</v>
      </c>
      <c r="X4">
        <v>1</v>
      </c>
      <c r="Y4">
        <v>2006</v>
      </c>
      <c r="Z4">
        <v>1</v>
      </c>
      <c r="AA4">
        <v>0.03</v>
      </c>
    </row>
    <row r="5" spans="1:27" ht="14.25" customHeight="1">
      <c r="A5" s="2">
        <v>1003</v>
      </c>
      <c r="B5" s="52" t="s">
        <v>3827</v>
      </c>
      <c r="C5" s="2">
        <v>2</v>
      </c>
      <c r="D5" s="2" t="s">
        <v>3823</v>
      </c>
      <c r="E5" s="2">
        <v>1</v>
      </c>
      <c r="F5" s="2">
        <v>0.05</v>
      </c>
      <c r="G5" s="6">
        <v>8001</v>
      </c>
      <c r="H5" s="2">
        <v>40</v>
      </c>
      <c r="I5" s="2">
        <v>1</v>
      </c>
      <c r="J5" s="6">
        <v>8000</v>
      </c>
      <c r="K5" s="2">
        <v>60</v>
      </c>
      <c r="L5" s="2">
        <v>1</v>
      </c>
      <c r="M5" s="6">
        <v>2007</v>
      </c>
      <c r="N5" s="2">
        <v>1</v>
      </c>
      <c r="O5" s="2">
        <v>0.05</v>
      </c>
      <c r="P5">
        <v>9000</v>
      </c>
      <c r="Q5">
        <v>10</v>
      </c>
      <c r="R5">
        <v>1</v>
      </c>
      <c r="S5" t="s">
        <v>3824</v>
      </c>
      <c r="T5">
        <v>2</v>
      </c>
      <c r="U5">
        <v>0.5</v>
      </c>
      <c r="V5">
        <v>1000</v>
      </c>
      <c r="W5">
        <v>625</v>
      </c>
      <c r="X5">
        <v>1</v>
      </c>
      <c r="Y5">
        <v>2006</v>
      </c>
      <c r="Z5">
        <v>1</v>
      </c>
      <c r="AA5">
        <v>0.03</v>
      </c>
    </row>
    <row r="6" spans="1:27" ht="14.25" customHeight="1">
      <c r="A6" s="2">
        <v>1004</v>
      </c>
      <c r="B6" s="52" t="s">
        <v>3828</v>
      </c>
      <c r="C6" s="2">
        <v>3</v>
      </c>
      <c r="D6" s="2" t="s">
        <v>3823</v>
      </c>
      <c r="E6" s="2">
        <v>1</v>
      </c>
      <c r="F6" s="2">
        <v>0.05</v>
      </c>
      <c r="G6" s="6">
        <v>8001</v>
      </c>
      <c r="H6" s="2">
        <v>40</v>
      </c>
      <c r="I6" s="2">
        <v>1</v>
      </c>
      <c r="J6" s="6">
        <v>8000</v>
      </c>
      <c r="K6" s="2">
        <v>60</v>
      </c>
      <c r="L6" s="2">
        <v>1</v>
      </c>
      <c r="M6" s="6">
        <v>2007</v>
      </c>
      <c r="N6" s="2">
        <v>1</v>
      </c>
      <c r="O6" s="2">
        <v>0.05</v>
      </c>
      <c r="P6">
        <v>9000</v>
      </c>
      <c r="Q6">
        <v>10</v>
      </c>
      <c r="R6">
        <v>1</v>
      </c>
      <c r="S6" t="s">
        <v>3824</v>
      </c>
      <c r="T6">
        <v>2</v>
      </c>
      <c r="U6">
        <v>0.5</v>
      </c>
      <c r="V6">
        <v>1000</v>
      </c>
      <c r="W6">
        <v>625</v>
      </c>
      <c r="X6">
        <v>1</v>
      </c>
      <c r="Y6">
        <v>2006</v>
      </c>
      <c r="Z6">
        <v>1</v>
      </c>
      <c r="AA6">
        <v>0.03</v>
      </c>
    </row>
    <row r="7" spans="1:27" ht="14.25" customHeight="1">
      <c r="A7" s="2">
        <v>1005</v>
      </c>
      <c r="B7" s="52" t="s">
        <v>3829</v>
      </c>
      <c r="C7" s="2">
        <v>3</v>
      </c>
      <c r="D7" s="2" t="s">
        <v>3823</v>
      </c>
      <c r="E7" s="2">
        <v>1</v>
      </c>
      <c r="F7" s="2">
        <v>0.05</v>
      </c>
      <c r="G7" s="6">
        <v>8001</v>
      </c>
      <c r="H7" s="2">
        <v>40</v>
      </c>
      <c r="I7" s="2">
        <v>1</v>
      </c>
      <c r="J7" s="6">
        <v>8000</v>
      </c>
      <c r="K7" s="2">
        <v>60</v>
      </c>
      <c r="L7" s="2">
        <v>1</v>
      </c>
      <c r="M7" s="6">
        <v>2007</v>
      </c>
      <c r="N7" s="2">
        <v>1</v>
      </c>
      <c r="O7" s="2">
        <v>0.05</v>
      </c>
      <c r="P7">
        <v>9000</v>
      </c>
      <c r="Q7">
        <v>10</v>
      </c>
      <c r="R7">
        <v>1</v>
      </c>
      <c r="S7" t="s">
        <v>3824</v>
      </c>
      <c r="T7">
        <v>2</v>
      </c>
      <c r="U7">
        <v>0.5</v>
      </c>
      <c r="V7">
        <v>1000</v>
      </c>
      <c r="W7">
        <v>625</v>
      </c>
      <c r="X7">
        <v>1</v>
      </c>
      <c r="Y7">
        <v>2006</v>
      </c>
      <c r="Z7">
        <v>1</v>
      </c>
      <c r="AA7">
        <v>0.03</v>
      </c>
    </row>
    <row r="8" spans="1:27" ht="14.25" customHeight="1">
      <c r="A8" s="2">
        <v>1006</v>
      </c>
      <c r="B8" s="52" t="s">
        <v>3830</v>
      </c>
      <c r="C8" s="2">
        <v>4</v>
      </c>
      <c r="D8" s="2" t="s">
        <v>3823</v>
      </c>
      <c r="E8" s="2">
        <v>1</v>
      </c>
      <c r="F8" s="2">
        <v>0.05</v>
      </c>
      <c r="G8" s="6">
        <v>8001</v>
      </c>
      <c r="H8" s="2">
        <v>40</v>
      </c>
      <c r="I8" s="2">
        <v>1</v>
      </c>
      <c r="J8" s="6">
        <v>8000</v>
      </c>
      <c r="K8" s="2">
        <v>60</v>
      </c>
      <c r="L8" s="2">
        <v>1</v>
      </c>
      <c r="M8" s="6">
        <v>2007</v>
      </c>
      <c r="N8" s="2">
        <v>1</v>
      </c>
      <c r="O8" s="2">
        <v>0.05</v>
      </c>
      <c r="P8">
        <v>9000</v>
      </c>
      <c r="Q8">
        <v>10</v>
      </c>
      <c r="R8">
        <v>1</v>
      </c>
      <c r="S8" t="s">
        <v>3824</v>
      </c>
      <c r="T8">
        <v>2</v>
      </c>
      <c r="U8">
        <v>0.5</v>
      </c>
      <c r="V8">
        <v>1000</v>
      </c>
      <c r="W8">
        <v>625</v>
      </c>
      <c r="X8">
        <v>1</v>
      </c>
      <c r="Y8">
        <v>2006</v>
      </c>
      <c r="Z8">
        <v>1</v>
      </c>
      <c r="AA8">
        <v>0.03</v>
      </c>
    </row>
    <row r="9" spans="1:27" ht="14.25" customHeight="1">
      <c r="A9" s="2">
        <v>1007</v>
      </c>
      <c r="B9" s="52" t="s">
        <v>3831</v>
      </c>
      <c r="C9" s="2">
        <v>4</v>
      </c>
      <c r="D9" s="2" t="s">
        <v>3823</v>
      </c>
      <c r="E9" s="2">
        <v>1</v>
      </c>
      <c r="F9" s="2">
        <v>0.05</v>
      </c>
      <c r="G9" s="6">
        <v>8001</v>
      </c>
      <c r="H9" s="2">
        <v>40</v>
      </c>
      <c r="I9" s="2">
        <v>1</v>
      </c>
      <c r="J9" s="6">
        <v>8000</v>
      </c>
      <c r="K9" s="2">
        <v>60</v>
      </c>
      <c r="L9" s="2">
        <v>1</v>
      </c>
      <c r="M9" s="6">
        <v>2007</v>
      </c>
      <c r="N9" s="2">
        <v>1</v>
      </c>
      <c r="O9" s="2">
        <v>0.05</v>
      </c>
      <c r="P9">
        <v>9000</v>
      </c>
      <c r="Q9">
        <v>10</v>
      </c>
      <c r="R9">
        <v>1</v>
      </c>
      <c r="S9" t="s">
        <v>3824</v>
      </c>
      <c r="T9">
        <v>2</v>
      </c>
      <c r="U9">
        <v>0.5</v>
      </c>
      <c r="V9">
        <v>1000</v>
      </c>
      <c r="W9">
        <v>625</v>
      </c>
      <c r="X9">
        <v>1</v>
      </c>
      <c r="Y9">
        <v>2006</v>
      </c>
      <c r="Z9">
        <v>1</v>
      </c>
      <c r="AA9">
        <v>0.03</v>
      </c>
    </row>
    <row r="10" spans="1:27" ht="14.25" customHeight="1">
      <c r="A10" s="2">
        <v>1008</v>
      </c>
      <c r="B10" s="52" t="s">
        <v>3832</v>
      </c>
      <c r="C10" s="2">
        <v>5</v>
      </c>
      <c r="D10" s="2" t="s">
        <v>3823</v>
      </c>
      <c r="E10" s="2">
        <v>1</v>
      </c>
      <c r="F10" s="2">
        <v>0.05</v>
      </c>
      <c r="G10" s="6">
        <v>8001</v>
      </c>
      <c r="H10" s="2">
        <v>40</v>
      </c>
      <c r="I10" s="2">
        <v>1</v>
      </c>
      <c r="J10" s="6">
        <v>8000</v>
      </c>
      <c r="K10" s="2">
        <v>60</v>
      </c>
      <c r="L10" s="2">
        <v>1</v>
      </c>
      <c r="M10" s="6">
        <v>2007</v>
      </c>
      <c r="N10" s="2">
        <v>1</v>
      </c>
      <c r="O10" s="2">
        <v>0.05</v>
      </c>
      <c r="P10">
        <v>9000</v>
      </c>
      <c r="Q10">
        <v>10</v>
      </c>
      <c r="R10">
        <v>1</v>
      </c>
      <c r="S10" t="s">
        <v>3824</v>
      </c>
      <c r="T10">
        <v>2</v>
      </c>
      <c r="U10">
        <v>0.5</v>
      </c>
      <c r="V10">
        <v>1000</v>
      </c>
      <c r="W10">
        <v>630</v>
      </c>
      <c r="X10">
        <v>1</v>
      </c>
      <c r="Y10">
        <v>2006</v>
      </c>
      <c r="Z10">
        <v>1</v>
      </c>
      <c r="AA10">
        <v>0.03</v>
      </c>
    </row>
    <row r="11" spans="1:27" ht="14.25" customHeight="1">
      <c r="A11" s="2">
        <v>1009</v>
      </c>
      <c r="B11" s="52" t="s">
        <v>3833</v>
      </c>
      <c r="C11" s="2">
        <v>5</v>
      </c>
      <c r="D11" s="2" t="s">
        <v>3823</v>
      </c>
      <c r="E11" s="2">
        <v>1</v>
      </c>
      <c r="F11" s="2">
        <v>0.05</v>
      </c>
      <c r="G11" s="6">
        <v>8001</v>
      </c>
      <c r="H11" s="2">
        <v>40</v>
      </c>
      <c r="I11" s="2">
        <v>1</v>
      </c>
      <c r="J11" s="6">
        <v>8000</v>
      </c>
      <c r="K11" s="2">
        <v>60</v>
      </c>
      <c r="L11" s="2">
        <v>1</v>
      </c>
      <c r="M11" s="6">
        <v>2007</v>
      </c>
      <c r="N11" s="2">
        <v>1</v>
      </c>
      <c r="O11" s="2">
        <v>0.05</v>
      </c>
      <c r="P11">
        <v>9000</v>
      </c>
      <c r="Q11">
        <v>10</v>
      </c>
      <c r="R11">
        <v>1</v>
      </c>
      <c r="S11" t="s">
        <v>3824</v>
      </c>
      <c r="T11">
        <v>2</v>
      </c>
      <c r="U11">
        <v>0.5</v>
      </c>
      <c r="V11">
        <v>1000</v>
      </c>
      <c r="W11">
        <v>630</v>
      </c>
      <c r="X11">
        <v>1</v>
      </c>
      <c r="Y11">
        <v>2006</v>
      </c>
      <c r="Z11">
        <v>1</v>
      </c>
      <c r="AA11">
        <v>0.03</v>
      </c>
    </row>
    <row r="12" spans="1:27" ht="14.25" customHeight="1">
      <c r="A12" s="2">
        <v>1010</v>
      </c>
      <c r="B12" s="52" t="s">
        <v>3834</v>
      </c>
      <c r="C12" s="2">
        <v>6</v>
      </c>
      <c r="D12" s="2" t="s">
        <v>3823</v>
      </c>
      <c r="E12" s="2">
        <v>1</v>
      </c>
      <c r="F12" s="2">
        <v>0.05</v>
      </c>
      <c r="G12" s="6">
        <v>8001</v>
      </c>
      <c r="H12" s="2">
        <v>40</v>
      </c>
      <c r="I12" s="2">
        <v>1</v>
      </c>
      <c r="J12" s="6">
        <v>8000</v>
      </c>
      <c r="K12" s="2">
        <v>60</v>
      </c>
      <c r="L12" s="2">
        <v>1</v>
      </c>
      <c r="M12" s="6">
        <v>2007</v>
      </c>
      <c r="N12" s="2">
        <v>1</v>
      </c>
      <c r="O12" s="2">
        <v>0.05</v>
      </c>
      <c r="P12">
        <v>9000</v>
      </c>
      <c r="Q12">
        <v>10</v>
      </c>
      <c r="R12">
        <v>1</v>
      </c>
      <c r="S12" t="s">
        <v>3824</v>
      </c>
      <c r="T12">
        <v>2</v>
      </c>
      <c r="U12">
        <v>0.5</v>
      </c>
      <c r="V12">
        <v>1000</v>
      </c>
      <c r="W12">
        <v>630</v>
      </c>
      <c r="X12">
        <v>1</v>
      </c>
      <c r="Y12">
        <v>2006</v>
      </c>
      <c r="Z12">
        <v>1</v>
      </c>
      <c r="AA12">
        <v>0.03</v>
      </c>
    </row>
    <row r="13" spans="1:27" ht="14.25" customHeight="1">
      <c r="A13" s="2">
        <v>1011</v>
      </c>
      <c r="B13" s="52" t="s">
        <v>3835</v>
      </c>
      <c r="C13" s="2">
        <v>6</v>
      </c>
      <c r="D13" s="2" t="s">
        <v>3823</v>
      </c>
      <c r="E13" s="2">
        <v>1</v>
      </c>
      <c r="F13" s="2">
        <v>0.05</v>
      </c>
      <c r="G13" s="6">
        <v>8001</v>
      </c>
      <c r="H13" s="2">
        <v>40</v>
      </c>
      <c r="I13" s="2">
        <v>1</v>
      </c>
      <c r="J13" s="6">
        <v>8000</v>
      </c>
      <c r="K13" s="2">
        <v>60</v>
      </c>
      <c r="L13" s="2">
        <v>1</v>
      </c>
      <c r="M13" s="6">
        <v>2007</v>
      </c>
      <c r="N13" s="2">
        <v>1</v>
      </c>
      <c r="O13" s="2">
        <v>0.05</v>
      </c>
      <c r="P13">
        <v>9000</v>
      </c>
      <c r="Q13">
        <v>10</v>
      </c>
      <c r="R13">
        <v>1</v>
      </c>
      <c r="S13" t="s">
        <v>3824</v>
      </c>
      <c r="T13">
        <v>2</v>
      </c>
      <c r="U13">
        <v>0.5</v>
      </c>
      <c r="V13">
        <v>1000</v>
      </c>
      <c r="W13">
        <v>630</v>
      </c>
      <c r="X13">
        <v>1</v>
      </c>
      <c r="Y13">
        <v>2006</v>
      </c>
      <c r="Z13">
        <v>1</v>
      </c>
      <c r="AA13">
        <v>0.03</v>
      </c>
    </row>
    <row r="14" spans="1:27" ht="14.25" customHeight="1">
      <c r="A14" s="2">
        <v>1012</v>
      </c>
      <c r="B14" s="52" t="s">
        <v>3836</v>
      </c>
      <c r="C14" s="2">
        <v>7</v>
      </c>
      <c r="D14" s="2" t="s">
        <v>3823</v>
      </c>
      <c r="E14" s="2">
        <v>1</v>
      </c>
      <c r="F14" s="2">
        <v>0.05</v>
      </c>
      <c r="G14" s="6">
        <v>8001</v>
      </c>
      <c r="H14" s="2">
        <v>40</v>
      </c>
      <c r="I14" s="2">
        <v>1</v>
      </c>
      <c r="J14" s="6">
        <v>8000</v>
      </c>
      <c r="K14" s="2">
        <v>60</v>
      </c>
      <c r="L14" s="2">
        <v>1</v>
      </c>
      <c r="M14" s="6">
        <v>2007</v>
      </c>
      <c r="N14" s="2">
        <v>1</v>
      </c>
      <c r="O14" s="2">
        <v>0.05</v>
      </c>
      <c r="P14">
        <v>9000</v>
      </c>
      <c r="Q14">
        <v>10</v>
      </c>
      <c r="R14">
        <v>1</v>
      </c>
      <c r="S14" t="s">
        <v>3824</v>
      </c>
      <c r="T14">
        <v>2</v>
      </c>
      <c r="U14">
        <v>0.5</v>
      </c>
      <c r="V14">
        <v>1000</v>
      </c>
      <c r="W14">
        <v>630</v>
      </c>
      <c r="X14">
        <v>1</v>
      </c>
      <c r="Y14">
        <v>2006</v>
      </c>
      <c r="Z14">
        <v>1</v>
      </c>
      <c r="AA14">
        <v>0.03</v>
      </c>
    </row>
    <row r="15" spans="1:27" ht="14.25" customHeight="1">
      <c r="A15" s="2">
        <v>1013</v>
      </c>
      <c r="B15" s="52" t="s">
        <v>3837</v>
      </c>
      <c r="C15" s="2">
        <v>7</v>
      </c>
      <c r="D15" s="2" t="s">
        <v>3823</v>
      </c>
      <c r="E15" s="2">
        <v>1</v>
      </c>
      <c r="F15" s="2">
        <v>0.05</v>
      </c>
      <c r="G15" s="6">
        <v>8001</v>
      </c>
      <c r="H15" s="2">
        <v>40</v>
      </c>
      <c r="I15" s="2">
        <v>1</v>
      </c>
      <c r="J15" s="6">
        <v>8000</v>
      </c>
      <c r="K15" s="2">
        <v>60</v>
      </c>
      <c r="L15" s="2">
        <v>1</v>
      </c>
      <c r="M15" s="6">
        <v>2007</v>
      </c>
      <c r="N15" s="2">
        <v>1</v>
      </c>
      <c r="O15" s="2">
        <v>0.05</v>
      </c>
      <c r="P15">
        <v>9000</v>
      </c>
      <c r="Q15">
        <v>10</v>
      </c>
      <c r="R15">
        <v>1</v>
      </c>
      <c r="S15" t="s">
        <v>3824</v>
      </c>
      <c r="T15">
        <v>2</v>
      </c>
      <c r="U15">
        <v>0.5</v>
      </c>
      <c r="V15">
        <v>1000</v>
      </c>
      <c r="W15">
        <v>635</v>
      </c>
      <c r="X15">
        <v>1</v>
      </c>
      <c r="Y15">
        <v>2006</v>
      </c>
      <c r="Z15">
        <v>1</v>
      </c>
      <c r="AA15">
        <v>0.03</v>
      </c>
    </row>
    <row r="16" spans="1:27" ht="14.25" customHeight="1">
      <c r="A16" s="2">
        <v>1014</v>
      </c>
      <c r="B16" s="52" t="s">
        <v>3838</v>
      </c>
      <c r="C16" s="2">
        <v>8</v>
      </c>
      <c r="D16" s="2" t="s">
        <v>3823</v>
      </c>
      <c r="E16" s="2">
        <v>1</v>
      </c>
      <c r="F16" s="2">
        <v>0.05</v>
      </c>
      <c r="G16" s="6">
        <v>8001</v>
      </c>
      <c r="H16" s="2">
        <v>40</v>
      </c>
      <c r="I16" s="2">
        <v>1</v>
      </c>
      <c r="J16" s="6">
        <v>8000</v>
      </c>
      <c r="K16" s="2">
        <v>60</v>
      </c>
      <c r="L16" s="2">
        <v>1</v>
      </c>
      <c r="M16" s="6">
        <v>2007</v>
      </c>
      <c r="N16" s="2">
        <v>1</v>
      </c>
      <c r="O16" s="2">
        <v>0.05</v>
      </c>
      <c r="P16">
        <v>9000</v>
      </c>
      <c r="Q16">
        <v>10</v>
      </c>
      <c r="R16">
        <v>1</v>
      </c>
      <c r="S16" t="s">
        <v>3824</v>
      </c>
      <c r="T16">
        <v>2</v>
      </c>
      <c r="U16">
        <v>0.5</v>
      </c>
      <c r="V16">
        <v>1000</v>
      </c>
      <c r="W16">
        <v>635</v>
      </c>
      <c r="X16">
        <v>1</v>
      </c>
      <c r="Y16">
        <v>2006</v>
      </c>
      <c r="Z16">
        <v>1</v>
      </c>
      <c r="AA16">
        <v>0.03</v>
      </c>
    </row>
    <row r="17" spans="1:27" ht="14.25" customHeight="1">
      <c r="A17" s="2">
        <v>1015</v>
      </c>
      <c r="B17" s="52" t="s">
        <v>3839</v>
      </c>
      <c r="C17" s="2">
        <v>8</v>
      </c>
      <c r="D17" s="2" t="s">
        <v>3823</v>
      </c>
      <c r="E17" s="2">
        <v>1</v>
      </c>
      <c r="F17" s="2">
        <v>0.05</v>
      </c>
      <c r="G17" s="6">
        <v>8001</v>
      </c>
      <c r="H17" s="2">
        <v>40</v>
      </c>
      <c r="I17" s="2">
        <v>1</v>
      </c>
      <c r="J17" s="6">
        <v>8000</v>
      </c>
      <c r="K17" s="2">
        <v>60</v>
      </c>
      <c r="L17" s="2">
        <v>1</v>
      </c>
      <c r="M17" s="6">
        <v>2007</v>
      </c>
      <c r="N17" s="2">
        <v>1</v>
      </c>
      <c r="O17" s="2">
        <v>0.05</v>
      </c>
      <c r="P17">
        <v>9000</v>
      </c>
      <c r="Q17">
        <v>10</v>
      </c>
      <c r="R17">
        <v>1</v>
      </c>
      <c r="S17" t="s">
        <v>3824</v>
      </c>
      <c r="T17">
        <v>2</v>
      </c>
      <c r="U17">
        <v>0.5</v>
      </c>
      <c r="V17">
        <v>1000</v>
      </c>
      <c r="W17">
        <v>635</v>
      </c>
      <c r="X17">
        <v>1</v>
      </c>
      <c r="Y17">
        <v>2006</v>
      </c>
      <c r="Z17">
        <v>1</v>
      </c>
      <c r="AA17">
        <v>0.03</v>
      </c>
    </row>
    <row r="18" spans="1:27" ht="14.25" customHeight="1">
      <c r="A18" s="2">
        <v>1016</v>
      </c>
      <c r="B18" s="52" t="s">
        <v>3840</v>
      </c>
      <c r="C18" s="2">
        <v>9</v>
      </c>
      <c r="D18" s="2" t="s">
        <v>3823</v>
      </c>
      <c r="E18" s="2">
        <v>1</v>
      </c>
      <c r="F18" s="2">
        <v>0.05</v>
      </c>
      <c r="G18" s="6">
        <v>8001</v>
      </c>
      <c r="H18" s="2">
        <v>40</v>
      </c>
      <c r="I18" s="2">
        <v>1</v>
      </c>
      <c r="J18" s="6">
        <v>8000</v>
      </c>
      <c r="K18" s="2">
        <v>60</v>
      </c>
      <c r="L18" s="2">
        <v>1</v>
      </c>
      <c r="M18" s="6">
        <v>2007</v>
      </c>
      <c r="N18" s="2">
        <v>1</v>
      </c>
      <c r="O18" s="2">
        <v>0.05</v>
      </c>
      <c r="P18">
        <v>9000</v>
      </c>
      <c r="Q18">
        <v>10</v>
      </c>
      <c r="R18">
        <v>1</v>
      </c>
      <c r="S18" t="s">
        <v>3824</v>
      </c>
      <c r="T18">
        <v>2</v>
      </c>
      <c r="U18">
        <v>0.5</v>
      </c>
      <c r="V18">
        <v>1000</v>
      </c>
      <c r="W18">
        <v>635</v>
      </c>
      <c r="X18">
        <v>1</v>
      </c>
      <c r="Y18">
        <v>2006</v>
      </c>
      <c r="Z18">
        <v>1</v>
      </c>
      <c r="AA18">
        <v>0.03</v>
      </c>
    </row>
    <row r="19" spans="1:27" ht="14.25" customHeight="1">
      <c r="A19" s="2">
        <v>1017</v>
      </c>
      <c r="B19" s="52" t="s">
        <v>3841</v>
      </c>
      <c r="C19" s="2">
        <v>9</v>
      </c>
      <c r="D19" s="2" t="s">
        <v>3823</v>
      </c>
      <c r="E19" s="2">
        <v>1</v>
      </c>
      <c r="F19" s="2">
        <v>0.05</v>
      </c>
      <c r="G19" s="6">
        <v>8001</v>
      </c>
      <c r="H19" s="2">
        <v>40</v>
      </c>
      <c r="I19" s="2">
        <v>1</v>
      </c>
      <c r="J19" s="6">
        <v>8000</v>
      </c>
      <c r="K19" s="2">
        <v>60</v>
      </c>
      <c r="L19" s="2">
        <v>1</v>
      </c>
      <c r="M19" s="6">
        <v>2007</v>
      </c>
      <c r="N19" s="2">
        <v>1</v>
      </c>
      <c r="O19" s="2">
        <v>0.05</v>
      </c>
      <c r="P19">
        <v>9000</v>
      </c>
      <c r="Q19">
        <v>10</v>
      </c>
      <c r="R19">
        <v>1</v>
      </c>
      <c r="S19" t="s">
        <v>3824</v>
      </c>
      <c r="T19">
        <v>2</v>
      </c>
      <c r="U19">
        <v>0.5</v>
      </c>
      <c r="V19">
        <v>1000</v>
      </c>
      <c r="W19">
        <v>640</v>
      </c>
      <c r="X19">
        <v>1</v>
      </c>
      <c r="Y19">
        <v>2006</v>
      </c>
      <c r="Z19">
        <v>1</v>
      </c>
      <c r="AA19">
        <v>0.03</v>
      </c>
    </row>
    <row r="20" spans="1:27" ht="14.25" customHeight="1">
      <c r="A20" s="2">
        <v>1018</v>
      </c>
      <c r="B20" s="52" t="s">
        <v>3842</v>
      </c>
      <c r="C20" s="2">
        <v>10</v>
      </c>
      <c r="D20" s="2" t="s">
        <v>3823</v>
      </c>
      <c r="E20" s="2">
        <v>1</v>
      </c>
      <c r="F20" s="2">
        <v>0.05</v>
      </c>
      <c r="G20" s="6">
        <v>8001</v>
      </c>
      <c r="H20" s="2">
        <v>40</v>
      </c>
      <c r="I20" s="2">
        <v>1</v>
      </c>
      <c r="J20" s="6">
        <v>8000</v>
      </c>
      <c r="K20" s="2">
        <v>60</v>
      </c>
      <c r="L20" s="2">
        <v>1</v>
      </c>
      <c r="M20" s="6">
        <v>2007</v>
      </c>
      <c r="N20" s="2">
        <v>1</v>
      </c>
      <c r="O20" s="2">
        <v>0.05</v>
      </c>
      <c r="P20">
        <v>9000</v>
      </c>
      <c r="Q20">
        <v>10</v>
      </c>
      <c r="R20">
        <v>1</v>
      </c>
      <c r="S20" t="s">
        <v>3824</v>
      </c>
      <c r="T20">
        <v>2</v>
      </c>
      <c r="U20">
        <v>0.5</v>
      </c>
      <c r="V20">
        <v>1000</v>
      </c>
      <c r="W20">
        <v>640</v>
      </c>
      <c r="X20">
        <v>1</v>
      </c>
      <c r="Y20">
        <v>2006</v>
      </c>
      <c r="Z20">
        <v>1</v>
      </c>
      <c r="AA20">
        <v>0.03</v>
      </c>
    </row>
    <row r="21" spans="1:27" ht="14.25" customHeight="1">
      <c r="A21" s="2">
        <v>1019</v>
      </c>
      <c r="B21" s="52" t="s">
        <v>3843</v>
      </c>
      <c r="C21" s="2">
        <v>10</v>
      </c>
      <c r="D21" s="2" t="s">
        <v>3823</v>
      </c>
      <c r="E21" s="2">
        <v>1</v>
      </c>
      <c r="F21" s="2">
        <v>0.05</v>
      </c>
      <c r="G21" s="6">
        <v>8001</v>
      </c>
      <c r="H21" s="2">
        <v>40</v>
      </c>
      <c r="I21" s="2">
        <v>1</v>
      </c>
      <c r="J21" s="6">
        <v>8000</v>
      </c>
      <c r="K21" s="2">
        <v>60</v>
      </c>
      <c r="L21" s="2">
        <v>1</v>
      </c>
      <c r="M21" s="6">
        <v>2007</v>
      </c>
      <c r="N21" s="2">
        <v>1</v>
      </c>
      <c r="O21" s="2">
        <v>0.05</v>
      </c>
      <c r="P21">
        <v>9000</v>
      </c>
      <c r="Q21">
        <v>10</v>
      </c>
      <c r="R21">
        <v>1</v>
      </c>
      <c r="S21" t="s">
        <v>3824</v>
      </c>
      <c r="T21">
        <v>2</v>
      </c>
      <c r="U21">
        <v>0.5</v>
      </c>
      <c r="V21">
        <v>1000</v>
      </c>
      <c r="W21">
        <v>640</v>
      </c>
      <c r="X21">
        <v>1</v>
      </c>
      <c r="Y21">
        <v>2006</v>
      </c>
      <c r="Z21">
        <v>1</v>
      </c>
      <c r="AA21">
        <v>0.03</v>
      </c>
    </row>
    <row r="22" spans="1:27" ht="14.25" customHeight="1">
      <c r="A22" s="2">
        <v>1020</v>
      </c>
      <c r="B22" s="52" t="s">
        <v>3844</v>
      </c>
      <c r="C22" s="2">
        <v>11</v>
      </c>
      <c r="D22" s="2" t="s">
        <v>3823</v>
      </c>
      <c r="E22" s="2">
        <v>1</v>
      </c>
      <c r="F22" s="2">
        <v>0.05</v>
      </c>
      <c r="G22" s="6">
        <v>8001</v>
      </c>
      <c r="H22" s="2">
        <v>40</v>
      </c>
      <c r="I22" s="2">
        <v>1</v>
      </c>
      <c r="J22" s="6">
        <v>8000</v>
      </c>
      <c r="K22" s="2">
        <v>60</v>
      </c>
      <c r="L22" s="2">
        <v>1</v>
      </c>
      <c r="M22" s="6">
        <v>2007</v>
      </c>
      <c r="N22" s="2">
        <v>1</v>
      </c>
      <c r="O22" s="2">
        <v>0.05</v>
      </c>
      <c r="P22">
        <v>9000</v>
      </c>
      <c r="Q22">
        <v>10</v>
      </c>
      <c r="R22">
        <v>1</v>
      </c>
      <c r="S22" t="s">
        <v>3824</v>
      </c>
      <c r="T22">
        <v>2</v>
      </c>
      <c r="U22">
        <v>0.5</v>
      </c>
      <c r="V22">
        <v>1000</v>
      </c>
      <c r="W22">
        <v>645</v>
      </c>
      <c r="X22">
        <v>1</v>
      </c>
      <c r="Y22">
        <v>2006</v>
      </c>
      <c r="Z22">
        <v>1</v>
      </c>
      <c r="AA22">
        <v>0.03</v>
      </c>
    </row>
    <row r="23" spans="1:27" ht="14.25" customHeight="1">
      <c r="A23" s="2">
        <v>1021</v>
      </c>
      <c r="B23" s="52" t="s">
        <v>3845</v>
      </c>
      <c r="C23" s="2">
        <v>11</v>
      </c>
      <c r="D23" s="2" t="s">
        <v>3823</v>
      </c>
      <c r="E23" s="2">
        <v>1</v>
      </c>
      <c r="F23" s="2">
        <v>0.05</v>
      </c>
      <c r="G23" s="6">
        <v>8001</v>
      </c>
      <c r="H23" s="2">
        <v>40</v>
      </c>
      <c r="I23" s="2">
        <v>1</v>
      </c>
      <c r="J23" s="6">
        <v>8000</v>
      </c>
      <c r="K23" s="2">
        <v>60</v>
      </c>
      <c r="L23" s="2">
        <v>1</v>
      </c>
      <c r="M23" s="6">
        <v>2007</v>
      </c>
      <c r="N23" s="2">
        <v>1</v>
      </c>
      <c r="O23" s="2">
        <v>0.05</v>
      </c>
      <c r="P23">
        <v>9000</v>
      </c>
      <c r="Q23">
        <v>11</v>
      </c>
      <c r="R23">
        <v>1</v>
      </c>
      <c r="S23" t="s">
        <v>3824</v>
      </c>
      <c r="T23">
        <v>2</v>
      </c>
      <c r="U23">
        <v>0.5</v>
      </c>
      <c r="V23">
        <v>1000</v>
      </c>
      <c r="W23">
        <v>645</v>
      </c>
      <c r="X23">
        <v>1</v>
      </c>
      <c r="Y23">
        <v>2006</v>
      </c>
      <c r="Z23">
        <v>1</v>
      </c>
      <c r="AA23">
        <v>0.03</v>
      </c>
    </row>
    <row r="24" spans="1:27" ht="14.25" customHeight="1">
      <c r="A24" s="2">
        <v>1022</v>
      </c>
      <c r="B24" s="52" t="s">
        <v>3846</v>
      </c>
      <c r="C24" s="2">
        <v>12</v>
      </c>
      <c r="D24" s="2" t="s">
        <v>3823</v>
      </c>
      <c r="E24" s="2">
        <v>1</v>
      </c>
      <c r="F24" s="2">
        <v>0.05</v>
      </c>
      <c r="G24" s="6">
        <v>8001</v>
      </c>
      <c r="H24" s="2">
        <v>40</v>
      </c>
      <c r="I24" s="2">
        <v>1</v>
      </c>
      <c r="J24" s="6">
        <v>8000</v>
      </c>
      <c r="K24" s="2">
        <v>60</v>
      </c>
      <c r="L24" s="2">
        <v>1</v>
      </c>
      <c r="M24" s="6">
        <v>2007</v>
      </c>
      <c r="N24" s="2">
        <v>1</v>
      </c>
      <c r="O24" s="2">
        <v>0.05</v>
      </c>
      <c r="P24">
        <v>9000</v>
      </c>
      <c r="Q24">
        <v>11</v>
      </c>
      <c r="R24">
        <v>1</v>
      </c>
      <c r="S24" t="s">
        <v>3824</v>
      </c>
      <c r="T24">
        <v>2</v>
      </c>
      <c r="U24">
        <v>0.5</v>
      </c>
      <c r="V24">
        <v>1000</v>
      </c>
      <c r="W24">
        <v>645</v>
      </c>
      <c r="X24">
        <v>1</v>
      </c>
      <c r="Y24">
        <v>2006</v>
      </c>
      <c r="Z24">
        <v>1</v>
      </c>
      <c r="AA24">
        <v>0.03</v>
      </c>
    </row>
    <row r="25" spans="1:27" ht="14.25" customHeight="1">
      <c r="A25" s="2">
        <v>1023</v>
      </c>
      <c r="B25" s="52" t="s">
        <v>3847</v>
      </c>
      <c r="C25" s="2">
        <v>12</v>
      </c>
      <c r="D25" s="2" t="s">
        <v>3823</v>
      </c>
      <c r="E25" s="2">
        <v>1</v>
      </c>
      <c r="F25" s="2">
        <v>0.05</v>
      </c>
      <c r="G25" s="6">
        <v>8001</v>
      </c>
      <c r="H25" s="2">
        <v>40</v>
      </c>
      <c r="I25" s="2">
        <v>1</v>
      </c>
      <c r="J25" s="6">
        <v>8000</v>
      </c>
      <c r="K25" s="2">
        <v>60</v>
      </c>
      <c r="L25" s="2">
        <v>1</v>
      </c>
      <c r="M25" s="6">
        <v>2007</v>
      </c>
      <c r="N25" s="2">
        <v>1</v>
      </c>
      <c r="O25" s="2">
        <v>0.05</v>
      </c>
      <c r="P25">
        <v>9000</v>
      </c>
      <c r="Q25">
        <v>11</v>
      </c>
      <c r="R25">
        <v>1</v>
      </c>
      <c r="S25" t="s">
        <v>3824</v>
      </c>
      <c r="T25">
        <v>2</v>
      </c>
      <c r="U25">
        <v>0.5</v>
      </c>
      <c r="V25">
        <v>1000</v>
      </c>
      <c r="W25">
        <v>650</v>
      </c>
      <c r="X25">
        <v>1</v>
      </c>
      <c r="Y25">
        <v>2006</v>
      </c>
      <c r="Z25">
        <v>1</v>
      </c>
      <c r="AA25">
        <v>0.03</v>
      </c>
    </row>
    <row r="26" spans="1:27" ht="14.25" customHeight="1">
      <c r="A26" s="2">
        <v>1024</v>
      </c>
      <c r="B26" s="52" t="s">
        <v>3848</v>
      </c>
      <c r="C26" s="2">
        <v>13</v>
      </c>
      <c r="D26" s="2" t="s">
        <v>3823</v>
      </c>
      <c r="E26" s="2">
        <v>1</v>
      </c>
      <c r="F26" s="2">
        <v>0.05</v>
      </c>
      <c r="G26" s="6">
        <v>8001</v>
      </c>
      <c r="H26" s="2">
        <v>40</v>
      </c>
      <c r="I26" s="2">
        <v>1</v>
      </c>
      <c r="J26" s="6">
        <v>8000</v>
      </c>
      <c r="K26" s="2">
        <v>65</v>
      </c>
      <c r="L26" s="2">
        <v>1</v>
      </c>
      <c r="M26" s="6">
        <v>2007</v>
      </c>
      <c r="N26" s="2">
        <v>1</v>
      </c>
      <c r="O26" s="2">
        <v>0.05</v>
      </c>
      <c r="P26">
        <v>9000</v>
      </c>
      <c r="Q26">
        <v>11</v>
      </c>
      <c r="R26">
        <v>1</v>
      </c>
      <c r="S26" t="s">
        <v>3824</v>
      </c>
      <c r="T26">
        <v>2</v>
      </c>
      <c r="U26">
        <v>0.5</v>
      </c>
      <c r="V26">
        <v>1000</v>
      </c>
      <c r="W26">
        <v>650</v>
      </c>
      <c r="X26">
        <v>1</v>
      </c>
      <c r="Y26">
        <v>2006</v>
      </c>
      <c r="Z26">
        <v>1</v>
      </c>
      <c r="AA26">
        <v>0.03</v>
      </c>
    </row>
    <row r="27" spans="1:27" ht="14.25" customHeight="1">
      <c r="A27" s="2">
        <v>1025</v>
      </c>
      <c r="B27" s="52" t="s">
        <v>3849</v>
      </c>
      <c r="C27" s="2">
        <v>13</v>
      </c>
      <c r="D27" s="2" t="s">
        <v>3823</v>
      </c>
      <c r="E27" s="2">
        <v>1</v>
      </c>
      <c r="F27" s="2">
        <v>5.0999999999999997E-2</v>
      </c>
      <c r="G27" s="6">
        <v>8001</v>
      </c>
      <c r="H27" s="2">
        <v>40</v>
      </c>
      <c r="I27" s="2">
        <v>1</v>
      </c>
      <c r="J27" s="6">
        <v>8000</v>
      </c>
      <c r="K27" s="2">
        <v>65</v>
      </c>
      <c r="L27" s="2">
        <v>1</v>
      </c>
      <c r="M27" s="6">
        <v>2007</v>
      </c>
      <c r="N27" s="2">
        <v>1</v>
      </c>
      <c r="O27" s="2">
        <v>0.05</v>
      </c>
      <c r="P27">
        <v>9000</v>
      </c>
      <c r="Q27">
        <v>11</v>
      </c>
      <c r="R27">
        <v>1</v>
      </c>
      <c r="S27" t="s">
        <v>3824</v>
      </c>
      <c r="T27">
        <v>2</v>
      </c>
      <c r="U27">
        <v>0.5</v>
      </c>
      <c r="V27">
        <v>1000</v>
      </c>
      <c r="W27">
        <v>655</v>
      </c>
      <c r="X27">
        <v>1</v>
      </c>
      <c r="Y27">
        <v>2006</v>
      </c>
      <c r="Z27">
        <v>1</v>
      </c>
      <c r="AA27">
        <v>0.03</v>
      </c>
    </row>
    <row r="28" spans="1:27" ht="14.25" customHeight="1">
      <c r="A28" s="2">
        <v>1026</v>
      </c>
      <c r="B28" s="52" t="s">
        <v>3850</v>
      </c>
      <c r="C28" s="2">
        <v>14</v>
      </c>
      <c r="D28" s="2" t="s">
        <v>3823</v>
      </c>
      <c r="E28" s="2">
        <v>1</v>
      </c>
      <c r="F28" s="2">
        <v>5.0999999999999997E-2</v>
      </c>
      <c r="G28" s="6">
        <v>8001</v>
      </c>
      <c r="H28" s="2">
        <v>40</v>
      </c>
      <c r="I28" s="2">
        <v>1</v>
      </c>
      <c r="J28" s="6">
        <v>8000</v>
      </c>
      <c r="K28" s="2">
        <v>65</v>
      </c>
      <c r="L28" s="2">
        <v>1</v>
      </c>
      <c r="M28" s="6">
        <v>2007</v>
      </c>
      <c r="N28" s="2">
        <v>1</v>
      </c>
      <c r="O28" s="2">
        <v>0.05</v>
      </c>
      <c r="P28">
        <v>9000</v>
      </c>
      <c r="Q28">
        <v>11</v>
      </c>
      <c r="R28">
        <v>1</v>
      </c>
      <c r="S28" t="s">
        <v>3824</v>
      </c>
      <c r="T28">
        <v>2</v>
      </c>
      <c r="U28">
        <v>0.5</v>
      </c>
      <c r="V28">
        <v>1000</v>
      </c>
      <c r="W28">
        <v>655</v>
      </c>
      <c r="X28">
        <v>1</v>
      </c>
      <c r="Y28">
        <v>2006</v>
      </c>
      <c r="Z28">
        <v>1</v>
      </c>
      <c r="AA28">
        <v>0.03</v>
      </c>
    </row>
    <row r="29" spans="1:27" ht="14.25" customHeight="1">
      <c r="A29" s="2">
        <v>1027</v>
      </c>
      <c r="B29" s="52" t="s">
        <v>3851</v>
      </c>
      <c r="C29" s="2">
        <v>14</v>
      </c>
      <c r="D29" s="2" t="s">
        <v>3823</v>
      </c>
      <c r="E29" s="2">
        <v>1</v>
      </c>
      <c r="F29" s="2">
        <v>5.0999999999999997E-2</v>
      </c>
      <c r="G29" s="6">
        <v>8001</v>
      </c>
      <c r="H29" s="2">
        <v>40</v>
      </c>
      <c r="I29" s="2">
        <v>1</v>
      </c>
      <c r="J29" s="6">
        <v>8000</v>
      </c>
      <c r="K29" s="2">
        <v>65</v>
      </c>
      <c r="L29" s="2">
        <v>1</v>
      </c>
      <c r="M29" s="6">
        <v>2007</v>
      </c>
      <c r="N29" s="2">
        <v>1</v>
      </c>
      <c r="O29" s="2">
        <v>0.05</v>
      </c>
      <c r="P29">
        <v>9000</v>
      </c>
      <c r="Q29">
        <v>11</v>
      </c>
      <c r="R29">
        <v>1</v>
      </c>
      <c r="S29" t="s">
        <v>3824</v>
      </c>
      <c r="T29">
        <v>2</v>
      </c>
      <c r="U29">
        <v>0.5</v>
      </c>
      <c r="V29">
        <v>1000</v>
      </c>
      <c r="W29">
        <v>660</v>
      </c>
      <c r="X29">
        <v>1</v>
      </c>
      <c r="Y29">
        <v>2006</v>
      </c>
      <c r="Z29">
        <v>1</v>
      </c>
      <c r="AA29">
        <v>0.03</v>
      </c>
    </row>
    <row r="30" spans="1:27" ht="14.25" customHeight="1">
      <c r="A30" s="2">
        <v>1028</v>
      </c>
      <c r="B30" s="52" t="s">
        <v>3852</v>
      </c>
      <c r="C30" s="2">
        <v>15</v>
      </c>
      <c r="D30" s="2" t="s">
        <v>3823</v>
      </c>
      <c r="E30" s="2">
        <v>1</v>
      </c>
      <c r="F30" s="2">
        <v>5.0999999999999997E-2</v>
      </c>
      <c r="G30" s="6">
        <v>8001</v>
      </c>
      <c r="H30" s="2">
        <v>40</v>
      </c>
      <c r="I30" s="2">
        <v>1</v>
      </c>
      <c r="J30" s="6">
        <v>8000</v>
      </c>
      <c r="K30" s="2">
        <v>65</v>
      </c>
      <c r="L30" s="2">
        <v>1</v>
      </c>
      <c r="M30" s="6">
        <v>2007</v>
      </c>
      <c r="N30" s="2">
        <v>1</v>
      </c>
      <c r="O30" s="2">
        <v>0.05</v>
      </c>
      <c r="P30">
        <v>9000</v>
      </c>
      <c r="Q30">
        <v>11</v>
      </c>
      <c r="R30">
        <v>1</v>
      </c>
      <c r="S30" t="s">
        <v>3824</v>
      </c>
      <c r="T30">
        <v>2</v>
      </c>
      <c r="U30">
        <v>0.5</v>
      </c>
      <c r="V30">
        <v>1000</v>
      </c>
      <c r="W30">
        <v>660</v>
      </c>
      <c r="X30">
        <v>1</v>
      </c>
      <c r="Y30">
        <v>2006</v>
      </c>
      <c r="Z30">
        <v>1</v>
      </c>
      <c r="AA30">
        <v>0.03</v>
      </c>
    </row>
    <row r="31" spans="1:27" ht="14.25" customHeight="1">
      <c r="A31" s="2">
        <v>1029</v>
      </c>
      <c r="B31" s="52" t="s">
        <v>3853</v>
      </c>
      <c r="C31" s="2">
        <v>15</v>
      </c>
      <c r="D31" s="2" t="s">
        <v>3823</v>
      </c>
      <c r="E31" s="2">
        <v>1</v>
      </c>
      <c r="F31" s="2">
        <v>5.0999999999999997E-2</v>
      </c>
      <c r="G31" s="6">
        <v>8001</v>
      </c>
      <c r="H31" s="2">
        <v>40</v>
      </c>
      <c r="I31" s="2">
        <v>1</v>
      </c>
      <c r="J31" s="6">
        <v>8000</v>
      </c>
      <c r="K31" s="2">
        <v>65</v>
      </c>
      <c r="L31" s="2">
        <v>1</v>
      </c>
      <c r="M31" s="6">
        <v>2007</v>
      </c>
      <c r="N31" s="2">
        <v>1</v>
      </c>
      <c r="O31" s="2">
        <v>0.05</v>
      </c>
      <c r="P31">
        <v>9000</v>
      </c>
      <c r="Q31">
        <v>11</v>
      </c>
      <c r="R31">
        <v>1</v>
      </c>
      <c r="S31" t="s">
        <v>3824</v>
      </c>
      <c r="T31">
        <v>2</v>
      </c>
      <c r="U31">
        <v>0.5</v>
      </c>
      <c r="V31">
        <v>1000</v>
      </c>
      <c r="W31">
        <v>665</v>
      </c>
      <c r="X31">
        <v>1</v>
      </c>
      <c r="Y31">
        <v>2006</v>
      </c>
      <c r="Z31">
        <v>1</v>
      </c>
      <c r="AA31">
        <v>0.03</v>
      </c>
    </row>
    <row r="32" spans="1:27" ht="14.25" customHeight="1">
      <c r="A32" s="2">
        <v>1030</v>
      </c>
      <c r="B32" s="52" t="s">
        <v>3854</v>
      </c>
      <c r="C32" s="2">
        <v>16</v>
      </c>
      <c r="D32" s="2" t="s">
        <v>3823</v>
      </c>
      <c r="E32" s="2">
        <v>1</v>
      </c>
      <c r="F32" s="2">
        <v>5.0999999999999997E-2</v>
      </c>
      <c r="G32" s="6">
        <v>8001</v>
      </c>
      <c r="H32" s="2">
        <v>45</v>
      </c>
      <c r="I32" s="2">
        <v>1</v>
      </c>
      <c r="J32" s="6">
        <v>8000</v>
      </c>
      <c r="K32" s="2">
        <v>65</v>
      </c>
      <c r="L32" s="2">
        <v>1</v>
      </c>
      <c r="M32" s="6">
        <v>2007</v>
      </c>
      <c r="N32" s="2">
        <v>1</v>
      </c>
      <c r="O32" s="2">
        <v>0.05</v>
      </c>
      <c r="P32">
        <v>9000</v>
      </c>
      <c r="Q32">
        <v>11</v>
      </c>
      <c r="R32">
        <v>1</v>
      </c>
      <c r="S32" t="s">
        <v>3824</v>
      </c>
      <c r="T32">
        <v>2</v>
      </c>
      <c r="U32">
        <v>0.5</v>
      </c>
      <c r="V32">
        <v>1000</v>
      </c>
      <c r="W32">
        <v>665</v>
      </c>
      <c r="X32">
        <v>1</v>
      </c>
      <c r="Y32">
        <v>2006</v>
      </c>
      <c r="Z32">
        <v>1</v>
      </c>
      <c r="AA32">
        <v>0.03</v>
      </c>
    </row>
    <row r="33" spans="1:27" ht="14.25" customHeight="1">
      <c r="A33" s="2">
        <v>1031</v>
      </c>
      <c r="B33" s="52" t="s">
        <v>3855</v>
      </c>
      <c r="C33" s="2">
        <v>16</v>
      </c>
      <c r="D33" s="2" t="s">
        <v>3823</v>
      </c>
      <c r="E33" s="2">
        <v>1</v>
      </c>
      <c r="F33" s="2">
        <v>5.0999999999999997E-2</v>
      </c>
      <c r="G33" s="6">
        <v>8001</v>
      </c>
      <c r="H33" s="2">
        <v>45</v>
      </c>
      <c r="I33" s="2">
        <v>1</v>
      </c>
      <c r="J33" s="6">
        <v>8000</v>
      </c>
      <c r="K33" s="2">
        <v>65</v>
      </c>
      <c r="L33" s="2">
        <v>1</v>
      </c>
      <c r="M33" s="6">
        <v>2007</v>
      </c>
      <c r="N33" s="2">
        <v>1</v>
      </c>
      <c r="O33" s="2">
        <v>0.05</v>
      </c>
      <c r="P33">
        <v>9000</v>
      </c>
      <c r="Q33">
        <v>11</v>
      </c>
      <c r="R33">
        <v>1</v>
      </c>
      <c r="S33" t="s">
        <v>3824</v>
      </c>
      <c r="T33">
        <v>2</v>
      </c>
      <c r="U33">
        <v>0.5</v>
      </c>
      <c r="V33">
        <v>1000</v>
      </c>
      <c r="W33">
        <v>670</v>
      </c>
      <c r="X33">
        <v>1</v>
      </c>
      <c r="Y33">
        <v>2006</v>
      </c>
      <c r="Z33">
        <v>1</v>
      </c>
      <c r="AA33">
        <v>0.03</v>
      </c>
    </row>
    <row r="34" spans="1:27" ht="14.25" customHeight="1">
      <c r="A34" s="2">
        <v>1032</v>
      </c>
      <c r="B34" s="52" t="s">
        <v>3856</v>
      </c>
      <c r="C34" s="2">
        <v>17</v>
      </c>
      <c r="D34" s="2" t="s">
        <v>3823</v>
      </c>
      <c r="E34" s="2">
        <v>1</v>
      </c>
      <c r="F34" s="2">
        <v>5.0999999999999997E-2</v>
      </c>
      <c r="G34" s="6">
        <v>8001</v>
      </c>
      <c r="H34" s="2">
        <v>45</v>
      </c>
      <c r="I34" s="2">
        <v>1</v>
      </c>
      <c r="J34" s="6">
        <v>8000</v>
      </c>
      <c r="K34" s="2">
        <v>65</v>
      </c>
      <c r="L34" s="2">
        <v>1</v>
      </c>
      <c r="M34" s="6">
        <v>2007</v>
      </c>
      <c r="N34" s="2">
        <v>1</v>
      </c>
      <c r="O34" s="2">
        <v>0.05</v>
      </c>
      <c r="P34">
        <v>9000</v>
      </c>
      <c r="Q34">
        <v>11</v>
      </c>
      <c r="R34">
        <v>1</v>
      </c>
      <c r="S34" t="s">
        <v>3824</v>
      </c>
      <c r="T34">
        <v>2</v>
      </c>
      <c r="U34">
        <v>0.5</v>
      </c>
      <c r="V34">
        <v>1000</v>
      </c>
      <c r="W34">
        <v>670</v>
      </c>
      <c r="X34">
        <v>1</v>
      </c>
      <c r="Y34">
        <v>2006</v>
      </c>
      <c r="Z34">
        <v>1</v>
      </c>
      <c r="AA34">
        <v>0.03</v>
      </c>
    </row>
    <row r="35" spans="1:27" ht="14.25" customHeight="1">
      <c r="A35" s="2">
        <v>1033</v>
      </c>
      <c r="B35" s="52" t="s">
        <v>3857</v>
      </c>
      <c r="C35" s="2">
        <v>17</v>
      </c>
      <c r="D35" s="2" t="s">
        <v>3823</v>
      </c>
      <c r="E35" s="2">
        <v>1</v>
      </c>
      <c r="F35" s="2">
        <v>5.0999999999999997E-2</v>
      </c>
      <c r="G35" s="6">
        <v>8001</v>
      </c>
      <c r="H35" s="2">
        <v>45</v>
      </c>
      <c r="I35" s="2">
        <v>1</v>
      </c>
      <c r="J35" s="6">
        <v>8000</v>
      </c>
      <c r="K35" s="2">
        <v>65</v>
      </c>
      <c r="L35" s="2">
        <v>1</v>
      </c>
      <c r="M35" s="6">
        <v>2007</v>
      </c>
      <c r="N35" s="2">
        <v>1</v>
      </c>
      <c r="O35" s="2">
        <v>0.05</v>
      </c>
      <c r="P35">
        <v>9000</v>
      </c>
      <c r="Q35">
        <v>11</v>
      </c>
      <c r="R35">
        <v>1</v>
      </c>
      <c r="S35" t="s">
        <v>3824</v>
      </c>
      <c r="T35">
        <v>2</v>
      </c>
      <c r="U35">
        <v>0.5</v>
      </c>
      <c r="V35">
        <v>1000</v>
      </c>
      <c r="W35">
        <v>675</v>
      </c>
      <c r="X35">
        <v>1</v>
      </c>
      <c r="Y35">
        <v>2006</v>
      </c>
      <c r="Z35">
        <v>1</v>
      </c>
      <c r="AA35">
        <v>0.03</v>
      </c>
    </row>
    <row r="36" spans="1:27" ht="14.25" customHeight="1">
      <c r="A36" s="2">
        <v>1034</v>
      </c>
      <c r="B36" s="52" t="s">
        <v>3858</v>
      </c>
      <c r="C36" s="2">
        <v>18</v>
      </c>
      <c r="D36" s="2" t="s">
        <v>3823</v>
      </c>
      <c r="E36" s="2">
        <v>1</v>
      </c>
      <c r="F36" s="2">
        <v>5.0999999999999997E-2</v>
      </c>
      <c r="G36" s="6">
        <v>8001</v>
      </c>
      <c r="H36" s="2">
        <v>45</v>
      </c>
      <c r="I36" s="2">
        <v>1</v>
      </c>
      <c r="J36" s="6">
        <v>8000</v>
      </c>
      <c r="K36" s="2">
        <v>65</v>
      </c>
      <c r="L36" s="2">
        <v>1</v>
      </c>
      <c r="M36" s="6">
        <v>2007</v>
      </c>
      <c r="N36" s="2">
        <v>1</v>
      </c>
      <c r="O36" s="2">
        <v>0.05</v>
      </c>
      <c r="P36">
        <v>9000</v>
      </c>
      <c r="Q36">
        <v>11</v>
      </c>
      <c r="R36">
        <v>1</v>
      </c>
      <c r="S36" t="s">
        <v>3824</v>
      </c>
      <c r="T36">
        <v>2</v>
      </c>
      <c r="U36">
        <v>0.5</v>
      </c>
      <c r="V36">
        <v>1000</v>
      </c>
      <c r="W36">
        <v>675</v>
      </c>
      <c r="X36">
        <v>1</v>
      </c>
      <c r="Y36">
        <v>2006</v>
      </c>
      <c r="Z36">
        <v>1</v>
      </c>
      <c r="AA36">
        <v>0.03</v>
      </c>
    </row>
    <row r="37" spans="1:27" ht="14.25" customHeight="1">
      <c r="A37" s="2">
        <v>1035</v>
      </c>
      <c r="B37" s="52" t="s">
        <v>3859</v>
      </c>
      <c r="C37" s="2">
        <v>18</v>
      </c>
      <c r="D37" s="2" t="s">
        <v>3823</v>
      </c>
      <c r="E37" s="2">
        <v>1</v>
      </c>
      <c r="F37" s="2">
        <v>5.0999999999999997E-2</v>
      </c>
      <c r="G37" s="6">
        <v>8001</v>
      </c>
      <c r="H37" s="2">
        <v>45</v>
      </c>
      <c r="I37" s="2">
        <v>1</v>
      </c>
      <c r="J37" s="6">
        <v>8000</v>
      </c>
      <c r="K37" s="2">
        <v>65</v>
      </c>
      <c r="L37" s="2">
        <v>1</v>
      </c>
      <c r="M37" s="6">
        <v>2007</v>
      </c>
      <c r="N37" s="2">
        <v>1</v>
      </c>
      <c r="O37" s="2">
        <v>0.05</v>
      </c>
      <c r="P37">
        <v>9000</v>
      </c>
      <c r="Q37">
        <v>11</v>
      </c>
      <c r="R37">
        <v>1</v>
      </c>
      <c r="S37" t="s">
        <v>3824</v>
      </c>
      <c r="T37">
        <v>2</v>
      </c>
      <c r="U37">
        <v>0.5</v>
      </c>
      <c r="V37">
        <v>1000</v>
      </c>
      <c r="W37">
        <v>680</v>
      </c>
      <c r="X37">
        <v>1</v>
      </c>
      <c r="Y37">
        <v>2006</v>
      </c>
      <c r="Z37">
        <v>1</v>
      </c>
      <c r="AA37">
        <v>0.03</v>
      </c>
    </row>
    <row r="38" spans="1:27" ht="14.25" customHeight="1">
      <c r="A38" s="2">
        <v>1036</v>
      </c>
      <c r="B38" s="52" t="s">
        <v>3860</v>
      </c>
      <c r="C38" s="2">
        <v>19</v>
      </c>
      <c r="D38" s="2" t="s">
        <v>3823</v>
      </c>
      <c r="E38" s="2">
        <v>1</v>
      </c>
      <c r="F38" s="2">
        <v>5.0999999999999997E-2</v>
      </c>
      <c r="G38" s="6">
        <v>8001</v>
      </c>
      <c r="H38" s="2">
        <v>45</v>
      </c>
      <c r="I38" s="2">
        <v>1</v>
      </c>
      <c r="J38" s="6">
        <v>8000</v>
      </c>
      <c r="K38" s="2">
        <v>65</v>
      </c>
      <c r="L38" s="2">
        <v>1</v>
      </c>
      <c r="M38" s="6">
        <v>2007</v>
      </c>
      <c r="N38" s="2">
        <v>1</v>
      </c>
      <c r="O38" s="2">
        <v>0.05</v>
      </c>
      <c r="P38">
        <v>9000</v>
      </c>
      <c r="Q38">
        <v>11</v>
      </c>
      <c r="R38">
        <v>1</v>
      </c>
      <c r="S38" t="s">
        <v>3824</v>
      </c>
      <c r="T38">
        <v>2</v>
      </c>
      <c r="U38">
        <v>0.5</v>
      </c>
      <c r="V38">
        <v>1000</v>
      </c>
      <c r="W38">
        <v>685</v>
      </c>
      <c r="X38">
        <v>1</v>
      </c>
      <c r="Y38">
        <v>2006</v>
      </c>
      <c r="Z38">
        <v>1</v>
      </c>
      <c r="AA38">
        <v>0.03</v>
      </c>
    </row>
    <row r="39" spans="1:27" ht="14.25" customHeight="1">
      <c r="A39" s="2">
        <v>1037</v>
      </c>
      <c r="B39" s="52" t="s">
        <v>3861</v>
      </c>
      <c r="C39" s="2">
        <v>19</v>
      </c>
      <c r="D39" s="2" t="s">
        <v>3823</v>
      </c>
      <c r="E39" s="2">
        <v>1</v>
      </c>
      <c r="F39" s="2">
        <v>5.0999999999999997E-2</v>
      </c>
      <c r="G39" s="6">
        <v>8001</v>
      </c>
      <c r="H39" s="2">
        <v>45</v>
      </c>
      <c r="I39" s="2">
        <v>1</v>
      </c>
      <c r="J39" s="6">
        <v>8000</v>
      </c>
      <c r="K39" s="2">
        <v>65</v>
      </c>
      <c r="L39" s="2">
        <v>1</v>
      </c>
      <c r="M39" s="6">
        <v>2007</v>
      </c>
      <c r="N39" s="2">
        <v>1</v>
      </c>
      <c r="O39" s="2">
        <v>0.05</v>
      </c>
      <c r="P39">
        <v>9000</v>
      </c>
      <c r="Q39">
        <v>12</v>
      </c>
      <c r="R39">
        <v>1</v>
      </c>
      <c r="S39" t="s">
        <v>3824</v>
      </c>
      <c r="T39">
        <v>2</v>
      </c>
      <c r="U39">
        <v>0.5</v>
      </c>
      <c r="V39">
        <v>1000</v>
      </c>
      <c r="W39">
        <v>685</v>
      </c>
      <c r="X39">
        <v>1</v>
      </c>
      <c r="Y39">
        <v>2006</v>
      </c>
      <c r="Z39">
        <v>1</v>
      </c>
      <c r="AA39">
        <v>0.03</v>
      </c>
    </row>
    <row r="40" spans="1:27" ht="14.25" customHeight="1">
      <c r="A40" s="2">
        <v>1038</v>
      </c>
      <c r="B40" s="52" t="s">
        <v>3862</v>
      </c>
      <c r="C40" s="2">
        <v>20</v>
      </c>
      <c r="D40" s="2" t="s">
        <v>3823</v>
      </c>
      <c r="E40" s="2">
        <v>1</v>
      </c>
      <c r="F40" s="2">
        <v>5.0999999999999997E-2</v>
      </c>
      <c r="G40" s="6">
        <v>8001</v>
      </c>
      <c r="H40" s="2">
        <v>45</v>
      </c>
      <c r="I40" s="2">
        <v>1</v>
      </c>
      <c r="J40" s="6">
        <v>8000</v>
      </c>
      <c r="K40" s="2">
        <v>65</v>
      </c>
      <c r="L40" s="2">
        <v>1</v>
      </c>
      <c r="M40" s="6">
        <v>2007</v>
      </c>
      <c r="N40" s="2">
        <v>1</v>
      </c>
      <c r="O40" s="2">
        <v>0.05</v>
      </c>
      <c r="P40">
        <v>9000</v>
      </c>
      <c r="Q40">
        <v>12</v>
      </c>
      <c r="R40">
        <v>1</v>
      </c>
      <c r="S40" t="s">
        <v>3824</v>
      </c>
      <c r="T40">
        <v>2</v>
      </c>
      <c r="U40">
        <v>0.5</v>
      </c>
      <c r="V40">
        <v>1000</v>
      </c>
      <c r="W40">
        <v>690</v>
      </c>
      <c r="X40">
        <v>1</v>
      </c>
      <c r="Y40">
        <v>2006</v>
      </c>
      <c r="Z40">
        <v>1</v>
      </c>
      <c r="AA40">
        <v>0.03</v>
      </c>
    </row>
    <row r="41" spans="1:27" ht="14.25" customHeight="1">
      <c r="A41" s="2">
        <v>1039</v>
      </c>
      <c r="B41" s="52" t="s">
        <v>3863</v>
      </c>
      <c r="C41" s="2">
        <v>20</v>
      </c>
      <c r="D41" s="2" t="s">
        <v>3823</v>
      </c>
      <c r="E41" s="2">
        <v>1</v>
      </c>
      <c r="F41" s="2">
        <v>5.0999999999999997E-2</v>
      </c>
      <c r="G41" s="6">
        <v>8001</v>
      </c>
      <c r="H41" s="2">
        <v>45</v>
      </c>
      <c r="I41" s="2">
        <v>1</v>
      </c>
      <c r="J41" s="6">
        <v>8000</v>
      </c>
      <c r="K41" s="2">
        <v>65</v>
      </c>
      <c r="L41" s="2">
        <v>1</v>
      </c>
      <c r="M41" s="6">
        <v>2007</v>
      </c>
      <c r="N41" s="2">
        <v>1</v>
      </c>
      <c r="O41" s="2">
        <v>0.05</v>
      </c>
      <c r="P41">
        <v>9000</v>
      </c>
      <c r="Q41">
        <v>12</v>
      </c>
      <c r="R41">
        <v>1</v>
      </c>
      <c r="S41" t="s">
        <v>3824</v>
      </c>
      <c r="T41">
        <v>2</v>
      </c>
      <c r="U41">
        <v>0.5</v>
      </c>
      <c r="V41">
        <v>1000</v>
      </c>
      <c r="W41">
        <v>695</v>
      </c>
      <c r="X41">
        <v>1</v>
      </c>
      <c r="Y41">
        <v>2006</v>
      </c>
      <c r="Z41">
        <v>1</v>
      </c>
      <c r="AA41">
        <v>0.03</v>
      </c>
    </row>
    <row r="42" spans="1:27" ht="14.25" customHeight="1">
      <c r="A42" s="2">
        <v>1040</v>
      </c>
      <c r="B42" s="52" t="s">
        <v>3864</v>
      </c>
      <c r="C42" s="2">
        <v>21</v>
      </c>
      <c r="D42" s="2" t="s">
        <v>3823</v>
      </c>
      <c r="E42" s="2">
        <v>1</v>
      </c>
      <c r="F42" s="2">
        <v>5.0999999999999997E-2</v>
      </c>
      <c r="G42" s="6">
        <v>8001</v>
      </c>
      <c r="H42" s="2">
        <v>45</v>
      </c>
      <c r="I42" s="2">
        <v>1</v>
      </c>
      <c r="J42" s="6">
        <v>8000</v>
      </c>
      <c r="K42" s="2">
        <v>65</v>
      </c>
      <c r="L42" s="2">
        <v>1</v>
      </c>
      <c r="M42" s="6">
        <v>2007</v>
      </c>
      <c r="N42" s="2">
        <v>1</v>
      </c>
      <c r="O42" s="2">
        <v>0.05</v>
      </c>
      <c r="P42">
        <v>9000</v>
      </c>
      <c r="Q42">
        <v>12</v>
      </c>
      <c r="R42">
        <v>1</v>
      </c>
      <c r="S42" t="s">
        <v>3824</v>
      </c>
      <c r="T42">
        <v>2</v>
      </c>
      <c r="U42">
        <v>0.5</v>
      </c>
      <c r="V42">
        <v>1000</v>
      </c>
      <c r="W42">
        <v>695</v>
      </c>
      <c r="X42">
        <v>1</v>
      </c>
      <c r="Y42">
        <v>2006</v>
      </c>
      <c r="Z42">
        <v>1</v>
      </c>
      <c r="AA42">
        <v>0.03</v>
      </c>
    </row>
    <row r="43" spans="1:27" ht="14.25" customHeight="1">
      <c r="A43" s="2">
        <v>1041</v>
      </c>
      <c r="B43" s="52" t="s">
        <v>3865</v>
      </c>
      <c r="C43" s="2">
        <v>21</v>
      </c>
      <c r="D43" s="2" t="s">
        <v>3823</v>
      </c>
      <c r="E43" s="2">
        <v>1</v>
      </c>
      <c r="F43" s="2">
        <v>5.0999999999999997E-2</v>
      </c>
      <c r="G43" s="6">
        <v>8001</v>
      </c>
      <c r="H43" s="2">
        <v>45</v>
      </c>
      <c r="I43" s="2">
        <v>1</v>
      </c>
      <c r="J43" s="6">
        <v>8000</v>
      </c>
      <c r="K43" s="2">
        <v>65</v>
      </c>
      <c r="L43" s="2">
        <v>1</v>
      </c>
      <c r="M43" s="6">
        <v>2007</v>
      </c>
      <c r="N43" s="2">
        <v>1</v>
      </c>
      <c r="O43" s="2">
        <v>0.05</v>
      </c>
      <c r="P43">
        <v>9000</v>
      </c>
      <c r="Q43">
        <v>12</v>
      </c>
      <c r="R43">
        <v>1</v>
      </c>
      <c r="S43" t="s">
        <v>3824</v>
      </c>
      <c r="T43">
        <v>2</v>
      </c>
      <c r="U43">
        <v>0.5</v>
      </c>
      <c r="V43">
        <v>1000</v>
      </c>
      <c r="W43">
        <v>700</v>
      </c>
      <c r="X43">
        <v>1</v>
      </c>
      <c r="Y43">
        <v>2006</v>
      </c>
      <c r="Z43">
        <v>1</v>
      </c>
      <c r="AA43">
        <v>0.03</v>
      </c>
    </row>
    <row r="44" spans="1:27" ht="14.25" customHeight="1">
      <c r="A44" s="2">
        <v>1042</v>
      </c>
      <c r="B44" s="52" t="s">
        <v>3866</v>
      </c>
      <c r="C44" s="2">
        <v>22</v>
      </c>
      <c r="D44" s="2" t="s">
        <v>3823</v>
      </c>
      <c r="E44" s="2">
        <v>1</v>
      </c>
      <c r="F44" s="2">
        <v>5.0999999999999997E-2</v>
      </c>
      <c r="G44" s="6">
        <v>8001</v>
      </c>
      <c r="H44" s="2">
        <v>45</v>
      </c>
      <c r="I44" s="2">
        <v>1</v>
      </c>
      <c r="J44" s="6">
        <v>8000</v>
      </c>
      <c r="K44" s="2">
        <v>70</v>
      </c>
      <c r="L44" s="2">
        <v>1</v>
      </c>
      <c r="M44" s="6">
        <v>2007</v>
      </c>
      <c r="N44" s="2">
        <v>1</v>
      </c>
      <c r="O44" s="2">
        <v>0.05</v>
      </c>
      <c r="P44">
        <v>9000</v>
      </c>
      <c r="Q44">
        <v>12</v>
      </c>
      <c r="R44">
        <v>1</v>
      </c>
      <c r="S44" t="s">
        <v>3824</v>
      </c>
      <c r="T44">
        <v>2</v>
      </c>
      <c r="U44">
        <v>0.5</v>
      </c>
      <c r="V44">
        <v>1000</v>
      </c>
      <c r="W44">
        <v>705</v>
      </c>
      <c r="X44">
        <v>1</v>
      </c>
      <c r="Y44">
        <v>2006</v>
      </c>
      <c r="Z44">
        <v>1</v>
      </c>
      <c r="AA44">
        <v>0.03</v>
      </c>
    </row>
    <row r="45" spans="1:27" ht="14.25" customHeight="1">
      <c r="A45" s="2">
        <v>1043</v>
      </c>
      <c r="B45" s="52" t="s">
        <v>3867</v>
      </c>
      <c r="C45" s="2">
        <v>22</v>
      </c>
      <c r="D45" s="2" t="s">
        <v>3823</v>
      </c>
      <c r="E45" s="2">
        <v>1</v>
      </c>
      <c r="F45" s="2">
        <v>5.0999999999999997E-2</v>
      </c>
      <c r="G45" s="6">
        <v>8001</v>
      </c>
      <c r="H45" s="2">
        <v>45</v>
      </c>
      <c r="I45" s="2">
        <v>1</v>
      </c>
      <c r="J45" s="6">
        <v>8000</v>
      </c>
      <c r="K45" s="2">
        <v>70</v>
      </c>
      <c r="L45" s="2">
        <v>1</v>
      </c>
      <c r="M45" s="6">
        <v>2007</v>
      </c>
      <c r="N45" s="2">
        <v>1</v>
      </c>
      <c r="O45" s="2">
        <v>0.05</v>
      </c>
      <c r="P45">
        <v>9000</v>
      </c>
      <c r="Q45">
        <v>12</v>
      </c>
      <c r="R45">
        <v>1</v>
      </c>
      <c r="S45" t="s">
        <v>3824</v>
      </c>
      <c r="T45">
        <v>2</v>
      </c>
      <c r="U45">
        <v>0.5</v>
      </c>
      <c r="V45">
        <v>1000</v>
      </c>
      <c r="W45">
        <v>710</v>
      </c>
      <c r="X45">
        <v>1</v>
      </c>
      <c r="Y45">
        <v>2006</v>
      </c>
      <c r="Z45">
        <v>1</v>
      </c>
      <c r="AA45">
        <v>0.03</v>
      </c>
    </row>
    <row r="46" spans="1:27" ht="14.25" customHeight="1">
      <c r="A46" s="2">
        <v>1044</v>
      </c>
      <c r="B46" s="52" t="s">
        <v>3868</v>
      </c>
      <c r="C46" s="2">
        <v>23</v>
      </c>
      <c r="D46" s="2" t="s">
        <v>3823</v>
      </c>
      <c r="E46" s="2">
        <v>1</v>
      </c>
      <c r="F46" s="2">
        <v>5.1999999999999998E-2</v>
      </c>
      <c r="G46" s="6">
        <v>8001</v>
      </c>
      <c r="H46" s="2">
        <v>45</v>
      </c>
      <c r="I46" s="2">
        <v>1</v>
      </c>
      <c r="J46" s="6">
        <v>8000</v>
      </c>
      <c r="K46" s="2">
        <v>70</v>
      </c>
      <c r="L46" s="2">
        <v>1</v>
      </c>
      <c r="M46" s="6">
        <v>2007</v>
      </c>
      <c r="N46" s="2">
        <v>1</v>
      </c>
      <c r="O46" s="2">
        <v>0.05</v>
      </c>
      <c r="P46">
        <v>9000</v>
      </c>
      <c r="Q46">
        <v>12</v>
      </c>
      <c r="R46">
        <v>1</v>
      </c>
      <c r="S46" t="s">
        <v>3824</v>
      </c>
      <c r="T46">
        <v>2</v>
      </c>
      <c r="U46">
        <v>0.5</v>
      </c>
      <c r="V46">
        <v>1000</v>
      </c>
      <c r="W46">
        <v>710</v>
      </c>
      <c r="X46">
        <v>1</v>
      </c>
      <c r="Y46">
        <v>2006</v>
      </c>
      <c r="Z46">
        <v>1</v>
      </c>
      <c r="AA46">
        <v>0.03</v>
      </c>
    </row>
    <row r="47" spans="1:27" ht="14.25" customHeight="1">
      <c r="A47" s="2">
        <v>1045</v>
      </c>
      <c r="B47" s="52" t="s">
        <v>3863</v>
      </c>
      <c r="C47" s="2">
        <v>23</v>
      </c>
      <c r="D47" s="2" t="s">
        <v>3823</v>
      </c>
      <c r="E47" s="2">
        <v>1</v>
      </c>
      <c r="F47" s="2">
        <v>5.1999999999999998E-2</v>
      </c>
      <c r="G47" s="6">
        <v>8001</v>
      </c>
      <c r="H47" s="2">
        <v>45</v>
      </c>
      <c r="I47" s="2">
        <v>1</v>
      </c>
      <c r="J47" s="6">
        <v>8000</v>
      </c>
      <c r="K47" s="2">
        <v>70</v>
      </c>
      <c r="L47" s="2">
        <v>1</v>
      </c>
      <c r="M47" s="6">
        <v>2007</v>
      </c>
      <c r="N47" s="2">
        <v>1</v>
      </c>
      <c r="O47" s="2">
        <v>0.05</v>
      </c>
      <c r="P47">
        <v>9000</v>
      </c>
      <c r="Q47">
        <v>12</v>
      </c>
      <c r="R47">
        <v>1</v>
      </c>
      <c r="S47" t="s">
        <v>3824</v>
      </c>
      <c r="T47">
        <v>2</v>
      </c>
      <c r="U47">
        <v>0.5</v>
      </c>
      <c r="V47">
        <v>1000</v>
      </c>
      <c r="W47">
        <v>715</v>
      </c>
      <c r="X47">
        <v>1</v>
      </c>
      <c r="Y47">
        <v>2006</v>
      </c>
      <c r="Z47">
        <v>1</v>
      </c>
      <c r="AA47">
        <v>0.03</v>
      </c>
    </row>
    <row r="48" spans="1:27" ht="14.25" customHeight="1">
      <c r="A48" s="2">
        <v>1046</v>
      </c>
      <c r="B48" s="52" t="s">
        <v>3869</v>
      </c>
      <c r="C48" s="2">
        <v>24</v>
      </c>
      <c r="D48" s="2" t="s">
        <v>3823</v>
      </c>
      <c r="E48" s="2">
        <v>1</v>
      </c>
      <c r="F48" s="2">
        <v>5.1999999999999998E-2</v>
      </c>
      <c r="G48" s="6">
        <v>8001</v>
      </c>
      <c r="H48" s="2">
        <v>45</v>
      </c>
      <c r="I48" s="2">
        <v>1</v>
      </c>
      <c r="J48" s="6">
        <v>8000</v>
      </c>
      <c r="K48" s="2">
        <v>70</v>
      </c>
      <c r="L48" s="2">
        <v>1</v>
      </c>
      <c r="M48" s="6">
        <v>2007</v>
      </c>
      <c r="N48" s="2">
        <v>1</v>
      </c>
      <c r="O48" s="2">
        <v>0.05</v>
      </c>
      <c r="P48">
        <v>9000</v>
      </c>
      <c r="Q48">
        <v>12</v>
      </c>
      <c r="R48">
        <v>1</v>
      </c>
      <c r="S48" t="s">
        <v>3824</v>
      </c>
      <c r="T48">
        <v>2</v>
      </c>
      <c r="U48">
        <v>0.5</v>
      </c>
      <c r="V48">
        <v>1000</v>
      </c>
      <c r="W48">
        <v>720</v>
      </c>
      <c r="X48">
        <v>1</v>
      </c>
      <c r="Y48">
        <v>2006</v>
      </c>
      <c r="Z48">
        <v>1</v>
      </c>
      <c r="AA48">
        <v>0.03</v>
      </c>
    </row>
    <row r="49" spans="1:27" ht="14.25" customHeight="1">
      <c r="A49" s="2">
        <v>1047</v>
      </c>
      <c r="B49" s="52" t="s">
        <v>3870</v>
      </c>
      <c r="C49" s="2">
        <v>24</v>
      </c>
      <c r="D49" s="2" t="s">
        <v>3823</v>
      </c>
      <c r="E49" s="2">
        <v>1</v>
      </c>
      <c r="F49" s="2">
        <v>5.1999999999999998E-2</v>
      </c>
      <c r="G49" s="6">
        <v>8001</v>
      </c>
      <c r="H49" s="2">
        <v>45</v>
      </c>
      <c r="I49" s="2">
        <v>1</v>
      </c>
      <c r="J49" s="6">
        <v>8000</v>
      </c>
      <c r="K49" s="2">
        <v>70</v>
      </c>
      <c r="L49" s="2">
        <v>1</v>
      </c>
      <c r="M49" s="6">
        <v>2007</v>
      </c>
      <c r="N49" s="2">
        <v>1</v>
      </c>
      <c r="O49" s="2">
        <v>0.05</v>
      </c>
      <c r="P49">
        <v>9000</v>
      </c>
      <c r="Q49">
        <v>12</v>
      </c>
      <c r="R49">
        <v>1</v>
      </c>
      <c r="S49" t="s">
        <v>3824</v>
      </c>
      <c r="T49">
        <v>2</v>
      </c>
      <c r="U49">
        <v>0.5</v>
      </c>
      <c r="V49">
        <v>1000</v>
      </c>
      <c r="W49">
        <v>725</v>
      </c>
      <c r="X49">
        <v>1</v>
      </c>
      <c r="Y49">
        <v>2006</v>
      </c>
      <c r="Z49">
        <v>1</v>
      </c>
      <c r="AA49">
        <v>0.03</v>
      </c>
    </row>
    <row r="50" spans="1:27" ht="14.25" customHeight="1">
      <c r="A50" s="2">
        <v>1048</v>
      </c>
      <c r="B50" s="52" t="s">
        <v>3871</v>
      </c>
      <c r="C50" s="2">
        <v>25</v>
      </c>
      <c r="D50" s="2" t="s">
        <v>3823</v>
      </c>
      <c r="E50" s="2">
        <v>1</v>
      </c>
      <c r="F50" s="2">
        <v>5.1999999999999998E-2</v>
      </c>
      <c r="G50" s="6">
        <v>8001</v>
      </c>
      <c r="H50" s="2">
        <v>45</v>
      </c>
      <c r="I50" s="2">
        <v>1</v>
      </c>
      <c r="J50" s="6">
        <v>8000</v>
      </c>
      <c r="K50" s="2">
        <v>70</v>
      </c>
      <c r="L50" s="2">
        <v>1</v>
      </c>
      <c r="M50" s="6">
        <v>2007</v>
      </c>
      <c r="N50" s="2">
        <v>1</v>
      </c>
      <c r="O50" s="2">
        <v>0.05</v>
      </c>
      <c r="P50">
        <v>9000</v>
      </c>
      <c r="Q50">
        <v>13</v>
      </c>
      <c r="R50">
        <v>1</v>
      </c>
      <c r="S50" t="s">
        <v>3824</v>
      </c>
      <c r="T50">
        <v>2</v>
      </c>
      <c r="U50">
        <v>0.5</v>
      </c>
      <c r="V50">
        <v>1000</v>
      </c>
      <c r="W50">
        <v>730</v>
      </c>
      <c r="X50">
        <v>1</v>
      </c>
      <c r="Y50">
        <v>2006</v>
      </c>
      <c r="Z50">
        <v>1</v>
      </c>
      <c r="AA50">
        <v>0.03</v>
      </c>
    </row>
    <row r="51" spans="1:27" ht="14.25" customHeight="1">
      <c r="A51" s="2">
        <v>1049</v>
      </c>
      <c r="B51" s="52" t="s">
        <v>3872</v>
      </c>
      <c r="C51" s="2">
        <v>25</v>
      </c>
      <c r="D51" s="2" t="s">
        <v>3823</v>
      </c>
      <c r="E51" s="2">
        <v>1</v>
      </c>
      <c r="F51" s="2">
        <v>5.1999999999999998E-2</v>
      </c>
      <c r="G51" s="6">
        <v>8001</v>
      </c>
      <c r="H51" s="2">
        <v>45</v>
      </c>
      <c r="I51" s="2">
        <v>1</v>
      </c>
      <c r="J51" s="6">
        <v>8000</v>
      </c>
      <c r="K51" s="2">
        <v>70</v>
      </c>
      <c r="L51" s="2">
        <v>1</v>
      </c>
      <c r="M51" s="6">
        <v>2007</v>
      </c>
      <c r="N51" s="2">
        <v>1</v>
      </c>
      <c r="O51" s="2">
        <v>0.05</v>
      </c>
      <c r="P51">
        <v>9000</v>
      </c>
      <c r="Q51">
        <v>13</v>
      </c>
      <c r="R51">
        <v>1</v>
      </c>
      <c r="S51" t="s">
        <v>3824</v>
      </c>
      <c r="T51">
        <v>2</v>
      </c>
      <c r="U51">
        <v>0.5</v>
      </c>
      <c r="V51">
        <v>1000</v>
      </c>
      <c r="W51">
        <v>730</v>
      </c>
      <c r="X51">
        <v>1</v>
      </c>
      <c r="Y51">
        <v>2006</v>
      </c>
      <c r="Z51">
        <v>1</v>
      </c>
      <c r="AA51">
        <v>0.03</v>
      </c>
    </row>
    <row r="52" spans="1:27" ht="14.25" customHeight="1">
      <c r="A52" s="2">
        <v>1050</v>
      </c>
      <c r="B52" s="52" t="s">
        <v>3873</v>
      </c>
      <c r="C52" s="2">
        <v>26</v>
      </c>
      <c r="D52" s="2" t="s">
        <v>3823</v>
      </c>
      <c r="E52" s="2">
        <v>1</v>
      </c>
      <c r="F52" s="2">
        <v>5.1999999999999998E-2</v>
      </c>
      <c r="G52" s="6">
        <v>8001</v>
      </c>
      <c r="H52" s="2">
        <v>45</v>
      </c>
      <c r="I52" s="2">
        <v>1</v>
      </c>
      <c r="J52" s="6">
        <v>8000</v>
      </c>
      <c r="K52" s="2">
        <v>70</v>
      </c>
      <c r="L52" s="2">
        <v>1</v>
      </c>
      <c r="M52" s="6">
        <v>2007</v>
      </c>
      <c r="N52" s="2">
        <v>1</v>
      </c>
      <c r="O52" s="2">
        <v>0.05</v>
      </c>
      <c r="P52">
        <v>9000</v>
      </c>
      <c r="Q52">
        <v>13</v>
      </c>
      <c r="R52">
        <v>1</v>
      </c>
      <c r="S52" t="s">
        <v>3824</v>
      </c>
      <c r="T52">
        <v>2</v>
      </c>
      <c r="U52">
        <v>0.5</v>
      </c>
      <c r="V52">
        <v>1000</v>
      </c>
      <c r="W52">
        <v>735</v>
      </c>
      <c r="X52">
        <v>1</v>
      </c>
      <c r="Y52">
        <v>2006</v>
      </c>
      <c r="Z52">
        <v>1</v>
      </c>
      <c r="AA52">
        <v>0.03</v>
      </c>
    </row>
    <row r="53" spans="1:27" ht="14.25" customHeight="1">
      <c r="A53" s="2">
        <v>1051</v>
      </c>
      <c r="B53" s="52" t="s">
        <v>3874</v>
      </c>
      <c r="C53" s="2">
        <v>26</v>
      </c>
      <c r="D53" s="2" t="s">
        <v>3823</v>
      </c>
      <c r="E53" s="2">
        <v>1</v>
      </c>
      <c r="F53" s="2">
        <v>5.1999999999999998E-2</v>
      </c>
      <c r="G53" s="6">
        <v>8001</v>
      </c>
      <c r="H53" s="2">
        <v>45</v>
      </c>
      <c r="I53" s="2">
        <v>1</v>
      </c>
      <c r="J53" s="6">
        <v>8000</v>
      </c>
      <c r="K53" s="2">
        <v>70</v>
      </c>
      <c r="L53" s="2">
        <v>1</v>
      </c>
      <c r="M53" s="6">
        <v>2007</v>
      </c>
      <c r="N53" s="2">
        <v>1</v>
      </c>
      <c r="O53" s="2">
        <v>0.05</v>
      </c>
      <c r="P53">
        <v>9000</v>
      </c>
      <c r="Q53">
        <v>13</v>
      </c>
      <c r="R53">
        <v>1</v>
      </c>
      <c r="S53" t="s">
        <v>3824</v>
      </c>
      <c r="T53">
        <v>2</v>
      </c>
      <c r="U53">
        <v>0.5</v>
      </c>
      <c r="V53">
        <v>1000</v>
      </c>
      <c r="W53">
        <v>740</v>
      </c>
      <c r="X53">
        <v>1</v>
      </c>
      <c r="Y53">
        <v>2006</v>
      </c>
      <c r="Z53">
        <v>1</v>
      </c>
      <c r="AA53">
        <v>0.03</v>
      </c>
    </row>
    <row r="54" spans="1:27" ht="14.25" customHeight="1">
      <c r="A54" s="2">
        <v>1052</v>
      </c>
      <c r="B54" s="52" t="s">
        <v>3875</v>
      </c>
      <c r="C54" s="2">
        <v>27</v>
      </c>
      <c r="D54" s="2" t="s">
        <v>3823</v>
      </c>
      <c r="E54" s="2">
        <v>1</v>
      </c>
      <c r="F54" s="2">
        <v>5.1999999999999998E-2</v>
      </c>
      <c r="G54" s="6">
        <v>8001</v>
      </c>
      <c r="H54" s="2">
        <v>50</v>
      </c>
      <c r="I54" s="2">
        <v>1</v>
      </c>
      <c r="J54" s="6">
        <v>8000</v>
      </c>
      <c r="K54" s="2">
        <v>70</v>
      </c>
      <c r="L54" s="2">
        <v>1</v>
      </c>
      <c r="M54" s="6">
        <v>2007</v>
      </c>
      <c r="N54" s="2">
        <v>1</v>
      </c>
      <c r="O54" s="2">
        <v>0.05</v>
      </c>
      <c r="P54">
        <v>9000</v>
      </c>
      <c r="Q54">
        <v>13</v>
      </c>
      <c r="R54">
        <v>1</v>
      </c>
      <c r="S54" t="s">
        <v>3824</v>
      </c>
      <c r="T54">
        <v>2</v>
      </c>
      <c r="U54">
        <v>0.5</v>
      </c>
      <c r="V54">
        <v>1000</v>
      </c>
      <c r="W54">
        <v>745</v>
      </c>
      <c r="X54">
        <v>1</v>
      </c>
      <c r="Y54">
        <v>2006</v>
      </c>
      <c r="Z54">
        <v>1</v>
      </c>
      <c r="AA54">
        <v>0.03</v>
      </c>
    </row>
    <row r="55" spans="1:27" ht="14.25" customHeight="1">
      <c r="A55" s="2">
        <v>1053</v>
      </c>
      <c r="B55" s="52" t="s">
        <v>3876</v>
      </c>
      <c r="C55" s="2">
        <v>27</v>
      </c>
      <c r="D55" s="2" t="s">
        <v>3823</v>
      </c>
      <c r="E55" s="2">
        <v>1</v>
      </c>
      <c r="F55" s="2">
        <v>5.1999999999999998E-2</v>
      </c>
      <c r="G55" s="6">
        <v>8001</v>
      </c>
      <c r="H55" s="2">
        <v>50</v>
      </c>
      <c r="I55" s="2">
        <v>1</v>
      </c>
      <c r="J55" s="6">
        <v>8000</v>
      </c>
      <c r="K55" s="2">
        <v>70</v>
      </c>
      <c r="L55" s="2">
        <v>1</v>
      </c>
      <c r="M55" s="6">
        <v>2007</v>
      </c>
      <c r="N55" s="2">
        <v>1</v>
      </c>
      <c r="O55" s="2">
        <v>0.05</v>
      </c>
      <c r="P55">
        <v>9000</v>
      </c>
      <c r="Q55">
        <v>13</v>
      </c>
      <c r="R55">
        <v>1</v>
      </c>
      <c r="S55" t="s">
        <v>3824</v>
      </c>
      <c r="T55">
        <v>2</v>
      </c>
      <c r="U55">
        <v>0.5</v>
      </c>
      <c r="V55">
        <v>1000</v>
      </c>
      <c r="W55">
        <v>750</v>
      </c>
      <c r="X55">
        <v>1</v>
      </c>
      <c r="Y55">
        <v>2006</v>
      </c>
      <c r="Z55">
        <v>1</v>
      </c>
      <c r="AA55">
        <v>0.03</v>
      </c>
    </row>
    <row r="56" spans="1:27" ht="14.25" customHeight="1">
      <c r="A56" s="2">
        <v>1054</v>
      </c>
      <c r="B56" s="52" t="s">
        <v>3877</v>
      </c>
      <c r="C56" s="2">
        <v>28</v>
      </c>
      <c r="D56" s="2" t="s">
        <v>3823</v>
      </c>
      <c r="E56" s="2">
        <v>1</v>
      </c>
      <c r="F56" s="2">
        <v>5.1999999999999998E-2</v>
      </c>
      <c r="G56" s="6">
        <v>8001</v>
      </c>
      <c r="H56" s="2">
        <v>50</v>
      </c>
      <c r="I56" s="2">
        <v>1</v>
      </c>
      <c r="J56" s="6">
        <v>8000</v>
      </c>
      <c r="K56" s="2">
        <v>70</v>
      </c>
      <c r="L56" s="2">
        <v>1</v>
      </c>
      <c r="M56" s="6">
        <v>2007</v>
      </c>
      <c r="N56" s="2">
        <v>1</v>
      </c>
      <c r="O56" s="2">
        <v>0.05</v>
      </c>
      <c r="P56">
        <v>9000</v>
      </c>
      <c r="Q56">
        <v>13</v>
      </c>
      <c r="R56">
        <v>1</v>
      </c>
      <c r="S56" t="s">
        <v>3824</v>
      </c>
      <c r="T56">
        <v>2</v>
      </c>
      <c r="U56">
        <v>0.5</v>
      </c>
      <c r="V56">
        <v>1000</v>
      </c>
      <c r="W56">
        <v>755</v>
      </c>
      <c r="X56">
        <v>1</v>
      </c>
      <c r="Y56">
        <v>2006</v>
      </c>
      <c r="Z56">
        <v>1</v>
      </c>
      <c r="AA56">
        <v>0.03</v>
      </c>
    </row>
    <row r="57" spans="1:27" ht="14.25" customHeight="1">
      <c r="A57" s="2">
        <v>1055</v>
      </c>
      <c r="B57" s="52" t="s">
        <v>3878</v>
      </c>
      <c r="C57" s="2">
        <v>28</v>
      </c>
      <c r="D57" s="2" t="s">
        <v>3823</v>
      </c>
      <c r="E57" s="2">
        <v>1</v>
      </c>
      <c r="F57" s="2">
        <v>5.1999999999999998E-2</v>
      </c>
      <c r="G57" s="6">
        <v>8001</v>
      </c>
      <c r="H57" s="2">
        <v>50</v>
      </c>
      <c r="I57" s="2">
        <v>1</v>
      </c>
      <c r="J57" s="6">
        <v>8000</v>
      </c>
      <c r="K57" s="2">
        <v>75</v>
      </c>
      <c r="L57" s="2">
        <v>1</v>
      </c>
      <c r="M57" s="6">
        <v>2007</v>
      </c>
      <c r="N57" s="2">
        <v>1</v>
      </c>
      <c r="O57" s="2">
        <v>0.05</v>
      </c>
      <c r="P57">
        <v>9000</v>
      </c>
      <c r="Q57">
        <v>13</v>
      </c>
      <c r="R57">
        <v>1</v>
      </c>
      <c r="S57" t="s">
        <v>3824</v>
      </c>
      <c r="T57">
        <v>2</v>
      </c>
      <c r="U57">
        <v>0.5</v>
      </c>
      <c r="V57">
        <v>1000</v>
      </c>
      <c r="W57">
        <v>760</v>
      </c>
      <c r="X57">
        <v>1</v>
      </c>
      <c r="Y57">
        <v>2006</v>
      </c>
      <c r="Z57">
        <v>1</v>
      </c>
      <c r="AA57">
        <v>0.03</v>
      </c>
    </row>
    <row r="58" spans="1:27" ht="14.25" customHeight="1">
      <c r="A58" s="2">
        <v>1056</v>
      </c>
      <c r="B58" s="52" t="s">
        <v>3879</v>
      </c>
      <c r="C58" s="2">
        <v>29</v>
      </c>
      <c r="D58" s="2" t="s">
        <v>3823</v>
      </c>
      <c r="E58" s="2">
        <v>1</v>
      </c>
      <c r="F58" s="2">
        <v>5.1999999999999998E-2</v>
      </c>
      <c r="G58" s="6">
        <v>8001</v>
      </c>
      <c r="H58" s="2">
        <v>50</v>
      </c>
      <c r="I58" s="2">
        <v>1</v>
      </c>
      <c r="J58" s="6">
        <v>8000</v>
      </c>
      <c r="K58" s="2">
        <v>75</v>
      </c>
      <c r="L58" s="2">
        <v>1</v>
      </c>
      <c r="M58" s="6">
        <v>2007</v>
      </c>
      <c r="N58" s="2">
        <v>1</v>
      </c>
      <c r="O58" s="2">
        <v>0.05</v>
      </c>
      <c r="P58">
        <v>9000</v>
      </c>
      <c r="Q58">
        <v>13</v>
      </c>
      <c r="R58">
        <v>1</v>
      </c>
      <c r="S58" t="s">
        <v>3824</v>
      </c>
      <c r="T58">
        <v>2</v>
      </c>
      <c r="U58">
        <v>0.5</v>
      </c>
      <c r="V58">
        <v>1000</v>
      </c>
      <c r="W58">
        <v>765</v>
      </c>
      <c r="X58">
        <v>1</v>
      </c>
      <c r="Y58">
        <v>2006</v>
      </c>
      <c r="Z58">
        <v>1</v>
      </c>
      <c r="AA58">
        <v>0.03</v>
      </c>
    </row>
    <row r="59" spans="1:27" ht="14.25" customHeight="1">
      <c r="A59" s="2">
        <v>1057</v>
      </c>
      <c r="B59" s="52" t="s">
        <v>3880</v>
      </c>
      <c r="C59" s="2">
        <v>29</v>
      </c>
      <c r="D59" s="2" t="s">
        <v>3823</v>
      </c>
      <c r="E59" s="2">
        <v>1</v>
      </c>
      <c r="F59" s="2">
        <v>5.2999999999999999E-2</v>
      </c>
      <c r="G59" s="6">
        <v>8001</v>
      </c>
      <c r="H59" s="2">
        <v>50</v>
      </c>
      <c r="I59" s="2">
        <v>1</v>
      </c>
      <c r="J59" s="6">
        <v>8000</v>
      </c>
      <c r="K59" s="2">
        <v>75</v>
      </c>
      <c r="L59" s="2">
        <v>1</v>
      </c>
      <c r="M59" s="6">
        <v>2007</v>
      </c>
      <c r="N59" s="2">
        <v>1</v>
      </c>
      <c r="O59" s="2">
        <v>0.05</v>
      </c>
      <c r="P59">
        <v>9000</v>
      </c>
      <c r="Q59">
        <v>14</v>
      </c>
      <c r="R59">
        <v>1</v>
      </c>
      <c r="S59" t="s">
        <v>3824</v>
      </c>
      <c r="T59">
        <v>2</v>
      </c>
      <c r="U59">
        <v>0.5</v>
      </c>
      <c r="V59">
        <v>1000</v>
      </c>
      <c r="W59">
        <v>770</v>
      </c>
      <c r="X59">
        <v>1</v>
      </c>
      <c r="Y59">
        <v>2006</v>
      </c>
      <c r="Z59">
        <v>1</v>
      </c>
      <c r="AA59">
        <v>0.03</v>
      </c>
    </row>
    <row r="60" spans="1:27" ht="14.25" customHeight="1">
      <c r="A60" s="2">
        <v>1058</v>
      </c>
      <c r="B60" s="52" t="s">
        <v>3881</v>
      </c>
      <c r="C60" s="2">
        <v>30</v>
      </c>
      <c r="D60" s="2" t="s">
        <v>3823</v>
      </c>
      <c r="E60" s="2">
        <v>1</v>
      </c>
      <c r="F60" s="2">
        <v>5.2999999999999999E-2</v>
      </c>
      <c r="G60" s="6">
        <v>8001</v>
      </c>
      <c r="H60" s="2">
        <v>50</v>
      </c>
      <c r="I60" s="2">
        <v>1</v>
      </c>
      <c r="J60" s="6">
        <v>8000</v>
      </c>
      <c r="K60" s="2">
        <v>75</v>
      </c>
      <c r="L60" s="2">
        <v>1</v>
      </c>
      <c r="M60" s="6">
        <v>2007</v>
      </c>
      <c r="N60" s="2">
        <v>1</v>
      </c>
      <c r="O60" s="2">
        <v>0.05</v>
      </c>
      <c r="P60">
        <v>9000</v>
      </c>
      <c r="Q60">
        <v>14</v>
      </c>
      <c r="R60">
        <v>1</v>
      </c>
      <c r="S60" t="s">
        <v>3824</v>
      </c>
      <c r="T60">
        <v>2</v>
      </c>
      <c r="U60">
        <v>0.5</v>
      </c>
      <c r="V60">
        <v>1000</v>
      </c>
      <c r="W60">
        <v>775</v>
      </c>
      <c r="X60">
        <v>1</v>
      </c>
      <c r="Y60">
        <v>2006</v>
      </c>
      <c r="Z60">
        <v>1</v>
      </c>
      <c r="AA60">
        <v>0.03</v>
      </c>
    </row>
    <row r="61" spans="1:27" ht="14.25" customHeight="1">
      <c r="A61" s="2">
        <v>1059</v>
      </c>
      <c r="B61" s="52" t="s">
        <v>3882</v>
      </c>
      <c r="C61" s="2">
        <v>30</v>
      </c>
      <c r="D61" s="2" t="s">
        <v>3823</v>
      </c>
      <c r="E61" s="2">
        <v>1</v>
      </c>
      <c r="F61" s="2">
        <v>5.2999999999999999E-2</v>
      </c>
      <c r="G61" s="6">
        <v>8001</v>
      </c>
      <c r="H61" s="2">
        <v>50</v>
      </c>
      <c r="I61" s="2">
        <v>1</v>
      </c>
      <c r="J61" s="6">
        <v>8000</v>
      </c>
      <c r="K61" s="2">
        <v>75</v>
      </c>
      <c r="L61" s="2">
        <v>1</v>
      </c>
      <c r="M61" s="6">
        <v>2007</v>
      </c>
      <c r="N61" s="2">
        <v>1</v>
      </c>
      <c r="O61" s="2">
        <v>0.05</v>
      </c>
      <c r="P61">
        <v>9000</v>
      </c>
      <c r="Q61">
        <v>14</v>
      </c>
      <c r="R61">
        <v>1</v>
      </c>
      <c r="S61" t="s">
        <v>3824</v>
      </c>
      <c r="T61">
        <v>2</v>
      </c>
      <c r="U61">
        <v>0.5</v>
      </c>
      <c r="V61">
        <v>1000</v>
      </c>
      <c r="W61">
        <v>780</v>
      </c>
      <c r="X61">
        <v>1</v>
      </c>
      <c r="Y61">
        <v>2006</v>
      </c>
      <c r="Z61">
        <v>1</v>
      </c>
      <c r="AA61">
        <v>0.03</v>
      </c>
    </row>
    <row r="62" spans="1:27">
      <c r="A62">
        <v>1060</v>
      </c>
      <c r="B62" t="s">
        <v>3883</v>
      </c>
      <c r="C62">
        <v>31</v>
      </c>
      <c r="D62" t="s">
        <v>3823</v>
      </c>
      <c r="E62">
        <v>1</v>
      </c>
      <c r="F62">
        <v>5.2999999999999999E-2</v>
      </c>
      <c r="G62">
        <v>8001</v>
      </c>
      <c r="H62">
        <v>50</v>
      </c>
      <c r="I62">
        <v>1</v>
      </c>
      <c r="J62">
        <v>8000</v>
      </c>
      <c r="K62">
        <v>75</v>
      </c>
      <c r="L62">
        <v>1</v>
      </c>
      <c r="M62">
        <v>2007</v>
      </c>
      <c r="N62">
        <v>1</v>
      </c>
      <c r="O62">
        <v>0.05</v>
      </c>
      <c r="P62">
        <v>9000</v>
      </c>
      <c r="Q62">
        <v>14</v>
      </c>
      <c r="R62">
        <v>1</v>
      </c>
      <c r="S62" t="s">
        <v>3824</v>
      </c>
      <c r="T62">
        <v>3</v>
      </c>
      <c r="U62">
        <v>0.5</v>
      </c>
      <c r="V62">
        <v>1000</v>
      </c>
      <c r="W62">
        <v>785</v>
      </c>
      <c r="X62">
        <v>1</v>
      </c>
      <c r="Y62">
        <v>2006</v>
      </c>
      <c r="Z62">
        <v>1</v>
      </c>
      <c r="AA62">
        <v>0.03</v>
      </c>
    </row>
    <row r="63" spans="1:27">
      <c r="A63">
        <v>1061</v>
      </c>
      <c r="B63" t="s">
        <v>3884</v>
      </c>
      <c r="C63">
        <v>31</v>
      </c>
      <c r="D63" t="s">
        <v>3823</v>
      </c>
      <c r="E63">
        <v>1</v>
      </c>
      <c r="F63">
        <v>5.2999999999999999E-2</v>
      </c>
      <c r="G63">
        <v>8001</v>
      </c>
      <c r="H63">
        <v>50</v>
      </c>
      <c r="I63">
        <v>1</v>
      </c>
      <c r="J63">
        <v>8000</v>
      </c>
      <c r="K63">
        <v>75</v>
      </c>
      <c r="L63">
        <v>1</v>
      </c>
      <c r="M63">
        <v>2007</v>
      </c>
      <c r="N63">
        <v>1</v>
      </c>
      <c r="O63">
        <v>0.05</v>
      </c>
      <c r="P63">
        <v>9000</v>
      </c>
      <c r="Q63">
        <v>14</v>
      </c>
      <c r="R63">
        <v>1</v>
      </c>
      <c r="S63" t="s">
        <v>3824</v>
      </c>
      <c r="T63">
        <v>3</v>
      </c>
      <c r="U63">
        <v>0.5</v>
      </c>
      <c r="V63">
        <v>1000</v>
      </c>
      <c r="W63">
        <v>790</v>
      </c>
      <c r="X63">
        <v>1</v>
      </c>
      <c r="Y63">
        <v>2006</v>
      </c>
      <c r="Z63">
        <v>1</v>
      </c>
      <c r="AA63">
        <v>0.03</v>
      </c>
    </row>
    <row r="64" spans="1:27">
      <c r="A64">
        <v>1062</v>
      </c>
      <c r="B64" t="s">
        <v>3885</v>
      </c>
      <c r="C64">
        <v>32</v>
      </c>
      <c r="D64" t="s">
        <v>3823</v>
      </c>
      <c r="E64">
        <v>1</v>
      </c>
      <c r="F64">
        <v>5.2999999999999999E-2</v>
      </c>
      <c r="G64">
        <v>8001</v>
      </c>
      <c r="H64">
        <v>50</v>
      </c>
      <c r="I64">
        <v>1</v>
      </c>
      <c r="J64">
        <v>8000</v>
      </c>
      <c r="K64">
        <v>75</v>
      </c>
      <c r="L64">
        <v>1</v>
      </c>
      <c r="M64">
        <v>2007</v>
      </c>
      <c r="N64">
        <v>1</v>
      </c>
      <c r="O64">
        <v>0.05</v>
      </c>
      <c r="P64">
        <v>9000</v>
      </c>
      <c r="Q64">
        <v>14</v>
      </c>
      <c r="R64">
        <v>1</v>
      </c>
      <c r="S64" t="s">
        <v>3824</v>
      </c>
      <c r="T64">
        <v>3</v>
      </c>
      <c r="U64">
        <v>0.5</v>
      </c>
      <c r="V64">
        <v>1000</v>
      </c>
      <c r="W64">
        <v>795</v>
      </c>
      <c r="X64">
        <v>1</v>
      </c>
      <c r="Y64">
        <v>2006</v>
      </c>
      <c r="Z64">
        <v>1</v>
      </c>
      <c r="AA64">
        <v>0.03</v>
      </c>
    </row>
    <row r="65" spans="1:27">
      <c r="A65">
        <v>1063</v>
      </c>
      <c r="B65" t="s">
        <v>3886</v>
      </c>
      <c r="C65">
        <v>32</v>
      </c>
      <c r="D65" t="s">
        <v>3823</v>
      </c>
      <c r="E65">
        <v>1</v>
      </c>
      <c r="F65">
        <v>5.2999999999999999E-2</v>
      </c>
      <c r="G65">
        <v>8001</v>
      </c>
      <c r="H65">
        <v>50</v>
      </c>
      <c r="I65">
        <v>1</v>
      </c>
      <c r="J65">
        <v>8000</v>
      </c>
      <c r="K65">
        <v>75</v>
      </c>
      <c r="L65">
        <v>1</v>
      </c>
      <c r="M65">
        <v>2007</v>
      </c>
      <c r="N65">
        <v>1</v>
      </c>
      <c r="O65">
        <v>0.05</v>
      </c>
      <c r="P65">
        <v>9000</v>
      </c>
      <c r="Q65">
        <v>14</v>
      </c>
      <c r="R65">
        <v>1</v>
      </c>
      <c r="S65" t="s">
        <v>3824</v>
      </c>
      <c r="T65">
        <v>3</v>
      </c>
      <c r="U65">
        <v>0.5</v>
      </c>
      <c r="V65">
        <v>1000</v>
      </c>
      <c r="W65">
        <v>800</v>
      </c>
      <c r="X65">
        <v>1</v>
      </c>
      <c r="Y65">
        <v>2006</v>
      </c>
      <c r="Z65">
        <v>1</v>
      </c>
      <c r="AA65">
        <v>0.03</v>
      </c>
    </row>
    <row r="66" spans="1:27">
      <c r="A66">
        <v>1064</v>
      </c>
      <c r="B66" t="s">
        <v>3887</v>
      </c>
      <c r="C66">
        <v>33</v>
      </c>
      <c r="D66" t="s">
        <v>3823</v>
      </c>
      <c r="E66">
        <v>1</v>
      </c>
      <c r="F66">
        <v>5.2999999999999999E-2</v>
      </c>
      <c r="G66">
        <v>8001</v>
      </c>
      <c r="H66">
        <v>50</v>
      </c>
      <c r="I66">
        <v>1</v>
      </c>
      <c r="J66">
        <v>8000</v>
      </c>
      <c r="K66">
        <v>75</v>
      </c>
      <c r="L66">
        <v>1</v>
      </c>
      <c r="M66">
        <v>2007</v>
      </c>
      <c r="N66">
        <v>1</v>
      </c>
      <c r="O66">
        <v>0.05</v>
      </c>
      <c r="P66">
        <v>9000</v>
      </c>
      <c r="Q66">
        <v>14</v>
      </c>
      <c r="R66">
        <v>1</v>
      </c>
      <c r="S66" t="s">
        <v>3824</v>
      </c>
      <c r="T66">
        <v>3</v>
      </c>
      <c r="U66">
        <v>0.5</v>
      </c>
      <c r="V66">
        <v>1000</v>
      </c>
      <c r="W66">
        <v>805</v>
      </c>
      <c r="X66">
        <v>1</v>
      </c>
      <c r="Y66">
        <v>2006</v>
      </c>
      <c r="Z66">
        <v>1</v>
      </c>
      <c r="AA66">
        <v>0.03</v>
      </c>
    </row>
    <row r="67" spans="1:27">
      <c r="A67">
        <v>1065</v>
      </c>
      <c r="B67" t="s">
        <v>3888</v>
      </c>
      <c r="C67">
        <v>33</v>
      </c>
      <c r="D67" t="s">
        <v>3823</v>
      </c>
      <c r="E67">
        <v>1</v>
      </c>
      <c r="F67">
        <v>5.2999999999999999E-2</v>
      </c>
      <c r="G67">
        <v>8001</v>
      </c>
      <c r="H67">
        <v>50</v>
      </c>
      <c r="I67">
        <v>1</v>
      </c>
      <c r="J67">
        <v>8000</v>
      </c>
      <c r="K67">
        <v>80</v>
      </c>
      <c r="L67">
        <v>1</v>
      </c>
      <c r="M67">
        <v>2007</v>
      </c>
      <c r="N67">
        <v>1</v>
      </c>
      <c r="O67">
        <v>0.05</v>
      </c>
      <c r="P67">
        <v>9000</v>
      </c>
      <c r="Q67">
        <v>15</v>
      </c>
      <c r="R67">
        <v>1</v>
      </c>
      <c r="S67" t="s">
        <v>3824</v>
      </c>
      <c r="T67">
        <v>3</v>
      </c>
      <c r="U67">
        <v>0.5</v>
      </c>
      <c r="V67">
        <v>1000</v>
      </c>
      <c r="W67">
        <v>810</v>
      </c>
      <c r="X67">
        <v>1</v>
      </c>
      <c r="Y67">
        <v>2006</v>
      </c>
      <c r="Z67">
        <v>1</v>
      </c>
      <c r="AA67">
        <v>0.03</v>
      </c>
    </row>
    <row r="68" spans="1:27">
      <c r="A68">
        <v>1066</v>
      </c>
      <c r="B68" t="s">
        <v>3889</v>
      </c>
      <c r="C68">
        <v>34</v>
      </c>
      <c r="D68" t="s">
        <v>3823</v>
      </c>
      <c r="E68">
        <v>1</v>
      </c>
      <c r="F68">
        <v>5.2999999999999999E-2</v>
      </c>
      <c r="G68">
        <v>8001</v>
      </c>
      <c r="H68">
        <v>50</v>
      </c>
      <c r="I68">
        <v>1</v>
      </c>
      <c r="J68">
        <v>8000</v>
      </c>
      <c r="K68">
        <v>80</v>
      </c>
      <c r="L68">
        <v>1</v>
      </c>
      <c r="M68">
        <v>2007</v>
      </c>
      <c r="N68">
        <v>1</v>
      </c>
      <c r="O68">
        <v>0.05</v>
      </c>
      <c r="P68">
        <v>9000</v>
      </c>
      <c r="Q68">
        <v>15</v>
      </c>
      <c r="R68">
        <v>1</v>
      </c>
      <c r="S68" t="s">
        <v>3824</v>
      </c>
      <c r="T68">
        <v>3</v>
      </c>
      <c r="U68">
        <v>0.5</v>
      </c>
      <c r="V68">
        <v>1000</v>
      </c>
      <c r="W68">
        <v>815</v>
      </c>
      <c r="X68">
        <v>1</v>
      </c>
      <c r="Y68">
        <v>2006</v>
      </c>
      <c r="Z68">
        <v>1</v>
      </c>
      <c r="AA68">
        <v>0.03</v>
      </c>
    </row>
    <row r="69" spans="1:27">
      <c r="A69">
        <v>1067</v>
      </c>
      <c r="B69" t="s">
        <v>3890</v>
      </c>
      <c r="C69">
        <v>34</v>
      </c>
      <c r="D69" t="s">
        <v>3823</v>
      </c>
      <c r="E69">
        <v>1</v>
      </c>
      <c r="F69">
        <v>5.2999999999999999E-2</v>
      </c>
      <c r="G69">
        <v>8001</v>
      </c>
      <c r="H69">
        <v>55</v>
      </c>
      <c r="I69">
        <v>1</v>
      </c>
      <c r="J69">
        <v>8000</v>
      </c>
      <c r="K69">
        <v>80</v>
      </c>
      <c r="L69">
        <v>1</v>
      </c>
      <c r="M69">
        <v>2007</v>
      </c>
      <c r="N69">
        <v>1</v>
      </c>
      <c r="O69">
        <v>0.05</v>
      </c>
      <c r="P69">
        <v>9000</v>
      </c>
      <c r="Q69">
        <v>15</v>
      </c>
      <c r="R69">
        <v>1</v>
      </c>
      <c r="S69" t="s">
        <v>3824</v>
      </c>
      <c r="T69">
        <v>3</v>
      </c>
      <c r="U69">
        <v>0.5</v>
      </c>
      <c r="V69">
        <v>1000</v>
      </c>
      <c r="W69">
        <v>820</v>
      </c>
      <c r="X69">
        <v>1</v>
      </c>
      <c r="Y69">
        <v>2006</v>
      </c>
      <c r="Z69">
        <v>1</v>
      </c>
      <c r="AA69">
        <v>0.03</v>
      </c>
    </row>
    <row r="70" spans="1:27">
      <c r="A70">
        <v>1068</v>
      </c>
      <c r="B70" t="s">
        <v>3883</v>
      </c>
      <c r="C70">
        <v>35</v>
      </c>
      <c r="D70" t="s">
        <v>3823</v>
      </c>
      <c r="E70">
        <v>1</v>
      </c>
      <c r="F70">
        <v>5.3999999999999999E-2</v>
      </c>
      <c r="G70">
        <v>8001</v>
      </c>
      <c r="H70">
        <v>55</v>
      </c>
      <c r="I70">
        <v>1</v>
      </c>
      <c r="J70">
        <v>8000</v>
      </c>
      <c r="K70">
        <v>80</v>
      </c>
      <c r="L70">
        <v>1</v>
      </c>
      <c r="M70">
        <v>2007</v>
      </c>
      <c r="N70">
        <v>1</v>
      </c>
      <c r="O70">
        <v>0.05</v>
      </c>
      <c r="P70">
        <v>9000</v>
      </c>
      <c r="Q70">
        <v>15</v>
      </c>
      <c r="R70">
        <v>1</v>
      </c>
      <c r="S70" t="s">
        <v>3824</v>
      </c>
      <c r="T70">
        <v>3</v>
      </c>
      <c r="U70">
        <v>0.5</v>
      </c>
      <c r="V70">
        <v>1000</v>
      </c>
      <c r="W70">
        <v>825</v>
      </c>
      <c r="X70">
        <v>1</v>
      </c>
      <c r="Y70">
        <v>2006</v>
      </c>
      <c r="Z70">
        <v>1</v>
      </c>
      <c r="AA70">
        <v>0.03</v>
      </c>
    </row>
    <row r="71" spans="1:27">
      <c r="A71">
        <v>1069</v>
      </c>
      <c r="B71" t="s">
        <v>3891</v>
      </c>
      <c r="C71">
        <v>35</v>
      </c>
      <c r="D71" t="s">
        <v>3823</v>
      </c>
      <c r="E71">
        <v>1</v>
      </c>
      <c r="F71">
        <v>5.3999999999999999E-2</v>
      </c>
      <c r="G71">
        <v>8001</v>
      </c>
      <c r="H71">
        <v>55</v>
      </c>
      <c r="I71">
        <v>1</v>
      </c>
      <c r="J71">
        <v>8000</v>
      </c>
      <c r="K71">
        <v>80</v>
      </c>
      <c r="L71">
        <v>1</v>
      </c>
      <c r="M71">
        <v>2007</v>
      </c>
      <c r="N71">
        <v>1</v>
      </c>
      <c r="O71">
        <v>0.05</v>
      </c>
      <c r="P71">
        <v>9000</v>
      </c>
      <c r="Q71">
        <v>15</v>
      </c>
      <c r="R71">
        <v>1</v>
      </c>
      <c r="S71" t="s">
        <v>3824</v>
      </c>
      <c r="T71">
        <v>3</v>
      </c>
      <c r="U71">
        <v>0.5</v>
      </c>
      <c r="V71">
        <v>1000</v>
      </c>
      <c r="W71">
        <v>830</v>
      </c>
      <c r="X71">
        <v>1</v>
      </c>
      <c r="Y71">
        <v>2006</v>
      </c>
      <c r="Z71">
        <v>1</v>
      </c>
      <c r="AA71">
        <v>0.03</v>
      </c>
    </row>
    <row r="72" spans="1:27">
      <c r="A72">
        <v>1070</v>
      </c>
      <c r="B72" t="s">
        <v>3892</v>
      </c>
      <c r="C72">
        <v>36</v>
      </c>
      <c r="D72" t="s">
        <v>3823</v>
      </c>
      <c r="E72">
        <v>1</v>
      </c>
      <c r="F72">
        <v>5.3999999999999999E-2</v>
      </c>
      <c r="G72">
        <v>8001</v>
      </c>
      <c r="H72">
        <v>55</v>
      </c>
      <c r="I72">
        <v>1</v>
      </c>
      <c r="J72">
        <v>8000</v>
      </c>
      <c r="K72">
        <v>80</v>
      </c>
      <c r="L72">
        <v>1</v>
      </c>
      <c r="M72">
        <v>2007</v>
      </c>
      <c r="N72">
        <v>1</v>
      </c>
      <c r="O72">
        <v>0.05</v>
      </c>
      <c r="P72">
        <v>9000</v>
      </c>
      <c r="Q72">
        <v>15</v>
      </c>
      <c r="R72">
        <v>1</v>
      </c>
      <c r="S72" t="s">
        <v>3824</v>
      </c>
      <c r="T72">
        <v>3</v>
      </c>
      <c r="U72">
        <v>0.5</v>
      </c>
      <c r="V72">
        <v>1000</v>
      </c>
      <c r="W72">
        <v>840</v>
      </c>
      <c r="X72">
        <v>1</v>
      </c>
      <c r="Y72">
        <v>2006</v>
      </c>
      <c r="Z72">
        <v>1</v>
      </c>
      <c r="AA72">
        <v>0.03</v>
      </c>
    </row>
    <row r="73" spans="1:27">
      <c r="A73">
        <v>1071</v>
      </c>
      <c r="B73" t="s">
        <v>3893</v>
      </c>
      <c r="C73">
        <v>36</v>
      </c>
      <c r="D73" t="s">
        <v>3823</v>
      </c>
      <c r="E73">
        <v>1</v>
      </c>
      <c r="F73">
        <v>5.3999999999999999E-2</v>
      </c>
      <c r="G73">
        <v>8001</v>
      </c>
      <c r="H73">
        <v>55</v>
      </c>
      <c r="I73">
        <v>1</v>
      </c>
      <c r="J73">
        <v>8000</v>
      </c>
      <c r="K73">
        <v>80</v>
      </c>
      <c r="L73">
        <v>1</v>
      </c>
      <c r="M73">
        <v>2007</v>
      </c>
      <c r="N73">
        <v>1</v>
      </c>
      <c r="O73">
        <v>0.05</v>
      </c>
      <c r="P73">
        <v>9000</v>
      </c>
      <c r="Q73">
        <v>15</v>
      </c>
      <c r="R73">
        <v>1</v>
      </c>
      <c r="S73" t="s">
        <v>3824</v>
      </c>
      <c r="T73">
        <v>3</v>
      </c>
      <c r="U73">
        <v>0.5</v>
      </c>
      <c r="V73">
        <v>1000</v>
      </c>
      <c r="W73">
        <v>845</v>
      </c>
      <c r="X73">
        <v>1</v>
      </c>
      <c r="Y73">
        <v>2006</v>
      </c>
      <c r="Z73">
        <v>1</v>
      </c>
      <c r="AA73">
        <v>0.03</v>
      </c>
    </row>
    <row r="74" spans="1:27">
      <c r="A74">
        <v>1072</v>
      </c>
      <c r="B74" t="s">
        <v>3894</v>
      </c>
      <c r="C74">
        <v>37</v>
      </c>
      <c r="D74" t="s">
        <v>3823</v>
      </c>
      <c r="E74">
        <v>1</v>
      </c>
      <c r="F74">
        <v>5.3999999999999999E-2</v>
      </c>
      <c r="G74">
        <v>8001</v>
      </c>
      <c r="H74">
        <v>55</v>
      </c>
      <c r="I74">
        <v>1</v>
      </c>
      <c r="J74">
        <v>8000</v>
      </c>
      <c r="K74">
        <v>80</v>
      </c>
      <c r="L74">
        <v>1</v>
      </c>
      <c r="M74">
        <v>2007</v>
      </c>
      <c r="N74">
        <v>1</v>
      </c>
      <c r="O74">
        <v>0.05</v>
      </c>
      <c r="P74">
        <v>9000</v>
      </c>
      <c r="Q74">
        <v>16</v>
      </c>
      <c r="R74">
        <v>1</v>
      </c>
      <c r="S74" t="s">
        <v>3824</v>
      </c>
      <c r="T74">
        <v>3</v>
      </c>
      <c r="U74">
        <v>0.5</v>
      </c>
      <c r="V74">
        <v>1000</v>
      </c>
      <c r="W74">
        <v>850</v>
      </c>
      <c r="X74">
        <v>1</v>
      </c>
      <c r="Y74">
        <v>2006</v>
      </c>
      <c r="Z74">
        <v>1</v>
      </c>
      <c r="AA74">
        <v>0.03</v>
      </c>
    </row>
    <row r="75" spans="1:27">
      <c r="A75">
        <v>1073</v>
      </c>
      <c r="B75" t="s">
        <v>3895</v>
      </c>
      <c r="C75">
        <v>37</v>
      </c>
      <c r="D75" t="s">
        <v>3823</v>
      </c>
      <c r="E75">
        <v>1</v>
      </c>
      <c r="F75">
        <v>5.3999999999999999E-2</v>
      </c>
      <c r="G75">
        <v>8001</v>
      </c>
      <c r="H75">
        <v>55</v>
      </c>
      <c r="I75">
        <v>1</v>
      </c>
      <c r="J75">
        <v>8000</v>
      </c>
      <c r="K75">
        <v>80</v>
      </c>
      <c r="L75">
        <v>1</v>
      </c>
      <c r="M75">
        <v>2007</v>
      </c>
      <c r="N75">
        <v>1</v>
      </c>
      <c r="O75">
        <v>0.05</v>
      </c>
      <c r="P75">
        <v>9000</v>
      </c>
      <c r="Q75">
        <v>16</v>
      </c>
      <c r="R75">
        <v>1</v>
      </c>
      <c r="S75" t="s">
        <v>3824</v>
      </c>
      <c r="T75">
        <v>3</v>
      </c>
      <c r="U75">
        <v>0.5</v>
      </c>
      <c r="V75">
        <v>1000</v>
      </c>
      <c r="W75">
        <v>855</v>
      </c>
      <c r="X75">
        <v>1</v>
      </c>
      <c r="Y75">
        <v>2006</v>
      </c>
      <c r="Z75">
        <v>1</v>
      </c>
      <c r="AA75">
        <v>0.03</v>
      </c>
    </row>
    <row r="76" spans="1:27">
      <c r="A76">
        <v>1074</v>
      </c>
      <c r="B76" t="s">
        <v>3896</v>
      </c>
      <c r="C76">
        <v>38</v>
      </c>
      <c r="D76" t="s">
        <v>3823</v>
      </c>
      <c r="E76">
        <v>1</v>
      </c>
      <c r="F76">
        <v>5.3999999999999999E-2</v>
      </c>
      <c r="G76">
        <v>8001</v>
      </c>
      <c r="H76">
        <v>55</v>
      </c>
      <c r="I76">
        <v>1</v>
      </c>
      <c r="J76">
        <v>8000</v>
      </c>
      <c r="K76">
        <v>85</v>
      </c>
      <c r="L76">
        <v>1</v>
      </c>
      <c r="M76">
        <v>2007</v>
      </c>
      <c r="N76">
        <v>1</v>
      </c>
      <c r="O76">
        <v>0.05</v>
      </c>
      <c r="P76">
        <v>9000</v>
      </c>
      <c r="Q76">
        <v>16</v>
      </c>
      <c r="R76">
        <v>1</v>
      </c>
      <c r="S76" t="s">
        <v>3824</v>
      </c>
      <c r="T76">
        <v>3</v>
      </c>
      <c r="U76">
        <v>0.5</v>
      </c>
      <c r="V76">
        <v>1000</v>
      </c>
      <c r="W76">
        <v>860</v>
      </c>
      <c r="X76">
        <v>1</v>
      </c>
      <c r="Y76">
        <v>2006</v>
      </c>
      <c r="Z76">
        <v>1</v>
      </c>
      <c r="AA76">
        <v>0.03</v>
      </c>
    </row>
    <row r="77" spans="1:27">
      <c r="A77">
        <v>1075</v>
      </c>
      <c r="B77" t="s">
        <v>3897</v>
      </c>
      <c r="C77">
        <v>38</v>
      </c>
      <c r="D77" t="s">
        <v>3823</v>
      </c>
      <c r="E77">
        <v>1</v>
      </c>
      <c r="F77">
        <v>5.3999999999999999E-2</v>
      </c>
      <c r="G77">
        <v>8001</v>
      </c>
      <c r="H77">
        <v>55</v>
      </c>
      <c r="I77">
        <v>1</v>
      </c>
      <c r="J77">
        <v>8000</v>
      </c>
      <c r="K77">
        <v>85</v>
      </c>
      <c r="L77">
        <v>1</v>
      </c>
      <c r="M77">
        <v>2007</v>
      </c>
      <c r="N77">
        <v>1</v>
      </c>
      <c r="O77">
        <v>0.05</v>
      </c>
      <c r="P77">
        <v>9000</v>
      </c>
      <c r="Q77">
        <v>16</v>
      </c>
      <c r="R77">
        <v>1</v>
      </c>
      <c r="S77" t="s">
        <v>3824</v>
      </c>
      <c r="T77">
        <v>3</v>
      </c>
      <c r="U77">
        <v>0.5</v>
      </c>
      <c r="V77">
        <v>1000</v>
      </c>
      <c r="W77">
        <v>865</v>
      </c>
      <c r="X77">
        <v>1</v>
      </c>
      <c r="Y77">
        <v>2006</v>
      </c>
      <c r="Z77">
        <v>1</v>
      </c>
      <c r="AA77">
        <v>0.03</v>
      </c>
    </row>
    <row r="78" spans="1:27">
      <c r="A78">
        <v>1076</v>
      </c>
      <c r="B78" t="s">
        <v>3898</v>
      </c>
      <c r="C78">
        <v>39</v>
      </c>
      <c r="D78" t="s">
        <v>3823</v>
      </c>
      <c r="E78">
        <v>1</v>
      </c>
      <c r="F78">
        <v>5.3999999999999999E-2</v>
      </c>
      <c r="G78">
        <v>8001</v>
      </c>
      <c r="H78">
        <v>55</v>
      </c>
      <c r="I78">
        <v>1</v>
      </c>
      <c r="J78">
        <v>8000</v>
      </c>
      <c r="K78">
        <v>85</v>
      </c>
      <c r="L78">
        <v>1</v>
      </c>
      <c r="M78">
        <v>2007</v>
      </c>
      <c r="N78">
        <v>1</v>
      </c>
      <c r="O78">
        <v>0.05</v>
      </c>
      <c r="P78">
        <v>9000</v>
      </c>
      <c r="Q78">
        <v>16</v>
      </c>
      <c r="R78">
        <v>1</v>
      </c>
      <c r="S78" t="s">
        <v>3824</v>
      </c>
      <c r="T78">
        <v>3</v>
      </c>
      <c r="U78">
        <v>0.5</v>
      </c>
      <c r="V78">
        <v>1000</v>
      </c>
      <c r="W78">
        <v>875</v>
      </c>
      <c r="X78">
        <v>1</v>
      </c>
      <c r="Y78">
        <v>2006</v>
      </c>
      <c r="Z78">
        <v>1</v>
      </c>
      <c r="AA78">
        <v>0.03</v>
      </c>
    </row>
    <row r="79" spans="1:27">
      <c r="A79">
        <v>1077</v>
      </c>
      <c r="B79" t="s">
        <v>3899</v>
      </c>
      <c r="C79">
        <v>39</v>
      </c>
      <c r="D79" t="s">
        <v>3823</v>
      </c>
      <c r="E79">
        <v>1</v>
      </c>
      <c r="F79">
        <v>5.5E-2</v>
      </c>
      <c r="G79">
        <v>8001</v>
      </c>
      <c r="H79">
        <v>55</v>
      </c>
      <c r="I79">
        <v>1</v>
      </c>
      <c r="J79">
        <v>8000</v>
      </c>
      <c r="K79">
        <v>85</v>
      </c>
      <c r="L79">
        <v>1</v>
      </c>
      <c r="M79">
        <v>2007</v>
      </c>
      <c r="N79">
        <v>1</v>
      </c>
      <c r="O79">
        <v>0.05</v>
      </c>
      <c r="P79">
        <v>9000</v>
      </c>
      <c r="Q79">
        <v>16</v>
      </c>
      <c r="R79">
        <v>1</v>
      </c>
      <c r="S79" t="s">
        <v>3824</v>
      </c>
      <c r="T79">
        <v>3</v>
      </c>
      <c r="U79">
        <v>0.5</v>
      </c>
      <c r="V79">
        <v>1000</v>
      </c>
      <c r="W79">
        <v>880</v>
      </c>
      <c r="X79">
        <v>1</v>
      </c>
      <c r="Y79">
        <v>2006</v>
      </c>
      <c r="Z79">
        <v>1</v>
      </c>
      <c r="AA79">
        <v>0.03</v>
      </c>
    </row>
    <row r="80" spans="1:27">
      <c r="A80">
        <v>1078</v>
      </c>
      <c r="B80" t="s">
        <v>3900</v>
      </c>
      <c r="C80">
        <v>40</v>
      </c>
      <c r="D80" t="s">
        <v>3823</v>
      </c>
      <c r="E80">
        <v>1</v>
      </c>
      <c r="F80">
        <v>5.5E-2</v>
      </c>
      <c r="G80">
        <v>8001</v>
      </c>
      <c r="H80">
        <v>55</v>
      </c>
      <c r="I80">
        <v>1</v>
      </c>
      <c r="J80">
        <v>8000</v>
      </c>
      <c r="K80">
        <v>85</v>
      </c>
      <c r="L80">
        <v>1</v>
      </c>
      <c r="M80">
        <v>2007</v>
      </c>
      <c r="N80">
        <v>1</v>
      </c>
      <c r="O80">
        <v>0.05</v>
      </c>
      <c r="P80">
        <v>9000</v>
      </c>
      <c r="Q80">
        <v>17</v>
      </c>
      <c r="R80">
        <v>1</v>
      </c>
      <c r="S80" t="s">
        <v>3824</v>
      </c>
      <c r="T80">
        <v>3</v>
      </c>
      <c r="U80">
        <v>0.5</v>
      </c>
      <c r="V80">
        <v>1000</v>
      </c>
      <c r="W80">
        <v>885</v>
      </c>
      <c r="X80">
        <v>1</v>
      </c>
      <c r="Y80">
        <v>2006</v>
      </c>
      <c r="Z80">
        <v>1</v>
      </c>
      <c r="AA80">
        <v>0.03</v>
      </c>
    </row>
    <row r="81" spans="1:27">
      <c r="A81">
        <v>1079</v>
      </c>
      <c r="B81" t="s">
        <v>3901</v>
      </c>
      <c r="C81">
        <v>40</v>
      </c>
      <c r="D81" t="s">
        <v>3823</v>
      </c>
      <c r="E81">
        <v>1</v>
      </c>
      <c r="F81">
        <v>5.5E-2</v>
      </c>
      <c r="G81">
        <v>8001</v>
      </c>
      <c r="H81">
        <v>55</v>
      </c>
      <c r="I81">
        <v>1</v>
      </c>
      <c r="J81">
        <v>8000</v>
      </c>
      <c r="K81">
        <v>85</v>
      </c>
      <c r="L81">
        <v>1</v>
      </c>
      <c r="M81">
        <v>2007</v>
      </c>
      <c r="N81">
        <v>1</v>
      </c>
      <c r="O81">
        <v>0.05</v>
      </c>
      <c r="P81">
        <v>9000</v>
      </c>
      <c r="Q81">
        <v>17</v>
      </c>
      <c r="R81">
        <v>1</v>
      </c>
      <c r="S81" t="s">
        <v>3824</v>
      </c>
      <c r="T81">
        <v>3</v>
      </c>
      <c r="U81">
        <v>0.5</v>
      </c>
      <c r="V81">
        <v>1000</v>
      </c>
      <c r="W81">
        <v>895</v>
      </c>
      <c r="X81">
        <v>1</v>
      </c>
      <c r="Y81">
        <v>2006</v>
      </c>
      <c r="Z81">
        <v>1</v>
      </c>
      <c r="AA81">
        <v>0.03</v>
      </c>
    </row>
    <row r="82" spans="1:27">
      <c r="A82">
        <v>1080</v>
      </c>
      <c r="B82" t="s">
        <v>3902</v>
      </c>
      <c r="C82">
        <v>41</v>
      </c>
      <c r="D82" t="s">
        <v>3823</v>
      </c>
      <c r="E82">
        <v>1</v>
      </c>
      <c r="F82">
        <v>5.5E-2</v>
      </c>
      <c r="G82">
        <v>8001</v>
      </c>
      <c r="H82">
        <v>60</v>
      </c>
      <c r="I82">
        <v>1</v>
      </c>
      <c r="J82">
        <v>8000</v>
      </c>
      <c r="K82">
        <v>85</v>
      </c>
      <c r="L82">
        <v>1</v>
      </c>
      <c r="M82">
        <v>2007</v>
      </c>
      <c r="N82">
        <v>1</v>
      </c>
      <c r="O82">
        <v>0.05</v>
      </c>
      <c r="P82">
        <v>9000</v>
      </c>
      <c r="Q82">
        <v>17</v>
      </c>
      <c r="R82">
        <v>1</v>
      </c>
      <c r="S82" t="s">
        <v>3824</v>
      </c>
      <c r="T82">
        <v>3</v>
      </c>
      <c r="U82">
        <v>0.5</v>
      </c>
      <c r="V82">
        <v>1000</v>
      </c>
      <c r="W82">
        <v>900</v>
      </c>
      <c r="X82">
        <v>1</v>
      </c>
      <c r="Y82">
        <v>2006</v>
      </c>
      <c r="Z82">
        <v>1</v>
      </c>
      <c r="AA82">
        <v>0.03</v>
      </c>
    </row>
    <row r="83" spans="1:27">
      <c r="A83">
        <v>1081</v>
      </c>
      <c r="B83" t="s">
        <v>3903</v>
      </c>
      <c r="C83">
        <v>41</v>
      </c>
      <c r="D83" t="s">
        <v>3823</v>
      </c>
      <c r="E83">
        <v>1</v>
      </c>
      <c r="F83">
        <v>5.5E-2</v>
      </c>
      <c r="G83">
        <v>8001</v>
      </c>
      <c r="H83">
        <v>60</v>
      </c>
      <c r="I83">
        <v>1</v>
      </c>
      <c r="J83">
        <v>8000</v>
      </c>
      <c r="K83">
        <v>85</v>
      </c>
      <c r="L83">
        <v>1</v>
      </c>
      <c r="M83">
        <v>2007</v>
      </c>
      <c r="N83">
        <v>1</v>
      </c>
      <c r="O83">
        <v>0.05</v>
      </c>
      <c r="P83">
        <v>9000</v>
      </c>
      <c r="Q83">
        <v>17</v>
      </c>
      <c r="R83">
        <v>1</v>
      </c>
      <c r="S83" t="s">
        <v>3824</v>
      </c>
      <c r="T83">
        <v>3</v>
      </c>
      <c r="U83">
        <v>0.5</v>
      </c>
      <c r="V83">
        <v>1000</v>
      </c>
      <c r="W83">
        <v>905</v>
      </c>
      <c r="X83">
        <v>1</v>
      </c>
      <c r="Y83">
        <v>2006</v>
      </c>
      <c r="Z83">
        <v>1</v>
      </c>
      <c r="AA83">
        <v>0.03</v>
      </c>
    </row>
    <row r="84" spans="1:27">
      <c r="A84">
        <v>1082</v>
      </c>
      <c r="B84" t="s">
        <v>3904</v>
      </c>
      <c r="C84">
        <v>42</v>
      </c>
      <c r="D84" t="s">
        <v>3823</v>
      </c>
      <c r="E84">
        <v>1</v>
      </c>
      <c r="F84">
        <v>5.5E-2</v>
      </c>
      <c r="G84">
        <v>8001</v>
      </c>
      <c r="H84">
        <v>60</v>
      </c>
      <c r="I84">
        <v>1</v>
      </c>
      <c r="J84">
        <v>8000</v>
      </c>
      <c r="K84">
        <v>90</v>
      </c>
      <c r="L84">
        <v>1</v>
      </c>
      <c r="M84">
        <v>2007</v>
      </c>
      <c r="N84">
        <v>1</v>
      </c>
      <c r="O84">
        <v>0.05</v>
      </c>
      <c r="P84">
        <v>9000</v>
      </c>
      <c r="Q84">
        <v>17</v>
      </c>
      <c r="R84">
        <v>1</v>
      </c>
      <c r="S84" t="s">
        <v>3824</v>
      </c>
      <c r="T84">
        <v>3</v>
      </c>
      <c r="U84">
        <v>0.5</v>
      </c>
      <c r="V84">
        <v>1000</v>
      </c>
      <c r="W84">
        <v>910</v>
      </c>
      <c r="X84">
        <v>1</v>
      </c>
      <c r="Y84">
        <v>2006</v>
      </c>
      <c r="Z84">
        <v>1</v>
      </c>
      <c r="AA84">
        <v>0.03</v>
      </c>
    </row>
    <row r="85" spans="1:27">
      <c r="A85">
        <v>1083</v>
      </c>
      <c r="B85" t="s">
        <v>3905</v>
      </c>
      <c r="C85">
        <v>42</v>
      </c>
      <c r="D85" t="s">
        <v>3823</v>
      </c>
      <c r="E85">
        <v>1</v>
      </c>
      <c r="F85">
        <v>5.5E-2</v>
      </c>
      <c r="G85">
        <v>8001</v>
      </c>
      <c r="H85">
        <v>60</v>
      </c>
      <c r="I85">
        <v>1</v>
      </c>
      <c r="J85">
        <v>8000</v>
      </c>
      <c r="K85">
        <v>90</v>
      </c>
      <c r="L85">
        <v>1</v>
      </c>
      <c r="M85">
        <v>2007</v>
      </c>
      <c r="N85">
        <v>1</v>
      </c>
      <c r="O85">
        <v>0.05</v>
      </c>
      <c r="P85">
        <v>9000</v>
      </c>
      <c r="Q85">
        <v>17</v>
      </c>
      <c r="R85">
        <v>1</v>
      </c>
      <c r="S85" t="s">
        <v>3824</v>
      </c>
      <c r="T85">
        <v>3</v>
      </c>
      <c r="U85">
        <v>0.5</v>
      </c>
      <c r="V85">
        <v>1000</v>
      </c>
      <c r="W85">
        <v>920</v>
      </c>
      <c r="X85">
        <v>1</v>
      </c>
      <c r="Y85">
        <v>2006</v>
      </c>
      <c r="Z85">
        <v>1</v>
      </c>
      <c r="AA85">
        <v>0.03</v>
      </c>
    </row>
    <row r="86" spans="1:27">
      <c r="A86">
        <v>1084</v>
      </c>
      <c r="B86" t="s">
        <v>3906</v>
      </c>
      <c r="C86">
        <v>43</v>
      </c>
      <c r="D86" t="s">
        <v>3823</v>
      </c>
      <c r="E86">
        <v>1</v>
      </c>
      <c r="F86">
        <v>5.5E-2</v>
      </c>
      <c r="G86">
        <v>8001</v>
      </c>
      <c r="H86">
        <v>60</v>
      </c>
      <c r="I86">
        <v>1</v>
      </c>
      <c r="J86">
        <v>8000</v>
      </c>
      <c r="K86">
        <v>90</v>
      </c>
      <c r="L86">
        <v>1</v>
      </c>
      <c r="M86">
        <v>2007</v>
      </c>
      <c r="N86">
        <v>1</v>
      </c>
      <c r="O86">
        <v>0.05</v>
      </c>
      <c r="P86">
        <v>9000</v>
      </c>
      <c r="Q86">
        <v>17</v>
      </c>
      <c r="R86">
        <v>1</v>
      </c>
      <c r="S86" t="s">
        <v>3824</v>
      </c>
      <c r="T86">
        <v>3</v>
      </c>
      <c r="U86">
        <v>0.5</v>
      </c>
      <c r="V86">
        <v>1000</v>
      </c>
      <c r="W86">
        <v>925</v>
      </c>
      <c r="X86">
        <v>1</v>
      </c>
      <c r="Y86">
        <v>2006</v>
      </c>
      <c r="Z86">
        <v>1</v>
      </c>
      <c r="AA86">
        <v>0.03</v>
      </c>
    </row>
    <row r="87" spans="1:27">
      <c r="A87">
        <v>1085</v>
      </c>
      <c r="B87" t="s">
        <v>3907</v>
      </c>
      <c r="C87">
        <v>43</v>
      </c>
      <c r="D87" t="s">
        <v>3823</v>
      </c>
      <c r="E87">
        <v>1</v>
      </c>
      <c r="F87">
        <v>5.5E-2</v>
      </c>
      <c r="G87">
        <v>8001</v>
      </c>
      <c r="H87">
        <v>60</v>
      </c>
      <c r="I87">
        <v>1</v>
      </c>
      <c r="J87">
        <v>8000</v>
      </c>
      <c r="K87">
        <v>90</v>
      </c>
      <c r="L87">
        <v>1</v>
      </c>
      <c r="M87">
        <v>2007</v>
      </c>
      <c r="N87">
        <v>1</v>
      </c>
      <c r="O87">
        <v>0.05</v>
      </c>
      <c r="P87">
        <v>9000</v>
      </c>
      <c r="Q87">
        <v>18</v>
      </c>
      <c r="R87">
        <v>1</v>
      </c>
      <c r="S87" t="s">
        <v>3824</v>
      </c>
      <c r="T87">
        <v>3</v>
      </c>
      <c r="U87">
        <v>0.5</v>
      </c>
      <c r="V87">
        <v>1000</v>
      </c>
      <c r="W87">
        <v>935</v>
      </c>
      <c r="X87">
        <v>1</v>
      </c>
      <c r="Y87">
        <v>2006</v>
      </c>
      <c r="Z87">
        <v>1</v>
      </c>
      <c r="AA87">
        <v>0.03</v>
      </c>
    </row>
    <row r="88" spans="1:27">
      <c r="A88">
        <v>1086</v>
      </c>
      <c r="B88" t="s">
        <v>3888</v>
      </c>
      <c r="C88">
        <v>44</v>
      </c>
      <c r="D88" t="s">
        <v>3823</v>
      </c>
      <c r="E88">
        <v>1</v>
      </c>
      <c r="F88">
        <v>5.6000000000000001E-2</v>
      </c>
      <c r="G88">
        <v>8001</v>
      </c>
      <c r="H88">
        <v>60</v>
      </c>
      <c r="I88">
        <v>1</v>
      </c>
      <c r="J88">
        <v>8000</v>
      </c>
      <c r="K88">
        <v>90</v>
      </c>
      <c r="L88">
        <v>1</v>
      </c>
      <c r="M88">
        <v>2007</v>
      </c>
      <c r="N88">
        <v>1</v>
      </c>
      <c r="O88">
        <v>0.05</v>
      </c>
      <c r="P88">
        <v>9000</v>
      </c>
      <c r="Q88">
        <v>18</v>
      </c>
      <c r="R88">
        <v>1</v>
      </c>
      <c r="S88" t="s">
        <v>3824</v>
      </c>
      <c r="T88">
        <v>3</v>
      </c>
      <c r="U88">
        <v>0.5</v>
      </c>
      <c r="V88">
        <v>1000</v>
      </c>
      <c r="W88">
        <v>940</v>
      </c>
      <c r="X88">
        <v>1</v>
      </c>
      <c r="Y88">
        <v>2006</v>
      </c>
      <c r="Z88">
        <v>1</v>
      </c>
      <c r="AA88">
        <v>0.03</v>
      </c>
    </row>
    <row r="89" spans="1:27">
      <c r="A89">
        <v>1087</v>
      </c>
      <c r="B89" t="s">
        <v>3908</v>
      </c>
      <c r="C89">
        <v>44</v>
      </c>
      <c r="D89" t="s">
        <v>3823</v>
      </c>
      <c r="E89">
        <v>1</v>
      </c>
      <c r="F89">
        <v>5.6000000000000001E-2</v>
      </c>
      <c r="G89">
        <v>8001</v>
      </c>
      <c r="H89">
        <v>60</v>
      </c>
      <c r="I89">
        <v>1</v>
      </c>
      <c r="J89">
        <v>8000</v>
      </c>
      <c r="K89">
        <v>90</v>
      </c>
      <c r="L89">
        <v>1</v>
      </c>
      <c r="M89">
        <v>2007</v>
      </c>
      <c r="N89">
        <v>1</v>
      </c>
      <c r="O89">
        <v>0.05</v>
      </c>
      <c r="P89">
        <v>9000</v>
      </c>
      <c r="Q89">
        <v>18</v>
      </c>
      <c r="R89">
        <v>1</v>
      </c>
      <c r="S89" t="s">
        <v>3824</v>
      </c>
      <c r="T89">
        <v>3</v>
      </c>
      <c r="U89">
        <v>0.5</v>
      </c>
      <c r="V89">
        <v>1000</v>
      </c>
      <c r="W89">
        <v>945</v>
      </c>
      <c r="X89">
        <v>1</v>
      </c>
      <c r="Y89">
        <v>2006</v>
      </c>
      <c r="Z89">
        <v>1</v>
      </c>
      <c r="AA89">
        <v>0.03</v>
      </c>
    </row>
    <row r="90" spans="1:27">
      <c r="A90">
        <v>1088</v>
      </c>
      <c r="B90" t="s">
        <v>3899</v>
      </c>
      <c r="C90">
        <v>45</v>
      </c>
      <c r="D90" t="s">
        <v>3823</v>
      </c>
      <c r="E90">
        <v>1</v>
      </c>
      <c r="F90">
        <v>5.6000000000000001E-2</v>
      </c>
      <c r="G90">
        <v>8001</v>
      </c>
      <c r="H90">
        <v>60</v>
      </c>
      <c r="I90">
        <v>1</v>
      </c>
      <c r="J90">
        <v>8000</v>
      </c>
      <c r="K90">
        <v>90</v>
      </c>
      <c r="L90">
        <v>1</v>
      </c>
      <c r="M90">
        <v>2007</v>
      </c>
      <c r="N90">
        <v>1</v>
      </c>
      <c r="O90">
        <v>0.05</v>
      </c>
      <c r="P90">
        <v>9000</v>
      </c>
      <c r="Q90">
        <v>18</v>
      </c>
      <c r="R90">
        <v>1</v>
      </c>
      <c r="S90" t="s">
        <v>3824</v>
      </c>
      <c r="T90">
        <v>3</v>
      </c>
      <c r="U90">
        <v>0.5</v>
      </c>
      <c r="V90">
        <v>1000</v>
      </c>
      <c r="W90">
        <v>955</v>
      </c>
      <c r="X90">
        <v>1</v>
      </c>
      <c r="Y90">
        <v>2006</v>
      </c>
      <c r="Z90">
        <v>1</v>
      </c>
      <c r="AA90">
        <v>0.03</v>
      </c>
    </row>
    <row r="91" spans="1:27">
      <c r="A91">
        <v>1089</v>
      </c>
      <c r="B91" t="s">
        <v>3909</v>
      </c>
      <c r="C91">
        <v>45</v>
      </c>
      <c r="D91" t="s">
        <v>3823</v>
      </c>
      <c r="E91">
        <v>1</v>
      </c>
      <c r="F91">
        <v>5.6000000000000001E-2</v>
      </c>
      <c r="G91">
        <v>8001</v>
      </c>
      <c r="H91">
        <v>60</v>
      </c>
      <c r="I91">
        <v>1</v>
      </c>
      <c r="J91">
        <v>8000</v>
      </c>
      <c r="K91">
        <v>90</v>
      </c>
      <c r="L91">
        <v>1</v>
      </c>
      <c r="M91">
        <v>2007</v>
      </c>
      <c r="N91">
        <v>1</v>
      </c>
      <c r="O91">
        <v>0.05</v>
      </c>
      <c r="P91">
        <v>9000</v>
      </c>
      <c r="Q91">
        <v>18</v>
      </c>
      <c r="R91">
        <v>1</v>
      </c>
      <c r="S91" t="s">
        <v>3824</v>
      </c>
      <c r="T91">
        <v>3</v>
      </c>
      <c r="U91">
        <v>0.5</v>
      </c>
      <c r="V91">
        <v>1000</v>
      </c>
      <c r="W91">
        <v>960</v>
      </c>
      <c r="X91">
        <v>1</v>
      </c>
      <c r="Y91">
        <v>2006</v>
      </c>
      <c r="Z91">
        <v>1</v>
      </c>
      <c r="AA91">
        <v>0.03</v>
      </c>
    </row>
    <row r="92" spans="1:27">
      <c r="A92">
        <v>1090</v>
      </c>
      <c r="B92" t="s">
        <v>3910</v>
      </c>
      <c r="C92">
        <v>46</v>
      </c>
      <c r="D92" t="s">
        <v>3823</v>
      </c>
      <c r="E92">
        <v>1</v>
      </c>
      <c r="F92">
        <v>5.6000000000000001E-2</v>
      </c>
      <c r="G92">
        <v>8001</v>
      </c>
      <c r="H92">
        <v>60</v>
      </c>
      <c r="I92">
        <v>1</v>
      </c>
      <c r="J92">
        <v>8000</v>
      </c>
      <c r="K92">
        <v>95</v>
      </c>
      <c r="L92">
        <v>1</v>
      </c>
      <c r="M92">
        <v>2007</v>
      </c>
      <c r="N92">
        <v>1</v>
      </c>
      <c r="O92">
        <v>0.05</v>
      </c>
      <c r="P92">
        <v>9000</v>
      </c>
      <c r="Q92">
        <v>19</v>
      </c>
      <c r="R92">
        <v>1</v>
      </c>
      <c r="S92" t="s">
        <v>3824</v>
      </c>
      <c r="T92">
        <v>3</v>
      </c>
      <c r="U92">
        <v>0.5</v>
      </c>
      <c r="V92">
        <v>1000</v>
      </c>
      <c r="W92">
        <v>970</v>
      </c>
      <c r="X92">
        <v>1</v>
      </c>
      <c r="Y92">
        <v>2006</v>
      </c>
      <c r="Z92">
        <v>1</v>
      </c>
      <c r="AA92">
        <v>0.03</v>
      </c>
    </row>
    <row r="93" spans="1:27">
      <c r="A93">
        <v>1091</v>
      </c>
      <c r="B93" t="s">
        <v>3911</v>
      </c>
      <c r="C93">
        <v>46</v>
      </c>
      <c r="D93" t="s">
        <v>3823</v>
      </c>
      <c r="E93">
        <v>1</v>
      </c>
      <c r="F93">
        <v>5.6000000000000001E-2</v>
      </c>
      <c r="G93">
        <v>8001</v>
      </c>
      <c r="H93">
        <v>60</v>
      </c>
      <c r="I93">
        <v>1</v>
      </c>
      <c r="J93">
        <v>8000</v>
      </c>
      <c r="K93">
        <v>95</v>
      </c>
      <c r="L93">
        <v>1</v>
      </c>
      <c r="M93">
        <v>2007</v>
      </c>
      <c r="N93">
        <v>1</v>
      </c>
      <c r="O93">
        <v>0.05</v>
      </c>
      <c r="P93">
        <v>9000</v>
      </c>
      <c r="Q93">
        <v>19</v>
      </c>
      <c r="R93">
        <v>1</v>
      </c>
      <c r="S93" t="s">
        <v>3824</v>
      </c>
      <c r="T93">
        <v>3</v>
      </c>
      <c r="U93">
        <v>0.5</v>
      </c>
      <c r="V93">
        <v>1000</v>
      </c>
      <c r="W93">
        <v>975</v>
      </c>
      <c r="X93">
        <v>1</v>
      </c>
      <c r="Y93">
        <v>2006</v>
      </c>
      <c r="Z93">
        <v>1</v>
      </c>
      <c r="AA93">
        <v>0.03</v>
      </c>
    </row>
    <row r="94" spans="1:27">
      <c r="A94">
        <v>1092</v>
      </c>
      <c r="B94" t="s">
        <v>3912</v>
      </c>
      <c r="C94">
        <v>47</v>
      </c>
      <c r="D94" t="s">
        <v>3823</v>
      </c>
      <c r="E94">
        <v>1</v>
      </c>
      <c r="F94">
        <v>5.6000000000000001E-2</v>
      </c>
      <c r="G94">
        <v>8001</v>
      </c>
      <c r="H94">
        <v>65</v>
      </c>
      <c r="I94">
        <v>1</v>
      </c>
      <c r="J94">
        <v>8000</v>
      </c>
      <c r="K94">
        <v>95</v>
      </c>
      <c r="L94">
        <v>1</v>
      </c>
      <c r="M94">
        <v>2007</v>
      </c>
      <c r="N94">
        <v>1</v>
      </c>
      <c r="O94">
        <v>0.05</v>
      </c>
      <c r="P94">
        <v>9000</v>
      </c>
      <c r="Q94">
        <v>19</v>
      </c>
      <c r="R94">
        <v>1</v>
      </c>
      <c r="S94" t="s">
        <v>3824</v>
      </c>
      <c r="T94">
        <v>3</v>
      </c>
      <c r="U94">
        <v>0.5</v>
      </c>
      <c r="V94">
        <v>1000</v>
      </c>
      <c r="W94">
        <v>980</v>
      </c>
      <c r="X94">
        <v>1</v>
      </c>
      <c r="Y94">
        <v>2006</v>
      </c>
      <c r="Z94">
        <v>1</v>
      </c>
      <c r="AA94">
        <v>0.03</v>
      </c>
    </row>
    <row r="95" spans="1:27">
      <c r="A95">
        <v>1093</v>
      </c>
      <c r="B95" t="s">
        <v>3913</v>
      </c>
      <c r="C95">
        <v>47</v>
      </c>
      <c r="D95" t="s">
        <v>3823</v>
      </c>
      <c r="E95">
        <v>1</v>
      </c>
      <c r="F95">
        <v>5.6000000000000001E-2</v>
      </c>
      <c r="G95">
        <v>8001</v>
      </c>
      <c r="H95">
        <v>65</v>
      </c>
      <c r="I95">
        <v>1</v>
      </c>
      <c r="J95">
        <v>8000</v>
      </c>
      <c r="K95">
        <v>95</v>
      </c>
      <c r="L95">
        <v>1</v>
      </c>
      <c r="M95">
        <v>2007</v>
      </c>
      <c r="N95">
        <v>1</v>
      </c>
      <c r="O95">
        <v>0.05</v>
      </c>
      <c r="P95">
        <v>9000</v>
      </c>
      <c r="Q95">
        <v>19</v>
      </c>
      <c r="R95">
        <v>1</v>
      </c>
      <c r="S95" t="s">
        <v>3824</v>
      </c>
      <c r="T95">
        <v>3</v>
      </c>
      <c r="U95">
        <v>0.5</v>
      </c>
      <c r="V95">
        <v>1000</v>
      </c>
      <c r="W95">
        <v>990</v>
      </c>
      <c r="X95">
        <v>1</v>
      </c>
      <c r="Y95">
        <v>2006</v>
      </c>
      <c r="Z95">
        <v>1</v>
      </c>
      <c r="AA95">
        <v>0.03</v>
      </c>
    </row>
    <row r="96" spans="1:27">
      <c r="A96">
        <v>1094</v>
      </c>
      <c r="B96" t="s">
        <v>3914</v>
      </c>
      <c r="C96">
        <v>48</v>
      </c>
      <c r="D96" t="s">
        <v>3823</v>
      </c>
      <c r="E96">
        <v>1</v>
      </c>
      <c r="F96">
        <v>5.7000000000000002E-2</v>
      </c>
      <c r="G96">
        <v>8001</v>
      </c>
      <c r="H96">
        <v>65</v>
      </c>
      <c r="I96">
        <v>1</v>
      </c>
      <c r="J96">
        <v>8000</v>
      </c>
      <c r="K96">
        <v>95</v>
      </c>
      <c r="L96">
        <v>1</v>
      </c>
      <c r="M96">
        <v>2007</v>
      </c>
      <c r="N96">
        <v>1</v>
      </c>
      <c r="O96">
        <v>0.05</v>
      </c>
      <c r="P96">
        <v>9000</v>
      </c>
      <c r="Q96">
        <v>19</v>
      </c>
      <c r="R96">
        <v>1</v>
      </c>
      <c r="S96" t="s">
        <v>3824</v>
      </c>
      <c r="T96">
        <v>3</v>
      </c>
      <c r="U96">
        <v>0.5</v>
      </c>
      <c r="V96">
        <v>1000</v>
      </c>
      <c r="W96">
        <v>995</v>
      </c>
      <c r="X96">
        <v>1</v>
      </c>
      <c r="Y96">
        <v>2006</v>
      </c>
      <c r="Z96">
        <v>1</v>
      </c>
      <c r="AA96">
        <v>0.03</v>
      </c>
    </row>
    <row r="97" spans="1:27">
      <c r="A97">
        <v>1095</v>
      </c>
      <c r="B97" t="s">
        <v>3915</v>
      </c>
      <c r="C97">
        <v>48</v>
      </c>
      <c r="D97" t="s">
        <v>3823</v>
      </c>
      <c r="E97">
        <v>1</v>
      </c>
      <c r="F97">
        <v>5.7000000000000002E-2</v>
      </c>
      <c r="G97">
        <v>8001</v>
      </c>
      <c r="H97">
        <v>65</v>
      </c>
      <c r="I97">
        <v>1</v>
      </c>
      <c r="J97">
        <v>8000</v>
      </c>
      <c r="K97">
        <v>95</v>
      </c>
      <c r="L97">
        <v>1</v>
      </c>
      <c r="M97">
        <v>2007</v>
      </c>
      <c r="N97">
        <v>1</v>
      </c>
      <c r="O97">
        <v>0.05</v>
      </c>
      <c r="P97">
        <v>9000</v>
      </c>
      <c r="Q97">
        <v>19</v>
      </c>
      <c r="R97">
        <v>1</v>
      </c>
      <c r="S97" t="s">
        <v>3824</v>
      </c>
      <c r="T97">
        <v>3</v>
      </c>
      <c r="U97">
        <v>0.5</v>
      </c>
      <c r="V97">
        <v>1000</v>
      </c>
      <c r="W97">
        <v>1005</v>
      </c>
      <c r="X97">
        <v>1</v>
      </c>
      <c r="Y97">
        <v>2006</v>
      </c>
      <c r="Z97">
        <v>1</v>
      </c>
      <c r="AA97">
        <v>0.03</v>
      </c>
    </row>
    <row r="98" spans="1:27">
      <c r="A98">
        <v>1096</v>
      </c>
      <c r="B98" t="s">
        <v>3914</v>
      </c>
      <c r="C98">
        <v>49</v>
      </c>
      <c r="D98" t="s">
        <v>3823</v>
      </c>
      <c r="E98">
        <v>1</v>
      </c>
      <c r="F98">
        <v>5.7000000000000002E-2</v>
      </c>
      <c r="G98">
        <v>8001</v>
      </c>
      <c r="H98">
        <v>65</v>
      </c>
      <c r="I98">
        <v>1</v>
      </c>
      <c r="J98">
        <v>8000</v>
      </c>
      <c r="K98">
        <v>95</v>
      </c>
      <c r="L98">
        <v>1</v>
      </c>
      <c r="M98">
        <v>2007</v>
      </c>
      <c r="N98">
        <v>1</v>
      </c>
      <c r="O98">
        <v>0.05</v>
      </c>
      <c r="P98">
        <v>9000</v>
      </c>
      <c r="Q98">
        <v>20</v>
      </c>
      <c r="R98">
        <v>1</v>
      </c>
      <c r="S98" t="s">
        <v>3824</v>
      </c>
      <c r="T98">
        <v>3</v>
      </c>
      <c r="U98">
        <v>0.5</v>
      </c>
      <c r="V98">
        <v>1000</v>
      </c>
      <c r="W98">
        <v>1010</v>
      </c>
      <c r="X98">
        <v>1</v>
      </c>
      <c r="Y98">
        <v>2006</v>
      </c>
      <c r="Z98">
        <v>1</v>
      </c>
      <c r="AA98">
        <v>0.03</v>
      </c>
    </row>
    <row r="99" spans="1:27">
      <c r="A99">
        <v>1097</v>
      </c>
      <c r="B99" t="s">
        <v>3916</v>
      </c>
      <c r="C99">
        <v>49</v>
      </c>
      <c r="D99" t="s">
        <v>3823</v>
      </c>
      <c r="E99">
        <v>1</v>
      </c>
      <c r="F99">
        <v>5.7000000000000002E-2</v>
      </c>
      <c r="G99">
        <v>8001</v>
      </c>
      <c r="H99">
        <v>65</v>
      </c>
      <c r="I99">
        <v>1</v>
      </c>
      <c r="J99">
        <v>8000</v>
      </c>
      <c r="K99">
        <v>100</v>
      </c>
      <c r="L99">
        <v>1</v>
      </c>
      <c r="M99">
        <v>2007</v>
      </c>
      <c r="N99">
        <v>1</v>
      </c>
      <c r="O99">
        <v>0.05</v>
      </c>
      <c r="P99">
        <v>9000</v>
      </c>
      <c r="Q99">
        <v>20</v>
      </c>
      <c r="R99">
        <v>1</v>
      </c>
      <c r="S99" t="s">
        <v>3824</v>
      </c>
      <c r="T99">
        <v>3</v>
      </c>
      <c r="U99">
        <v>0.5</v>
      </c>
      <c r="V99">
        <v>1000</v>
      </c>
      <c r="W99">
        <v>1020</v>
      </c>
      <c r="X99">
        <v>1</v>
      </c>
      <c r="Y99">
        <v>2006</v>
      </c>
      <c r="Z99">
        <v>1</v>
      </c>
      <c r="AA99">
        <v>0.03</v>
      </c>
    </row>
    <row r="100" spans="1:27">
      <c r="A100">
        <v>1098</v>
      </c>
      <c r="B100" t="s">
        <v>3917</v>
      </c>
      <c r="C100">
        <v>50</v>
      </c>
      <c r="D100" t="s">
        <v>3823</v>
      </c>
      <c r="E100">
        <v>1</v>
      </c>
      <c r="F100">
        <v>5.7000000000000002E-2</v>
      </c>
      <c r="G100">
        <v>8001</v>
      </c>
      <c r="H100">
        <v>65</v>
      </c>
      <c r="I100">
        <v>1</v>
      </c>
      <c r="J100">
        <v>8000</v>
      </c>
      <c r="K100">
        <v>100</v>
      </c>
      <c r="L100">
        <v>1</v>
      </c>
      <c r="M100">
        <v>2007</v>
      </c>
      <c r="N100">
        <v>1</v>
      </c>
      <c r="O100">
        <v>0.05</v>
      </c>
      <c r="P100">
        <v>9000</v>
      </c>
      <c r="Q100">
        <v>20</v>
      </c>
      <c r="R100">
        <v>1</v>
      </c>
      <c r="S100" t="s">
        <v>3824</v>
      </c>
      <c r="T100">
        <v>3</v>
      </c>
      <c r="U100">
        <v>0.5</v>
      </c>
      <c r="V100">
        <v>1000</v>
      </c>
      <c r="W100">
        <v>1025</v>
      </c>
      <c r="X100">
        <v>1</v>
      </c>
      <c r="Y100">
        <v>2006</v>
      </c>
      <c r="Z100">
        <v>1</v>
      </c>
      <c r="AA100">
        <v>0.03</v>
      </c>
    </row>
    <row r="101" spans="1:27">
      <c r="A101">
        <v>1099</v>
      </c>
      <c r="B101" t="s">
        <v>3918</v>
      </c>
      <c r="C101">
        <v>50</v>
      </c>
      <c r="D101" t="s">
        <v>3823</v>
      </c>
      <c r="E101">
        <v>1</v>
      </c>
      <c r="F101">
        <v>5.7000000000000002E-2</v>
      </c>
      <c r="G101">
        <v>8001</v>
      </c>
      <c r="H101">
        <v>65</v>
      </c>
      <c r="I101">
        <v>1</v>
      </c>
      <c r="J101">
        <v>8000</v>
      </c>
      <c r="K101">
        <v>100</v>
      </c>
      <c r="L101">
        <v>1</v>
      </c>
      <c r="M101">
        <v>2007</v>
      </c>
      <c r="N101">
        <v>1</v>
      </c>
      <c r="O101">
        <v>0.05</v>
      </c>
      <c r="P101">
        <v>9000</v>
      </c>
      <c r="Q101">
        <v>20</v>
      </c>
      <c r="R101">
        <v>1</v>
      </c>
      <c r="S101" t="s">
        <v>3824</v>
      </c>
      <c r="T101">
        <v>3</v>
      </c>
      <c r="U101">
        <v>0.5</v>
      </c>
      <c r="V101">
        <v>1000</v>
      </c>
      <c r="W101">
        <v>1035</v>
      </c>
      <c r="X101">
        <v>1</v>
      </c>
      <c r="Y101">
        <v>2006</v>
      </c>
      <c r="Z101">
        <v>1</v>
      </c>
      <c r="AA101">
        <v>0.03</v>
      </c>
    </row>
    <row r="102" spans="1:27">
      <c r="A102">
        <v>1100</v>
      </c>
      <c r="B102" t="s">
        <v>3919</v>
      </c>
      <c r="C102">
        <v>51</v>
      </c>
      <c r="D102" t="s">
        <v>3823</v>
      </c>
      <c r="E102">
        <v>1</v>
      </c>
      <c r="F102">
        <v>5.7000000000000002E-2</v>
      </c>
      <c r="G102">
        <v>8001</v>
      </c>
      <c r="H102">
        <v>65</v>
      </c>
      <c r="I102">
        <v>1</v>
      </c>
      <c r="J102">
        <v>8000</v>
      </c>
      <c r="K102">
        <v>100</v>
      </c>
      <c r="L102">
        <v>1</v>
      </c>
      <c r="M102">
        <v>2007</v>
      </c>
      <c r="N102">
        <v>1</v>
      </c>
      <c r="O102">
        <v>0.05</v>
      </c>
      <c r="P102">
        <v>9000</v>
      </c>
      <c r="Q102">
        <v>20</v>
      </c>
      <c r="R102">
        <v>1</v>
      </c>
      <c r="S102" t="s">
        <v>3824</v>
      </c>
      <c r="T102">
        <v>3</v>
      </c>
      <c r="U102">
        <v>0.5</v>
      </c>
      <c r="V102">
        <v>1000</v>
      </c>
      <c r="W102">
        <v>1045</v>
      </c>
      <c r="X102">
        <v>1</v>
      </c>
      <c r="Y102">
        <v>2006</v>
      </c>
      <c r="Z102">
        <v>1</v>
      </c>
      <c r="AA102">
        <v>0.03</v>
      </c>
    </row>
    <row r="103" spans="1:27">
      <c r="A103">
        <v>1101</v>
      </c>
      <c r="B103" t="s">
        <v>3920</v>
      </c>
      <c r="C103">
        <v>51</v>
      </c>
      <c r="D103" t="s">
        <v>3823</v>
      </c>
      <c r="E103">
        <v>1</v>
      </c>
      <c r="F103">
        <v>5.8000000000000003E-2</v>
      </c>
      <c r="G103">
        <v>8001</v>
      </c>
      <c r="H103">
        <v>65</v>
      </c>
      <c r="I103">
        <v>1</v>
      </c>
      <c r="J103">
        <v>8000</v>
      </c>
      <c r="K103">
        <v>100</v>
      </c>
      <c r="L103">
        <v>1</v>
      </c>
      <c r="M103">
        <v>2007</v>
      </c>
      <c r="N103">
        <v>1</v>
      </c>
      <c r="O103">
        <v>0.05</v>
      </c>
      <c r="P103">
        <v>9000</v>
      </c>
      <c r="Q103">
        <v>21</v>
      </c>
      <c r="R103">
        <v>1</v>
      </c>
      <c r="S103" t="s">
        <v>3824</v>
      </c>
      <c r="T103">
        <v>3</v>
      </c>
      <c r="U103">
        <v>0.5</v>
      </c>
      <c r="V103">
        <v>1000</v>
      </c>
      <c r="W103">
        <v>1050</v>
      </c>
      <c r="X103">
        <v>1</v>
      </c>
      <c r="Y103">
        <v>2006</v>
      </c>
      <c r="Z103">
        <v>1</v>
      </c>
      <c r="AA103">
        <v>0.03</v>
      </c>
    </row>
    <row r="104" spans="1:27">
      <c r="A104">
        <v>1102</v>
      </c>
      <c r="B104" t="s">
        <v>3921</v>
      </c>
      <c r="C104">
        <v>52</v>
      </c>
      <c r="D104" t="s">
        <v>3823</v>
      </c>
      <c r="E104">
        <v>1</v>
      </c>
      <c r="F104">
        <v>5.8000000000000003E-2</v>
      </c>
      <c r="G104">
        <v>8001</v>
      </c>
      <c r="H104">
        <v>70</v>
      </c>
      <c r="I104">
        <v>1</v>
      </c>
      <c r="J104">
        <v>8000</v>
      </c>
      <c r="K104">
        <v>100</v>
      </c>
      <c r="L104">
        <v>1</v>
      </c>
      <c r="M104">
        <v>2007</v>
      </c>
      <c r="N104">
        <v>1</v>
      </c>
      <c r="O104">
        <v>0.05</v>
      </c>
      <c r="P104">
        <v>9000</v>
      </c>
      <c r="Q104">
        <v>21</v>
      </c>
      <c r="R104">
        <v>1</v>
      </c>
      <c r="S104" t="s">
        <v>3824</v>
      </c>
      <c r="T104">
        <v>3</v>
      </c>
      <c r="U104">
        <v>0.5</v>
      </c>
      <c r="V104">
        <v>1000</v>
      </c>
      <c r="W104">
        <v>1060</v>
      </c>
      <c r="X104">
        <v>1</v>
      </c>
      <c r="Y104">
        <v>2006</v>
      </c>
      <c r="Z104">
        <v>1</v>
      </c>
      <c r="AA104">
        <v>0.03</v>
      </c>
    </row>
    <row r="105" spans="1:27">
      <c r="A105">
        <v>1103</v>
      </c>
      <c r="B105" t="s">
        <v>3922</v>
      </c>
      <c r="C105">
        <v>52</v>
      </c>
      <c r="D105" t="s">
        <v>3823</v>
      </c>
      <c r="E105">
        <v>1</v>
      </c>
      <c r="F105">
        <v>5.8000000000000003E-2</v>
      </c>
      <c r="G105">
        <v>8001</v>
      </c>
      <c r="H105">
        <v>70</v>
      </c>
      <c r="I105">
        <v>1</v>
      </c>
      <c r="J105">
        <v>8000</v>
      </c>
      <c r="K105">
        <v>100</v>
      </c>
      <c r="L105">
        <v>1</v>
      </c>
      <c r="M105">
        <v>2007</v>
      </c>
      <c r="N105">
        <v>1</v>
      </c>
      <c r="O105">
        <v>0.05</v>
      </c>
      <c r="P105">
        <v>9000</v>
      </c>
      <c r="Q105">
        <v>21</v>
      </c>
      <c r="R105">
        <v>1</v>
      </c>
      <c r="S105" t="s">
        <v>3824</v>
      </c>
      <c r="T105">
        <v>3</v>
      </c>
      <c r="U105">
        <v>0.5</v>
      </c>
      <c r="V105">
        <v>1000</v>
      </c>
      <c r="W105">
        <v>1065</v>
      </c>
      <c r="X105">
        <v>1</v>
      </c>
      <c r="Y105">
        <v>2006</v>
      </c>
      <c r="Z105">
        <v>1</v>
      </c>
      <c r="AA105">
        <v>0.03</v>
      </c>
    </row>
    <row r="106" spans="1:27">
      <c r="A106">
        <v>1104</v>
      </c>
      <c r="B106" t="s">
        <v>3923</v>
      </c>
      <c r="C106">
        <v>53</v>
      </c>
      <c r="D106" t="s">
        <v>3823</v>
      </c>
      <c r="E106">
        <v>1</v>
      </c>
      <c r="F106">
        <v>5.8000000000000003E-2</v>
      </c>
      <c r="G106">
        <v>8001</v>
      </c>
      <c r="H106">
        <v>70</v>
      </c>
      <c r="I106">
        <v>1</v>
      </c>
      <c r="J106">
        <v>8000</v>
      </c>
      <c r="K106">
        <v>105</v>
      </c>
      <c r="L106">
        <v>1</v>
      </c>
      <c r="M106">
        <v>2007</v>
      </c>
      <c r="N106">
        <v>1</v>
      </c>
      <c r="O106">
        <v>0.05</v>
      </c>
      <c r="P106">
        <v>9000</v>
      </c>
      <c r="Q106">
        <v>21</v>
      </c>
      <c r="R106">
        <v>1</v>
      </c>
      <c r="S106" t="s">
        <v>3824</v>
      </c>
      <c r="T106">
        <v>3</v>
      </c>
      <c r="U106">
        <v>0.5</v>
      </c>
      <c r="V106">
        <v>1000</v>
      </c>
      <c r="W106">
        <v>1075</v>
      </c>
      <c r="X106">
        <v>1</v>
      </c>
      <c r="Y106">
        <v>2006</v>
      </c>
      <c r="Z106">
        <v>1</v>
      </c>
      <c r="AA106">
        <v>0.03</v>
      </c>
    </row>
    <row r="107" spans="1:27">
      <c r="A107">
        <v>1105</v>
      </c>
      <c r="B107" t="s">
        <v>3924</v>
      </c>
      <c r="C107">
        <v>53</v>
      </c>
      <c r="D107" t="s">
        <v>3823</v>
      </c>
      <c r="E107">
        <v>1</v>
      </c>
      <c r="F107">
        <v>5.8000000000000003E-2</v>
      </c>
      <c r="G107">
        <v>8001</v>
      </c>
      <c r="H107">
        <v>70</v>
      </c>
      <c r="I107">
        <v>1</v>
      </c>
      <c r="J107">
        <v>8000</v>
      </c>
      <c r="K107">
        <v>105</v>
      </c>
      <c r="L107">
        <v>1</v>
      </c>
      <c r="M107">
        <v>2007</v>
      </c>
      <c r="N107">
        <v>1</v>
      </c>
      <c r="O107">
        <v>0.05</v>
      </c>
      <c r="P107">
        <v>9000</v>
      </c>
      <c r="Q107">
        <v>21</v>
      </c>
      <c r="R107">
        <v>1</v>
      </c>
      <c r="S107" t="s">
        <v>3824</v>
      </c>
      <c r="T107">
        <v>3</v>
      </c>
      <c r="U107">
        <v>0.5</v>
      </c>
      <c r="V107">
        <v>1000</v>
      </c>
      <c r="W107">
        <v>1085</v>
      </c>
      <c r="X107">
        <v>1</v>
      </c>
      <c r="Y107">
        <v>2006</v>
      </c>
      <c r="Z107">
        <v>1</v>
      </c>
      <c r="AA107">
        <v>0.03</v>
      </c>
    </row>
    <row r="108" spans="1:27">
      <c r="A108">
        <v>1106</v>
      </c>
      <c r="B108" t="s">
        <v>3925</v>
      </c>
      <c r="C108">
        <v>54</v>
      </c>
      <c r="D108" t="s">
        <v>3823</v>
      </c>
      <c r="E108">
        <v>1</v>
      </c>
      <c r="F108">
        <v>5.8000000000000003E-2</v>
      </c>
      <c r="G108">
        <v>8001</v>
      </c>
      <c r="H108">
        <v>70</v>
      </c>
      <c r="I108">
        <v>1</v>
      </c>
      <c r="J108">
        <v>8000</v>
      </c>
      <c r="K108">
        <v>105</v>
      </c>
      <c r="L108">
        <v>1</v>
      </c>
      <c r="M108">
        <v>2007</v>
      </c>
      <c r="N108">
        <v>1</v>
      </c>
      <c r="O108">
        <v>0.05</v>
      </c>
      <c r="P108">
        <v>9000</v>
      </c>
      <c r="Q108">
        <v>22</v>
      </c>
      <c r="R108">
        <v>1</v>
      </c>
      <c r="S108" t="s">
        <v>3824</v>
      </c>
      <c r="T108">
        <v>3</v>
      </c>
      <c r="U108">
        <v>0.5</v>
      </c>
      <c r="V108">
        <v>1000</v>
      </c>
      <c r="W108">
        <v>1090</v>
      </c>
      <c r="X108">
        <v>1</v>
      </c>
      <c r="Y108">
        <v>2006</v>
      </c>
      <c r="Z108">
        <v>1</v>
      </c>
      <c r="AA108">
        <v>0.03</v>
      </c>
    </row>
    <row r="109" spans="1:27">
      <c r="A109">
        <v>1107</v>
      </c>
      <c r="B109" t="s">
        <v>3926</v>
      </c>
      <c r="C109">
        <v>54</v>
      </c>
      <c r="D109" t="s">
        <v>3823</v>
      </c>
      <c r="E109">
        <v>1</v>
      </c>
      <c r="F109">
        <v>5.8000000000000003E-2</v>
      </c>
      <c r="G109">
        <v>8001</v>
      </c>
      <c r="H109">
        <v>70</v>
      </c>
      <c r="I109">
        <v>1</v>
      </c>
      <c r="J109">
        <v>8000</v>
      </c>
      <c r="K109">
        <v>105</v>
      </c>
      <c r="L109">
        <v>1</v>
      </c>
      <c r="M109">
        <v>2007</v>
      </c>
      <c r="N109">
        <v>1</v>
      </c>
      <c r="O109">
        <v>0.05</v>
      </c>
      <c r="P109">
        <v>9000</v>
      </c>
      <c r="Q109">
        <v>22</v>
      </c>
      <c r="R109">
        <v>1</v>
      </c>
      <c r="S109" t="s">
        <v>3824</v>
      </c>
      <c r="T109">
        <v>4</v>
      </c>
      <c r="U109">
        <v>0.5</v>
      </c>
      <c r="V109">
        <v>1000</v>
      </c>
      <c r="W109">
        <v>1100</v>
      </c>
      <c r="X109">
        <v>1</v>
      </c>
      <c r="Y109">
        <v>2006</v>
      </c>
      <c r="Z109">
        <v>1</v>
      </c>
      <c r="AA109">
        <v>0.03</v>
      </c>
    </row>
    <row r="110" spans="1:27">
      <c r="A110">
        <v>1108</v>
      </c>
      <c r="B110" t="s">
        <v>3927</v>
      </c>
      <c r="C110">
        <v>55</v>
      </c>
      <c r="D110" t="s">
        <v>3823</v>
      </c>
      <c r="E110">
        <v>1</v>
      </c>
      <c r="F110">
        <v>5.8999999999999997E-2</v>
      </c>
      <c r="G110">
        <v>8001</v>
      </c>
      <c r="H110">
        <v>70</v>
      </c>
      <c r="I110">
        <v>1</v>
      </c>
      <c r="J110">
        <v>8000</v>
      </c>
      <c r="K110">
        <v>105</v>
      </c>
      <c r="L110">
        <v>1</v>
      </c>
      <c r="M110">
        <v>2007</v>
      </c>
      <c r="N110">
        <v>1</v>
      </c>
      <c r="O110">
        <v>0.05</v>
      </c>
      <c r="P110">
        <v>9000</v>
      </c>
      <c r="Q110">
        <v>22</v>
      </c>
      <c r="R110">
        <v>1</v>
      </c>
      <c r="S110" t="s">
        <v>3824</v>
      </c>
      <c r="T110">
        <v>4</v>
      </c>
      <c r="U110">
        <v>0.5</v>
      </c>
      <c r="V110">
        <v>1000</v>
      </c>
      <c r="W110">
        <v>1110</v>
      </c>
      <c r="X110">
        <v>1</v>
      </c>
      <c r="Y110">
        <v>2006</v>
      </c>
      <c r="Z110">
        <v>1</v>
      </c>
      <c r="AA110">
        <v>0.03</v>
      </c>
    </row>
    <row r="111" spans="1:27">
      <c r="A111">
        <v>1109</v>
      </c>
      <c r="B111" t="s">
        <v>3928</v>
      </c>
      <c r="C111">
        <v>55</v>
      </c>
      <c r="D111" t="s">
        <v>3823</v>
      </c>
      <c r="E111">
        <v>1</v>
      </c>
      <c r="F111">
        <v>5.8999999999999997E-2</v>
      </c>
      <c r="G111">
        <v>8001</v>
      </c>
      <c r="H111">
        <v>70</v>
      </c>
      <c r="I111">
        <v>1</v>
      </c>
      <c r="J111">
        <v>8000</v>
      </c>
      <c r="K111">
        <v>105</v>
      </c>
      <c r="L111">
        <v>1</v>
      </c>
      <c r="M111">
        <v>2007</v>
      </c>
      <c r="N111">
        <v>1</v>
      </c>
      <c r="O111">
        <v>0.05</v>
      </c>
      <c r="P111">
        <v>9000</v>
      </c>
      <c r="Q111">
        <v>22</v>
      </c>
      <c r="R111">
        <v>1</v>
      </c>
      <c r="S111" t="s">
        <v>3824</v>
      </c>
      <c r="T111">
        <v>4</v>
      </c>
      <c r="U111">
        <v>0.5</v>
      </c>
      <c r="V111">
        <v>1000</v>
      </c>
      <c r="W111">
        <v>1115</v>
      </c>
      <c r="X111">
        <v>1</v>
      </c>
      <c r="Y111">
        <v>2006</v>
      </c>
      <c r="Z111">
        <v>1</v>
      </c>
      <c r="AA111">
        <v>0.03</v>
      </c>
    </row>
    <row r="112" spans="1:27">
      <c r="A112">
        <v>1110</v>
      </c>
      <c r="B112" t="s">
        <v>3929</v>
      </c>
      <c r="C112">
        <v>56</v>
      </c>
      <c r="D112" t="s">
        <v>3823</v>
      </c>
      <c r="E112">
        <v>1</v>
      </c>
      <c r="F112">
        <v>5.8999999999999997E-2</v>
      </c>
      <c r="G112">
        <v>8001</v>
      </c>
      <c r="H112">
        <v>70</v>
      </c>
      <c r="I112">
        <v>1</v>
      </c>
      <c r="J112">
        <v>8000</v>
      </c>
      <c r="K112">
        <v>110</v>
      </c>
      <c r="L112">
        <v>1</v>
      </c>
      <c r="M112">
        <v>2007</v>
      </c>
      <c r="N112">
        <v>1</v>
      </c>
      <c r="O112">
        <v>0.05</v>
      </c>
      <c r="P112">
        <v>9000</v>
      </c>
      <c r="Q112">
        <v>22</v>
      </c>
      <c r="R112">
        <v>1</v>
      </c>
      <c r="S112" t="s">
        <v>3824</v>
      </c>
      <c r="T112">
        <v>4</v>
      </c>
      <c r="U112">
        <v>0.5</v>
      </c>
      <c r="V112">
        <v>1000</v>
      </c>
      <c r="W112">
        <v>1125</v>
      </c>
      <c r="X112">
        <v>1</v>
      </c>
      <c r="Y112">
        <v>2006</v>
      </c>
      <c r="Z112">
        <v>1</v>
      </c>
      <c r="AA112">
        <v>0.03</v>
      </c>
    </row>
    <row r="113" spans="1:27">
      <c r="A113">
        <v>1111</v>
      </c>
      <c r="B113" t="s">
        <v>3930</v>
      </c>
      <c r="C113">
        <v>56</v>
      </c>
      <c r="D113" t="s">
        <v>3823</v>
      </c>
      <c r="E113">
        <v>1</v>
      </c>
      <c r="F113">
        <v>5.8999999999999997E-2</v>
      </c>
      <c r="G113">
        <v>8001</v>
      </c>
      <c r="H113">
        <v>75</v>
      </c>
      <c r="I113">
        <v>1</v>
      </c>
      <c r="J113">
        <v>8000</v>
      </c>
      <c r="K113">
        <v>110</v>
      </c>
      <c r="L113">
        <v>1</v>
      </c>
      <c r="M113">
        <v>2007</v>
      </c>
      <c r="N113">
        <v>1</v>
      </c>
      <c r="O113">
        <v>0.05</v>
      </c>
      <c r="P113">
        <v>9000</v>
      </c>
      <c r="Q113">
        <v>23</v>
      </c>
      <c r="R113">
        <v>1</v>
      </c>
      <c r="S113" t="s">
        <v>3824</v>
      </c>
      <c r="T113">
        <v>4</v>
      </c>
      <c r="U113">
        <v>0.5</v>
      </c>
      <c r="V113">
        <v>1000</v>
      </c>
      <c r="W113">
        <v>1135</v>
      </c>
      <c r="X113">
        <v>1</v>
      </c>
      <c r="Y113">
        <v>2006</v>
      </c>
      <c r="Z113">
        <v>1</v>
      </c>
      <c r="AA113">
        <v>0.03</v>
      </c>
    </row>
    <row r="114" spans="1:27">
      <c r="A114">
        <v>1112</v>
      </c>
      <c r="B114" t="s">
        <v>3931</v>
      </c>
      <c r="C114">
        <v>57</v>
      </c>
      <c r="D114" t="s">
        <v>3823</v>
      </c>
      <c r="E114">
        <v>1</v>
      </c>
      <c r="F114">
        <v>5.8999999999999997E-2</v>
      </c>
      <c r="G114">
        <v>8001</v>
      </c>
      <c r="H114">
        <v>75</v>
      </c>
      <c r="I114">
        <v>1</v>
      </c>
      <c r="J114">
        <v>8000</v>
      </c>
      <c r="K114">
        <v>110</v>
      </c>
      <c r="L114">
        <v>1</v>
      </c>
      <c r="M114">
        <v>2007</v>
      </c>
      <c r="N114">
        <v>1</v>
      </c>
      <c r="O114">
        <v>0.05</v>
      </c>
      <c r="P114">
        <v>9000</v>
      </c>
      <c r="Q114">
        <v>23</v>
      </c>
      <c r="R114">
        <v>1</v>
      </c>
      <c r="S114" t="s">
        <v>3824</v>
      </c>
      <c r="T114">
        <v>4</v>
      </c>
      <c r="U114">
        <v>0.5</v>
      </c>
      <c r="V114">
        <v>1000</v>
      </c>
      <c r="W114">
        <v>1140</v>
      </c>
      <c r="X114">
        <v>1</v>
      </c>
      <c r="Y114">
        <v>2006</v>
      </c>
      <c r="Z114">
        <v>1</v>
      </c>
      <c r="AA114">
        <v>0.03</v>
      </c>
    </row>
    <row r="115" spans="1:27">
      <c r="A115">
        <v>1113</v>
      </c>
      <c r="B115" t="s">
        <v>3932</v>
      </c>
      <c r="C115">
        <v>57</v>
      </c>
      <c r="D115" t="s">
        <v>3823</v>
      </c>
      <c r="E115">
        <v>1</v>
      </c>
      <c r="F115">
        <v>5.8999999999999997E-2</v>
      </c>
      <c r="G115">
        <v>8001</v>
      </c>
      <c r="H115">
        <v>75</v>
      </c>
      <c r="I115">
        <v>1</v>
      </c>
      <c r="J115">
        <v>8000</v>
      </c>
      <c r="K115">
        <v>110</v>
      </c>
      <c r="L115">
        <v>1</v>
      </c>
      <c r="M115">
        <v>2007</v>
      </c>
      <c r="N115">
        <v>1</v>
      </c>
      <c r="O115">
        <v>0.05</v>
      </c>
      <c r="P115">
        <v>9000</v>
      </c>
      <c r="Q115">
        <v>23</v>
      </c>
      <c r="R115">
        <v>1</v>
      </c>
      <c r="S115" t="s">
        <v>3824</v>
      </c>
      <c r="T115">
        <v>4</v>
      </c>
      <c r="U115">
        <v>0.5</v>
      </c>
      <c r="V115">
        <v>1000</v>
      </c>
      <c r="W115">
        <v>1150</v>
      </c>
      <c r="X115">
        <v>1</v>
      </c>
      <c r="Y115">
        <v>2006</v>
      </c>
      <c r="Z115">
        <v>1</v>
      </c>
      <c r="AA115">
        <v>0.03</v>
      </c>
    </row>
    <row r="116" spans="1:27">
      <c r="A116">
        <v>1114</v>
      </c>
      <c r="B116" t="s">
        <v>3917</v>
      </c>
      <c r="C116">
        <v>58</v>
      </c>
      <c r="D116" t="s">
        <v>3823</v>
      </c>
      <c r="E116">
        <v>1</v>
      </c>
      <c r="F116">
        <v>5.8999999999999997E-2</v>
      </c>
      <c r="G116">
        <v>8001</v>
      </c>
      <c r="H116">
        <v>75</v>
      </c>
      <c r="I116">
        <v>1</v>
      </c>
      <c r="J116">
        <v>8000</v>
      </c>
      <c r="K116">
        <v>110</v>
      </c>
      <c r="L116">
        <v>1</v>
      </c>
      <c r="M116">
        <v>2007</v>
      </c>
      <c r="N116">
        <v>1</v>
      </c>
      <c r="O116">
        <v>0.05</v>
      </c>
      <c r="P116">
        <v>9000</v>
      </c>
      <c r="Q116">
        <v>23</v>
      </c>
      <c r="R116">
        <v>1</v>
      </c>
      <c r="S116" t="s">
        <v>3824</v>
      </c>
      <c r="T116">
        <v>4</v>
      </c>
      <c r="U116">
        <v>0.5</v>
      </c>
      <c r="V116">
        <v>1000</v>
      </c>
      <c r="W116">
        <v>1160</v>
      </c>
      <c r="X116">
        <v>1</v>
      </c>
      <c r="Y116">
        <v>2006</v>
      </c>
      <c r="Z116">
        <v>1</v>
      </c>
      <c r="AA116">
        <v>0.03</v>
      </c>
    </row>
    <row r="117" spans="1:27">
      <c r="A117">
        <v>1115</v>
      </c>
      <c r="B117" t="s">
        <v>3933</v>
      </c>
      <c r="C117">
        <v>58</v>
      </c>
      <c r="D117" t="s">
        <v>3823</v>
      </c>
      <c r="E117">
        <v>1</v>
      </c>
      <c r="F117">
        <v>0.06</v>
      </c>
      <c r="G117">
        <v>8001</v>
      </c>
      <c r="H117">
        <v>75</v>
      </c>
      <c r="I117">
        <v>1</v>
      </c>
      <c r="J117">
        <v>8000</v>
      </c>
      <c r="K117">
        <v>110</v>
      </c>
      <c r="L117">
        <v>1</v>
      </c>
      <c r="M117">
        <v>2007</v>
      </c>
      <c r="N117">
        <v>1</v>
      </c>
      <c r="O117">
        <v>0.05</v>
      </c>
      <c r="P117">
        <v>9000</v>
      </c>
      <c r="Q117">
        <v>23</v>
      </c>
      <c r="R117">
        <v>1</v>
      </c>
      <c r="S117" t="s">
        <v>3824</v>
      </c>
      <c r="T117">
        <v>4</v>
      </c>
      <c r="U117">
        <v>0.5</v>
      </c>
      <c r="V117">
        <v>1000</v>
      </c>
      <c r="W117">
        <v>1165</v>
      </c>
      <c r="X117">
        <v>1</v>
      </c>
      <c r="Y117">
        <v>2006</v>
      </c>
      <c r="Z117">
        <v>1</v>
      </c>
      <c r="AA117">
        <v>0.03</v>
      </c>
    </row>
    <row r="118" spans="1:27">
      <c r="A118">
        <v>1116</v>
      </c>
      <c r="B118" t="s">
        <v>3934</v>
      </c>
      <c r="C118">
        <v>59</v>
      </c>
      <c r="D118" t="s">
        <v>3823</v>
      </c>
      <c r="E118">
        <v>1</v>
      </c>
      <c r="F118">
        <v>0.06</v>
      </c>
      <c r="G118">
        <v>8001</v>
      </c>
      <c r="H118">
        <v>75</v>
      </c>
      <c r="I118">
        <v>1</v>
      </c>
      <c r="J118">
        <v>8000</v>
      </c>
      <c r="K118">
        <v>115</v>
      </c>
      <c r="L118">
        <v>1</v>
      </c>
      <c r="M118">
        <v>2007</v>
      </c>
      <c r="N118">
        <v>1</v>
      </c>
      <c r="O118">
        <v>0.05</v>
      </c>
      <c r="P118">
        <v>9000</v>
      </c>
      <c r="Q118">
        <v>24</v>
      </c>
      <c r="R118">
        <v>1</v>
      </c>
      <c r="S118" t="s">
        <v>3824</v>
      </c>
      <c r="T118">
        <v>4</v>
      </c>
      <c r="U118">
        <v>0.5</v>
      </c>
      <c r="V118">
        <v>1000</v>
      </c>
      <c r="W118">
        <v>1175</v>
      </c>
      <c r="X118">
        <v>1</v>
      </c>
      <c r="Y118">
        <v>2006</v>
      </c>
      <c r="Z118">
        <v>1</v>
      </c>
      <c r="AA118">
        <v>0.03</v>
      </c>
    </row>
    <row r="119" spans="1:27">
      <c r="A119">
        <v>1117</v>
      </c>
      <c r="B119" t="s">
        <v>3916</v>
      </c>
      <c r="C119">
        <v>59</v>
      </c>
      <c r="D119" t="s">
        <v>3823</v>
      </c>
      <c r="E119">
        <v>1</v>
      </c>
      <c r="F119">
        <v>0.06</v>
      </c>
      <c r="G119">
        <v>8001</v>
      </c>
      <c r="H119">
        <v>75</v>
      </c>
      <c r="I119">
        <v>1</v>
      </c>
      <c r="J119">
        <v>8000</v>
      </c>
      <c r="K119">
        <v>115</v>
      </c>
      <c r="L119">
        <v>1</v>
      </c>
      <c r="M119">
        <v>2007</v>
      </c>
      <c r="N119">
        <v>1</v>
      </c>
      <c r="O119">
        <v>0.05</v>
      </c>
      <c r="P119">
        <v>9000</v>
      </c>
      <c r="Q119">
        <v>24</v>
      </c>
      <c r="R119">
        <v>1</v>
      </c>
      <c r="S119" t="s">
        <v>3824</v>
      </c>
      <c r="T119">
        <v>4</v>
      </c>
      <c r="U119">
        <v>0.5</v>
      </c>
      <c r="V119">
        <v>1000</v>
      </c>
      <c r="W119">
        <v>1185</v>
      </c>
      <c r="X119">
        <v>1</v>
      </c>
      <c r="Y119">
        <v>2006</v>
      </c>
      <c r="Z119">
        <v>1</v>
      </c>
      <c r="AA119">
        <v>0.03</v>
      </c>
    </row>
    <row r="120" spans="1:27">
      <c r="A120">
        <v>1118</v>
      </c>
      <c r="B120" t="s">
        <v>3935</v>
      </c>
      <c r="C120">
        <v>60</v>
      </c>
      <c r="D120" t="s">
        <v>3823</v>
      </c>
      <c r="E120">
        <v>1</v>
      </c>
      <c r="F120">
        <v>0.06</v>
      </c>
      <c r="G120">
        <v>8001</v>
      </c>
      <c r="H120">
        <v>75</v>
      </c>
      <c r="I120">
        <v>1</v>
      </c>
      <c r="J120">
        <v>8000</v>
      </c>
      <c r="K120">
        <v>115</v>
      </c>
      <c r="L120">
        <v>1</v>
      </c>
      <c r="M120">
        <v>2007</v>
      </c>
      <c r="N120">
        <v>1</v>
      </c>
      <c r="O120">
        <v>0.05</v>
      </c>
      <c r="P120">
        <v>9000</v>
      </c>
      <c r="Q120">
        <v>24</v>
      </c>
      <c r="R120">
        <v>1</v>
      </c>
      <c r="S120" t="s">
        <v>3824</v>
      </c>
      <c r="T120">
        <v>4</v>
      </c>
      <c r="U120">
        <v>0.5</v>
      </c>
      <c r="V120">
        <v>1000</v>
      </c>
      <c r="W120">
        <v>1195</v>
      </c>
      <c r="X120">
        <v>1</v>
      </c>
      <c r="Y120">
        <v>2006</v>
      </c>
      <c r="Z120">
        <v>1</v>
      </c>
      <c r="AA120">
        <v>0.03</v>
      </c>
    </row>
    <row r="121" spans="1:27">
      <c r="A121">
        <v>1119</v>
      </c>
      <c r="B121" t="s">
        <v>3936</v>
      </c>
      <c r="C121">
        <v>60</v>
      </c>
      <c r="D121" t="s">
        <v>3823</v>
      </c>
      <c r="E121">
        <v>1</v>
      </c>
      <c r="F121">
        <v>0.06</v>
      </c>
      <c r="G121">
        <v>8001</v>
      </c>
      <c r="H121">
        <v>75</v>
      </c>
      <c r="I121">
        <v>1</v>
      </c>
      <c r="J121">
        <v>8000</v>
      </c>
      <c r="K121">
        <v>115</v>
      </c>
      <c r="L121">
        <v>1</v>
      </c>
      <c r="M121">
        <v>2007</v>
      </c>
      <c r="N121">
        <v>1</v>
      </c>
      <c r="O121">
        <v>0.05</v>
      </c>
      <c r="P121">
        <v>9000</v>
      </c>
      <c r="Q121">
        <v>24</v>
      </c>
      <c r="R121">
        <v>1</v>
      </c>
      <c r="S121" t="s">
        <v>3824</v>
      </c>
      <c r="T121">
        <v>4</v>
      </c>
      <c r="U121">
        <v>0.5</v>
      </c>
      <c r="V121">
        <v>1000</v>
      </c>
      <c r="W121">
        <v>1205</v>
      </c>
      <c r="X121">
        <v>1</v>
      </c>
      <c r="Y121">
        <v>2006</v>
      </c>
      <c r="Z121">
        <v>1</v>
      </c>
      <c r="AA121">
        <v>0.03</v>
      </c>
    </row>
    <row r="122" spans="1:27">
      <c r="A122">
        <v>1120</v>
      </c>
      <c r="B122" t="s">
        <v>3937</v>
      </c>
      <c r="C122">
        <v>61</v>
      </c>
      <c r="D122" t="s">
        <v>3823</v>
      </c>
      <c r="E122">
        <v>1</v>
      </c>
      <c r="F122">
        <v>0.06</v>
      </c>
      <c r="G122">
        <v>8001</v>
      </c>
      <c r="H122">
        <v>80</v>
      </c>
      <c r="I122">
        <v>1</v>
      </c>
      <c r="J122">
        <v>8000</v>
      </c>
      <c r="K122">
        <v>115</v>
      </c>
      <c r="L122">
        <v>1</v>
      </c>
      <c r="M122">
        <v>2007</v>
      </c>
      <c r="N122">
        <v>1</v>
      </c>
      <c r="O122">
        <v>0.05</v>
      </c>
      <c r="P122">
        <v>9000</v>
      </c>
      <c r="Q122">
        <v>25</v>
      </c>
      <c r="R122">
        <v>1</v>
      </c>
      <c r="S122" t="s">
        <v>3824</v>
      </c>
      <c r="T122">
        <v>4</v>
      </c>
      <c r="U122">
        <v>0.5</v>
      </c>
      <c r="V122">
        <v>1000</v>
      </c>
      <c r="W122">
        <v>1210</v>
      </c>
      <c r="X122">
        <v>1</v>
      </c>
      <c r="Y122">
        <v>2006</v>
      </c>
      <c r="Z122">
        <v>1</v>
      </c>
      <c r="AA122">
        <v>0.03</v>
      </c>
    </row>
    <row r="123" spans="1:27">
      <c r="A123">
        <v>1121</v>
      </c>
      <c r="B123" t="s">
        <v>3938</v>
      </c>
      <c r="C123">
        <v>61</v>
      </c>
      <c r="D123" t="s">
        <v>3823</v>
      </c>
      <c r="E123">
        <v>1</v>
      </c>
      <c r="F123">
        <v>6.0999999999999999E-2</v>
      </c>
      <c r="G123">
        <v>8001</v>
      </c>
      <c r="H123">
        <v>80</v>
      </c>
      <c r="I123">
        <v>1</v>
      </c>
      <c r="J123">
        <v>8000</v>
      </c>
      <c r="K123">
        <v>115</v>
      </c>
      <c r="L123">
        <v>1</v>
      </c>
      <c r="M123">
        <v>2007</v>
      </c>
      <c r="N123">
        <v>1</v>
      </c>
      <c r="O123">
        <v>0.05</v>
      </c>
      <c r="P123">
        <v>9000</v>
      </c>
      <c r="Q123">
        <v>25</v>
      </c>
      <c r="R123">
        <v>1</v>
      </c>
      <c r="S123" t="s">
        <v>3824</v>
      </c>
      <c r="T123">
        <v>4</v>
      </c>
      <c r="U123">
        <v>0.5</v>
      </c>
      <c r="V123">
        <v>1000</v>
      </c>
      <c r="W123">
        <v>1220</v>
      </c>
      <c r="X123">
        <v>1</v>
      </c>
      <c r="Y123">
        <v>2006</v>
      </c>
      <c r="Z123">
        <v>1</v>
      </c>
      <c r="AA123">
        <v>0.03</v>
      </c>
    </row>
    <row r="124" spans="1:27">
      <c r="A124">
        <v>1122</v>
      </c>
      <c r="B124" t="s">
        <v>3939</v>
      </c>
      <c r="C124">
        <v>62</v>
      </c>
      <c r="D124" t="s">
        <v>3823</v>
      </c>
      <c r="E124">
        <v>1</v>
      </c>
      <c r="F124">
        <v>6.0999999999999999E-2</v>
      </c>
      <c r="G124">
        <v>8001</v>
      </c>
      <c r="H124">
        <v>80</v>
      </c>
      <c r="I124">
        <v>1</v>
      </c>
      <c r="J124">
        <v>8000</v>
      </c>
      <c r="K124">
        <v>120</v>
      </c>
      <c r="L124">
        <v>1</v>
      </c>
      <c r="M124">
        <v>2007</v>
      </c>
      <c r="N124">
        <v>1</v>
      </c>
      <c r="O124">
        <v>0.05</v>
      </c>
      <c r="P124">
        <v>9000</v>
      </c>
      <c r="Q124">
        <v>25</v>
      </c>
      <c r="R124">
        <v>1</v>
      </c>
      <c r="S124" t="s">
        <v>3824</v>
      </c>
      <c r="T124">
        <v>4</v>
      </c>
      <c r="U124">
        <v>0.5</v>
      </c>
      <c r="V124">
        <v>1000</v>
      </c>
      <c r="W124">
        <v>1230</v>
      </c>
      <c r="X124">
        <v>1</v>
      </c>
      <c r="Y124">
        <v>2006</v>
      </c>
      <c r="Z124">
        <v>1</v>
      </c>
      <c r="AA124">
        <v>0.03</v>
      </c>
    </row>
    <row r="125" spans="1:27">
      <c r="A125">
        <v>1123</v>
      </c>
      <c r="B125" t="s">
        <v>3940</v>
      </c>
      <c r="C125">
        <v>62</v>
      </c>
      <c r="D125" t="s">
        <v>3823</v>
      </c>
      <c r="E125">
        <v>1</v>
      </c>
      <c r="F125">
        <v>6.0999999999999999E-2</v>
      </c>
      <c r="G125">
        <v>8001</v>
      </c>
      <c r="H125">
        <v>80</v>
      </c>
      <c r="I125">
        <v>1</v>
      </c>
      <c r="J125">
        <v>8000</v>
      </c>
      <c r="K125">
        <v>120</v>
      </c>
      <c r="L125">
        <v>1</v>
      </c>
      <c r="M125">
        <v>2007</v>
      </c>
      <c r="N125">
        <v>1</v>
      </c>
      <c r="O125">
        <v>0.05</v>
      </c>
      <c r="P125">
        <v>9000</v>
      </c>
      <c r="Q125">
        <v>25</v>
      </c>
      <c r="R125">
        <v>1</v>
      </c>
      <c r="S125" t="s">
        <v>3824</v>
      </c>
      <c r="T125">
        <v>4</v>
      </c>
      <c r="U125">
        <v>0.5</v>
      </c>
      <c r="V125">
        <v>1000</v>
      </c>
      <c r="W125">
        <v>1240</v>
      </c>
      <c r="X125">
        <v>1</v>
      </c>
      <c r="Y125">
        <v>2006</v>
      </c>
      <c r="Z125">
        <v>1</v>
      </c>
      <c r="AA125">
        <v>0.03</v>
      </c>
    </row>
    <row r="126" spans="1:27">
      <c r="A126">
        <v>1124</v>
      </c>
      <c r="B126" t="s">
        <v>3941</v>
      </c>
      <c r="C126">
        <v>63</v>
      </c>
      <c r="D126" t="s">
        <v>3823</v>
      </c>
      <c r="E126">
        <v>1</v>
      </c>
      <c r="F126">
        <v>6.0999999999999999E-2</v>
      </c>
      <c r="G126">
        <v>8001</v>
      </c>
      <c r="H126">
        <v>80</v>
      </c>
      <c r="I126">
        <v>1</v>
      </c>
      <c r="J126">
        <v>8000</v>
      </c>
      <c r="K126">
        <v>120</v>
      </c>
      <c r="L126">
        <v>1</v>
      </c>
      <c r="M126">
        <v>2007</v>
      </c>
      <c r="N126">
        <v>1</v>
      </c>
      <c r="O126">
        <v>0.05</v>
      </c>
      <c r="P126">
        <v>9000</v>
      </c>
      <c r="Q126">
        <v>26</v>
      </c>
      <c r="R126">
        <v>1</v>
      </c>
      <c r="S126" t="s">
        <v>3824</v>
      </c>
      <c r="T126">
        <v>4</v>
      </c>
      <c r="U126">
        <v>0.5</v>
      </c>
      <c r="V126">
        <v>1000</v>
      </c>
      <c r="W126">
        <v>1250</v>
      </c>
      <c r="X126">
        <v>1</v>
      </c>
      <c r="Y126">
        <v>2006</v>
      </c>
      <c r="Z126">
        <v>1</v>
      </c>
      <c r="AA126">
        <v>0.03</v>
      </c>
    </row>
    <row r="127" spans="1:27">
      <c r="A127">
        <v>1125</v>
      </c>
      <c r="B127" t="s">
        <v>3942</v>
      </c>
      <c r="C127">
        <v>63</v>
      </c>
      <c r="D127" t="s">
        <v>3823</v>
      </c>
      <c r="E127">
        <v>1</v>
      </c>
      <c r="F127">
        <v>6.0999999999999999E-2</v>
      </c>
      <c r="G127">
        <v>8001</v>
      </c>
      <c r="H127">
        <v>80</v>
      </c>
      <c r="I127">
        <v>1</v>
      </c>
      <c r="J127">
        <v>8000</v>
      </c>
      <c r="K127">
        <v>120</v>
      </c>
      <c r="L127">
        <v>1</v>
      </c>
      <c r="M127">
        <v>2007</v>
      </c>
      <c r="N127">
        <v>1</v>
      </c>
      <c r="O127">
        <v>0.05</v>
      </c>
      <c r="P127">
        <v>9000</v>
      </c>
      <c r="Q127">
        <v>26</v>
      </c>
      <c r="R127">
        <v>1</v>
      </c>
      <c r="S127" t="s">
        <v>3824</v>
      </c>
      <c r="T127">
        <v>4</v>
      </c>
      <c r="U127">
        <v>0.5</v>
      </c>
      <c r="V127">
        <v>1000</v>
      </c>
      <c r="W127">
        <v>1260</v>
      </c>
      <c r="X127">
        <v>1</v>
      </c>
      <c r="Y127">
        <v>2006</v>
      </c>
      <c r="Z127">
        <v>1</v>
      </c>
      <c r="AA127">
        <v>0.03</v>
      </c>
    </row>
    <row r="128" spans="1:27">
      <c r="A128">
        <v>1126</v>
      </c>
      <c r="B128" t="s">
        <v>3943</v>
      </c>
      <c r="C128">
        <v>64</v>
      </c>
      <c r="D128" t="s">
        <v>3823</v>
      </c>
      <c r="E128">
        <v>1</v>
      </c>
      <c r="F128">
        <v>6.0999999999999999E-2</v>
      </c>
      <c r="G128">
        <v>8001</v>
      </c>
      <c r="H128">
        <v>80</v>
      </c>
      <c r="I128">
        <v>1</v>
      </c>
      <c r="J128">
        <v>8000</v>
      </c>
      <c r="K128">
        <v>120</v>
      </c>
      <c r="L128">
        <v>1</v>
      </c>
      <c r="M128">
        <v>2007</v>
      </c>
      <c r="N128">
        <v>1</v>
      </c>
      <c r="O128">
        <v>0.05</v>
      </c>
      <c r="P128">
        <v>9000</v>
      </c>
      <c r="Q128">
        <v>26</v>
      </c>
      <c r="R128">
        <v>1</v>
      </c>
      <c r="S128" t="s">
        <v>3824</v>
      </c>
      <c r="T128">
        <v>4</v>
      </c>
      <c r="U128">
        <v>0.5</v>
      </c>
      <c r="V128">
        <v>1000</v>
      </c>
      <c r="W128">
        <v>1265</v>
      </c>
      <c r="X128">
        <v>1</v>
      </c>
      <c r="Y128">
        <v>2006</v>
      </c>
      <c r="Z128">
        <v>1</v>
      </c>
      <c r="AA128">
        <v>0.03</v>
      </c>
    </row>
    <row r="129" spans="1:27">
      <c r="A129">
        <v>1127</v>
      </c>
      <c r="B129" t="s">
        <v>3944</v>
      </c>
      <c r="C129">
        <v>64</v>
      </c>
      <c r="D129" t="s">
        <v>3823</v>
      </c>
      <c r="E129">
        <v>1</v>
      </c>
      <c r="F129">
        <v>6.2E-2</v>
      </c>
      <c r="G129">
        <v>8001</v>
      </c>
      <c r="H129">
        <v>80</v>
      </c>
      <c r="I129">
        <v>1</v>
      </c>
      <c r="J129">
        <v>8000</v>
      </c>
      <c r="K129">
        <v>125</v>
      </c>
      <c r="L129">
        <v>1</v>
      </c>
      <c r="M129">
        <v>2007</v>
      </c>
      <c r="N129">
        <v>1</v>
      </c>
      <c r="O129">
        <v>0.05</v>
      </c>
      <c r="P129">
        <v>9000</v>
      </c>
      <c r="Q129">
        <v>26</v>
      </c>
      <c r="R129">
        <v>1</v>
      </c>
      <c r="S129" t="s">
        <v>3824</v>
      </c>
      <c r="T129">
        <v>4</v>
      </c>
      <c r="U129">
        <v>0.5</v>
      </c>
      <c r="V129">
        <v>1000</v>
      </c>
      <c r="W129">
        <v>1275</v>
      </c>
      <c r="X129">
        <v>1</v>
      </c>
      <c r="Y129">
        <v>2006</v>
      </c>
      <c r="Z129">
        <v>1</v>
      </c>
      <c r="AA129">
        <v>0.03</v>
      </c>
    </row>
    <row r="130" spans="1:27">
      <c r="A130">
        <v>1128</v>
      </c>
      <c r="B130" t="s">
        <v>3945</v>
      </c>
      <c r="C130">
        <v>65</v>
      </c>
      <c r="D130" t="s">
        <v>3823</v>
      </c>
      <c r="E130">
        <v>1</v>
      </c>
      <c r="F130">
        <v>6.2E-2</v>
      </c>
      <c r="G130">
        <v>8001</v>
      </c>
      <c r="H130">
        <v>80</v>
      </c>
      <c r="I130">
        <v>1</v>
      </c>
      <c r="J130">
        <v>8000</v>
      </c>
      <c r="K130">
        <v>125</v>
      </c>
      <c r="L130">
        <v>1</v>
      </c>
      <c r="M130">
        <v>2007</v>
      </c>
      <c r="N130">
        <v>1</v>
      </c>
      <c r="O130">
        <v>0.05</v>
      </c>
      <c r="P130">
        <v>9000</v>
      </c>
      <c r="Q130">
        <v>26</v>
      </c>
      <c r="R130">
        <v>1</v>
      </c>
      <c r="S130" t="s">
        <v>3824</v>
      </c>
      <c r="T130">
        <v>4</v>
      </c>
      <c r="U130">
        <v>0.5</v>
      </c>
      <c r="V130">
        <v>1000</v>
      </c>
      <c r="W130">
        <v>1285</v>
      </c>
      <c r="X130">
        <v>1</v>
      </c>
      <c r="Y130">
        <v>2006</v>
      </c>
      <c r="Z130">
        <v>1</v>
      </c>
      <c r="AA130">
        <v>0.03</v>
      </c>
    </row>
    <row r="131" spans="1:27">
      <c r="A131">
        <v>1129</v>
      </c>
      <c r="B131" t="s">
        <v>3946</v>
      </c>
      <c r="C131">
        <v>65</v>
      </c>
      <c r="D131" t="s">
        <v>3823</v>
      </c>
      <c r="E131">
        <v>1</v>
      </c>
      <c r="F131">
        <v>6.2E-2</v>
      </c>
      <c r="G131">
        <v>8001</v>
      </c>
      <c r="H131">
        <v>85</v>
      </c>
      <c r="I131">
        <v>1</v>
      </c>
      <c r="J131">
        <v>8000</v>
      </c>
      <c r="K131">
        <v>125</v>
      </c>
      <c r="L131">
        <v>1</v>
      </c>
      <c r="M131">
        <v>2007</v>
      </c>
      <c r="N131">
        <v>1</v>
      </c>
      <c r="O131">
        <v>0.05</v>
      </c>
      <c r="P131">
        <v>9000</v>
      </c>
      <c r="Q131">
        <v>27</v>
      </c>
      <c r="R131">
        <v>1</v>
      </c>
      <c r="S131" t="s">
        <v>3824</v>
      </c>
      <c r="T131">
        <v>4</v>
      </c>
      <c r="U131">
        <v>0.5</v>
      </c>
      <c r="V131">
        <v>1000</v>
      </c>
      <c r="W131">
        <v>1295</v>
      </c>
      <c r="X131">
        <v>1</v>
      </c>
      <c r="Y131">
        <v>2006</v>
      </c>
      <c r="Z131">
        <v>1</v>
      </c>
      <c r="AA131">
        <v>0.03</v>
      </c>
    </row>
    <row r="132" spans="1:27">
      <c r="A132">
        <v>1130</v>
      </c>
      <c r="B132" t="s">
        <v>3947</v>
      </c>
      <c r="C132">
        <v>66</v>
      </c>
      <c r="D132" t="s">
        <v>3823</v>
      </c>
      <c r="E132">
        <v>1</v>
      </c>
      <c r="F132">
        <v>6.2E-2</v>
      </c>
      <c r="G132">
        <v>8001</v>
      </c>
      <c r="H132">
        <v>85</v>
      </c>
      <c r="I132">
        <v>1</v>
      </c>
      <c r="J132">
        <v>8000</v>
      </c>
      <c r="K132">
        <v>125</v>
      </c>
      <c r="L132">
        <v>1</v>
      </c>
      <c r="M132">
        <v>2007</v>
      </c>
      <c r="N132">
        <v>1</v>
      </c>
      <c r="O132">
        <v>0.05</v>
      </c>
      <c r="P132">
        <v>9000</v>
      </c>
      <c r="Q132">
        <v>27</v>
      </c>
      <c r="R132">
        <v>1</v>
      </c>
      <c r="S132" t="s">
        <v>3824</v>
      </c>
      <c r="T132">
        <v>4</v>
      </c>
      <c r="U132">
        <v>0.5</v>
      </c>
      <c r="V132">
        <v>1000</v>
      </c>
      <c r="W132">
        <v>1305</v>
      </c>
      <c r="X132">
        <v>1</v>
      </c>
      <c r="Y132">
        <v>2006</v>
      </c>
      <c r="Z132">
        <v>1</v>
      </c>
      <c r="AA132">
        <v>0.03</v>
      </c>
    </row>
    <row r="133" spans="1:27">
      <c r="A133">
        <v>1131</v>
      </c>
      <c r="B133" t="s">
        <v>3948</v>
      </c>
      <c r="C133">
        <v>66</v>
      </c>
      <c r="D133" t="s">
        <v>3823</v>
      </c>
      <c r="E133">
        <v>1</v>
      </c>
      <c r="F133">
        <v>6.2E-2</v>
      </c>
      <c r="G133">
        <v>8001</v>
      </c>
      <c r="H133">
        <v>85</v>
      </c>
      <c r="I133">
        <v>1</v>
      </c>
      <c r="J133">
        <v>8000</v>
      </c>
      <c r="K133">
        <v>125</v>
      </c>
      <c r="L133">
        <v>1</v>
      </c>
      <c r="M133">
        <v>2007</v>
      </c>
      <c r="N133">
        <v>1</v>
      </c>
      <c r="O133">
        <v>0.05</v>
      </c>
      <c r="P133">
        <v>9000</v>
      </c>
      <c r="Q133">
        <v>27</v>
      </c>
      <c r="R133">
        <v>1</v>
      </c>
      <c r="S133" t="s">
        <v>3824</v>
      </c>
      <c r="T133">
        <v>4</v>
      </c>
      <c r="U133">
        <v>0.5</v>
      </c>
      <c r="V133">
        <v>1000</v>
      </c>
      <c r="W133">
        <v>1315</v>
      </c>
      <c r="X133">
        <v>1</v>
      </c>
      <c r="Y133">
        <v>2006</v>
      </c>
      <c r="Z133">
        <v>1</v>
      </c>
      <c r="AA133">
        <v>0.03</v>
      </c>
    </row>
    <row r="134" spans="1:27">
      <c r="A134">
        <v>1132</v>
      </c>
      <c r="B134" t="s">
        <v>3949</v>
      </c>
      <c r="C134">
        <v>67</v>
      </c>
      <c r="D134" t="s">
        <v>3823</v>
      </c>
      <c r="E134">
        <v>1</v>
      </c>
      <c r="F134">
        <v>6.2E-2</v>
      </c>
      <c r="G134">
        <v>8001</v>
      </c>
      <c r="H134">
        <v>85</v>
      </c>
      <c r="I134">
        <v>1</v>
      </c>
      <c r="J134">
        <v>8000</v>
      </c>
      <c r="K134">
        <v>125</v>
      </c>
      <c r="L134">
        <v>1</v>
      </c>
      <c r="M134">
        <v>2007</v>
      </c>
      <c r="N134">
        <v>1</v>
      </c>
      <c r="O134">
        <v>0.05</v>
      </c>
      <c r="P134">
        <v>9000</v>
      </c>
      <c r="Q134">
        <v>27</v>
      </c>
      <c r="R134">
        <v>1</v>
      </c>
      <c r="S134" t="s">
        <v>3824</v>
      </c>
      <c r="T134">
        <v>4</v>
      </c>
      <c r="U134">
        <v>0.5</v>
      </c>
      <c r="V134">
        <v>1000</v>
      </c>
      <c r="W134">
        <v>1325</v>
      </c>
      <c r="X134">
        <v>1</v>
      </c>
      <c r="Y134">
        <v>2006</v>
      </c>
      <c r="Z134">
        <v>1</v>
      </c>
      <c r="AA134">
        <v>0.03</v>
      </c>
    </row>
    <row r="135" spans="1:27">
      <c r="A135">
        <v>1133</v>
      </c>
      <c r="B135" t="s">
        <v>3950</v>
      </c>
      <c r="C135">
        <v>67</v>
      </c>
      <c r="D135" t="s">
        <v>3823</v>
      </c>
      <c r="E135">
        <v>1</v>
      </c>
      <c r="F135">
        <v>6.3E-2</v>
      </c>
      <c r="G135">
        <v>8001</v>
      </c>
      <c r="H135">
        <v>85</v>
      </c>
      <c r="I135">
        <v>1</v>
      </c>
      <c r="J135">
        <v>8000</v>
      </c>
      <c r="K135">
        <v>130</v>
      </c>
      <c r="L135">
        <v>1</v>
      </c>
      <c r="M135">
        <v>2007</v>
      </c>
      <c r="N135">
        <v>1</v>
      </c>
      <c r="O135">
        <v>0.05</v>
      </c>
      <c r="P135">
        <v>9000</v>
      </c>
      <c r="Q135">
        <v>28</v>
      </c>
      <c r="R135">
        <v>1</v>
      </c>
      <c r="S135" t="s">
        <v>3824</v>
      </c>
      <c r="T135">
        <v>4</v>
      </c>
      <c r="U135">
        <v>0.5</v>
      </c>
      <c r="V135">
        <v>1000</v>
      </c>
      <c r="W135">
        <v>1335</v>
      </c>
      <c r="X135">
        <v>1</v>
      </c>
      <c r="Y135">
        <v>2006</v>
      </c>
      <c r="Z135">
        <v>1</v>
      </c>
      <c r="AA135">
        <v>0.03</v>
      </c>
    </row>
    <row r="136" spans="1:27">
      <c r="A136">
        <v>1134</v>
      </c>
      <c r="B136" t="s">
        <v>3951</v>
      </c>
      <c r="C136">
        <v>68</v>
      </c>
      <c r="D136" t="s">
        <v>3823</v>
      </c>
      <c r="E136">
        <v>1</v>
      </c>
      <c r="F136">
        <v>6.3E-2</v>
      </c>
      <c r="G136">
        <v>8001</v>
      </c>
      <c r="H136">
        <v>85</v>
      </c>
      <c r="I136">
        <v>1</v>
      </c>
      <c r="J136">
        <v>8000</v>
      </c>
      <c r="K136">
        <v>130</v>
      </c>
      <c r="L136">
        <v>1</v>
      </c>
      <c r="M136">
        <v>2007</v>
      </c>
      <c r="N136">
        <v>1</v>
      </c>
      <c r="O136">
        <v>0.05</v>
      </c>
      <c r="P136">
        <v>9000</v>
      </c>
      <c r="Q136">
        <v>28</v>
      </c>
      <c r="R136">
        <v>1</v>
      </c>
      <c r="S136" t="s">
        <v>3824</v>
      </c>
      <c r="T136">
        <v>4</v>
      </c>
      <c r="U136">
        <v>0.5</v>
      </c>
      <c r="V136">
        <v>1000</v>
      </c>
      <c r="W136">
        <v>1345</v>
      </c>
      <c r="X136">
        <v>1</v>
      </c>
      <c r="Y136">
        <v>2006</v>
      </c>
      <c r="Z136">
        <v>1</v>
      </c>
      <c r="AA136">
        <v>0.03</v>
      </c>
    </row>
    <row r="137" spans="1:27">
      <c r="A137">
        <v>1135</v>
      </c>
      <c r="B137" t="s">
        <v>3952</v>
      </c>
      <c r="C137">
        <v>68</v>
      </c>
      <c r="D137" t="s">
        <v>3823</v>
      </c>
      <c r="E137">
        <v>1</v>
      </c>
      <c r="F137">
        <v>6.3E-2</v>
      </c>
      <c r="G137">
        <v>8001</v>
      </c>
      <c r="H137">
        <v>85</v>
      </c>
      <c r="I137">
        <v>1</v>
      </c>
      <c r="J137">
        <v>8000</v>
      </c>
      <c r="K137">
        <v>130</v>
      </c>
      <c r="L137">
        <v>1</v>
      </c>
      <c r="M137">
        <v>2007</v>
      </c>
      <c r="N137">
        <v>1</v>
      </c>
      <c r="O137">
        <v>0.05</v>
      </c>
      <c r="P137">
        <v>9000</v>
      </c>
      <c r="Q137">
        <v>28</v>
      </c>
      <c r="R137">
        <v>1</v>
      </c>
      <c r="S137" t="s">
        <v>3824</v>
      </c>
      <c r="T137">
        <v>4</v>
      </c>
      <c r="U137">
        <v>0.5</v>
      </c>
      <c r="V137">
        <v>1000</v>
      </c>
      <c r="W137">
        <v>1355</v>
      </c>
      <c r="X137">
        <v>1</v>
      </c>
      <c r="Y137">
        <v>2006</v>
      </c>
      <c r="Z137">
        <v>1</v>
      </c>
      <c r="AA137">
        <v>0.03</v>
      </c>
    </row>
    <row r="138" spans="1:27">
      <c r="A138">
        <v>1136</v>
      </c>
      <c r="B138" t="s">
        <v>3953</v>
      </c>
      <c r="C138">
        <v>69</v>
      </c>
      <c r="D138" t="s">
        <v>3823</v>
      </c>
      <c r="E138">
        <v>1</v>
      </c>
      <c r="F138">
        <v>6.3E-2</v>
      </c>
      <c r="G138">
        <v>8001</v>
      </c>
      <c r="H138">
        <v>85</v>
      </c>
      <c r="I138">
        <v>1</v>
      </c>
      <c r="J138">
        <v>8000</v>
      </c>
      <c r="K138">
        <v>130</v>
      </c>
      <c r="L138">
        <v>1</v>
      </c>
      <c r="M138">
        <v>2007</v>
      </c>
      <c r="N138">
        <v>1</v>
      </c>
      <c r="O138">
        <v>0.05</v>
      </c>
      <c r="P138">
        <v>9000</v>
      </c>
      <c r="Q138">
        <v>28</v>
      </c>
      <c r="R138">
        <v>1</v>
      </c>
      <c r="S138" t="s">
        <v>3824</v>
      </c>
      <c r="T138">
        <v>4</v>
      </c>
      <c r="U138">
        <v>0.5</v>
      </c>
      <c r="V138">
        <v>1000</v>
      </c>
      <c r="W138">
        <v>1365</v>
      </c>
      <c r="X138">
        <v>1</v>
      </c>
      <c r="Y138">
        <v>2006</v>
      </c>
      <c r="Z138">
        <v>1</v>
      </c>
      <c r="AA138">
        <v>0.03</v>
      </c>
    </row>
    <row r="139" spans="1:27">
      <c r="A139">
        <v>1137</v>
      </c>
      <c r="B139" t="s">
        <v>3954</v>
      </c>
      <c r="C139">
        <v>69</v>
      </c>
      <c r="D139" t="s">
        <v>3823</v>
      </c>
      <c r="E139">
        <v>1</v>
      </c>
      <c r="F139">
        <v>6.3E-2</v>
      </c>
      <c r="G139">
        <v>8001</v>
      </c>
      <c r="H139">
        <v>90</v>
      </c>
      <c r="I139">
        <v>1</v>
      </c>
      <c r="J139">
        <v>8000</v>
      </c>
      <c r="K139">
        <v>130</v>
      </c>
      <c r="L139">
        <v>1</v>
      </c>
      <c r="M139">
        <v>2007</v>
      </c>
      <c r="N139">
        <v>1</v>
      </c>
      <c r="O139">
        <v>0.05</v>
      </c>
      <c r="P139">
        <v>9000</v>
      </c>
      <c r="Q139">
        <v>29</v>
      </c>
      <c r="R139">
        <v>1</v>
      </c>
      <c r="S139" t="s">
        <v>3824</v>
      </c>
      <c r="T139">
        <v>4</v>
      </c>
      <c r="U139">
        <v>0.5</v>
      </c>
      <c r="V139">
        <v>1000</v>
      </c>
      <c r="W139">
        <v>1375</v>
      </c>
      <c r="X139">
        <v>1</v>
      </c>
      <c r="Y139">
        <v>2006</v>
      </c>
      <c r="Z139">
        <v>1</v>
      </c>
      <c r="AA139">
        <v>0.03</v>
      </c>
    </row>
    <row r="140" spans="1:27">
      <c r="A140">
        <v>1138</v>
      </c>
      <c r="B140" t="s">
        <v>3953</v>
      </c>
      <c r="C140">
        <v>70</v>
      </c>
      <c r="D140" t="s">
        <v>3823</v>
      </c>
      <c r="E140">
        <v>1</v>
      </c>
      <c r="F140">
        <v>6.3E-2</v>
      </c>
      <c r="G140">
        <v>8001</v>
      </c>
      <c r="H140">
        <v>90</v>
      </c>
      <c r="I140">
        <v>1</v>
      </c>
      <c r="J140">
        <v>8000</v>
      </c>
      <c r="K140">
        <v>135</v>
      </c>
      <c r="L140">
        <v>1</v>
      </c>
      <c r="M140">
        <v>2007</v>
      </c>
      <c r="N140">
        <v>1</v>
      </c>
      <c r="O140">
        <v>0.05</v>
      </c>
      <c r="P140">
        <v>9000</v>
      </c>
      <c r="Q140">
        <v>29</v>
      </c>
      <c r="R140">
        <v>1</v>
      </c>
      <c r="S140" t="s">
        <v>3824</v>
      </c>
      <c r="T140">
        <v>4</v>
      </c>
      <c r="U140">
        <v>0.5</v>
      </c>
      <c r="V140">
        <v>1000</v>
      </c>
      <c r="W140">
        <v>1385</v>
      </c>
      <c r="X140">
        <v>1</v>
      </c>
      <c r="Y140">
        <v>2006</v>
      </c>
      <c r="Z140">
        <v>1</v>
      </c>
      <c r="AA140">
        <v>0.03</v>
      </c>
    </row>
    <row r="141" spans="1:27">
      <c r="A141">
        <v>1139</v>
      </c>
      <c r="B141" t="s">
        <v>3948</v>
      </c>
      <c r="C141">
        <v>70</v>
      </c>
      <c r="D141" t="s">
        <v>3823</v>
      </c>
      <c r="E141">
        <v>1</v>
      </c>
      <c r="F141">
        <v>6.4000000000000001E-2</v>
      </c>
      <c r="G141">
        <v>8001</v>
      </c>
      <c r="H141">
        <v>90</v>
      </c>
      <c r="I141">
        <v>1</v>
      </c>
      <c r="J141">
        <v>8000</v>
      </c>
      <c r="K141">
        <v>135</v>
      </c>
      <c r="L141">
        <v>1</v>
      </c>
      <c r="M141">
        <v>2007</v>
      </c>
      <c r="N141">
        <v>1</v>
      </c>
      <c r="O141">
        <v>0.05</v>
      </c>
      <c r="P141">
        <v>9000</v>
      </c>
      <c r="Q141">
        <v>29</v>
      </c>
      <c r="R141">
        <v>1</v>
      </c>
      <c r="S141" t="s">
        <v>3824</v>
      </c>
      <c r="T141">
        <v>4</v>
      </c>
      <c r="U141">
        <v>0.5</v>
      </c>
      <c r="V141">
        <v>1000</v>
      </c>
      <c r="W141">
        <v>1395</v>
      </c>
      <c r="X141">
        <v>1</v>
      </c>
      <c r="Y141">
        <v>2006</v>
      </c>
      <c r="Z141">
        <v>1</v>
      </c>
      <c r="AA141">
        <v>0.03</v>
      </c>
    </row>
    <row r="142" spans="1:27">
      <c r="A142">
        <v>1140</v>
      </c>
      <c r="B142" t="s">
        <v>3955</v>
      </c>
      <c r="C142">
        <v>71</v>
      </c>
      <c r="D142" t="s">
        <v>3823</v>
      </c>
      <c r="E142">
        <v>1</v>
      </c>
      <c r="F142">
        <v>6.4000000000000001E-2</v>
      </c>
      <c r="G142">
        <v>8001</v>
      </c>
      <c r="H142">
        <v>90</v>
      </c>
      <c r="I142">
        <v>1</v>
      </c>
      <c r="J142">
        <v>8000</v>
      </c>
      <c r="K142">
        <v>135</v>
      </c>
      <c r="L142">
        <v>1</v>
      </c>
      <c r="M142">
        <v>2007</v>
      </c>
      <c r="N142">
        <v>1</v>
      </c>
      <c r="O142">
        <v>0.05</v>
      </c>
      <c r="P142">
        <v>9000</v>
      </c>
      <c r="Q142">
        <v>29</v>
      </c>
      <c r="R142">
        <v>1</v>
      </c>
      <c r="S142" t="s">
        <v>3824</v>
      </c>
      <c r="T142">
        <v>4</v>
      </c>
      <c r="U142">
        <v>0.5</v>
      </c>
      <c r="V142">
        <v>1000</v>
      </c>
      <c r="W142">
        <v>1405</v>
      </c>
      <c r="X142">
        <v>1</v>
      </c>
      <c r="Y142">
        <v>2006</v>
      </c>
      <c r="Z142">
        <v>1</v>
      </c>
      <c r="AA142">
        <v>0.03</v>
      </c>
    </row>
    <row r="143" spans="1:27">
      <c r="A143">
        <v>1141</v>
      </c>
      <c r="B143" t="s">
        <v>3948</v>
      </c>
      <c r="C143">
        <v>71</v>
      </c>
      <c r="D143" t="s">
        <v>3823</v>
      </c>
      <c r="E143">
        <v>1</v>
      </c>
      <c r="F143">
        <v>6.4000000000000001E-2</v>
      </c>
      <c r="G143">
        <v>8001</v>
      </c>
      <c r="H143">
        <v>90</v>
      </c>
      <c r="I143">
        <v>1</v>
      </c>
      <c r="J143">
        <v>8000</v>
      </c>
      <c r="K143">
        <v>135</v>
      </c>
      <c r="L143">
        <v>1</v>
      </c>
      <c r="M143">
        <v>2007</v>
      </c>
      <c r="N143">
        <v>1</v>
      </c>
      <c r="O143">
        <v>0.05</v>
      </c>
      <c r="P143">
        <v>9000</v>
      </c>
      <c r="Q143">
        <v>30</v>
      </c>
      <c r="R143">
        <v>1</v>
      </c>
      <c r="S143" t="s">
        <v>3824</v>
      </c>
      <c r="T143">
        <v>5</v>
      </c>
      <c r="U143">
        <v>0.5</v>
      </c>
      <c r="V143">
        <v>1000</v>
      </c>
      <c r="W143">
        <v>1415</v>
      </c>
      <c r="X143">
        <v>1</v>
      </c>
      <c r="Y143">
        <v>2006</v>
      </c>
      <c r="Z143">
        <v>1</v>
      </c>
      <c r="AA143">
        <v>0.03</v>
      </c>
    </row>
    <row r="144" spans="1:27">
      <c r="A144">
        <v>1142</v>
      </c>
      <c r="B144" t="s">
        <v>3956</v>
      </c>
      <c r="C144">
        <v>72</v>
      </c>
      <c r="D144" t="s">
        <v>3823</v>
      </c>
      <c r="E144">
        <v>1</v>
      </c>
      <c r="F144">
        <v>6.4000000000000001E-2</v>
      </c>
      <c r="G144">
        <v>8001</v>
      </c>
      <c r="H144">
        <v>90</v>
      </c>
      <c r="I144">
        <v>1</v>
      </c>
      <c r="J144">
        <v>8000</v>
      </c>
      <c r="K144">
        <v>135</v>
      </c>
      <c r="L144">
        <v>1</v>
      </c>
      <c r="M144">
        <v>2007</v>
      </c>
      <c r="N144">
        <v>1</v>
      </c>
      <c r="O144">
        <v>0.05</v>
      </c>
      <c r="P144">
        <v>9000</v>
      </c>
      <c r="Q144">
        <v>30</v>
      </c>
      <c r="R144">
        <v>1</v>
      </c>
      <c r="S144" t="s">
        <v>3824</v>
      </c>
      <c r="T144">
        <v>5</v>
      </c>
      <c r="U144">
        <v>0.5</v>
      </c>
      <c r="V144">
        <v>1000</v>
      </c>
      <c r="W144">
        <v>1425</v>
      </c>
      <c r="X144">
        <v>1</v>
      </c>
      <c r="Y144">
        <v>2006</v>
      </c>
      <c r="Z144">
        <v>1</v>
      </c>
      <c r="AA144">
        <v>0.03</v>
      </c>
    </row>
    <row r="145" spans="1:27">
      <c r="A145">
        <v>1143</v>
      </c>
      <c r="B145" t="s">
        <v>3957</v>
      </c>
      <c r="C145">
        <v>72</v>
      </c>
      <c r="D145" t="s">
        <v>3823</v>
      </c>
      <c r="E145">
        <v>1</v>
      </c>
      <c r="F145">
        <v>6.4000000000000001E-2</v>
      </c>
      <c r="G145">
        <v>8001</v>
      </c>
      <c r="H145">
        <v>90</v>
      </c>
      <c r="I145">
        <v>1</v>
      </c>
      <c r="J145">
        <v>8000</v>
      </c>
      <c r="K145">
        <v>140</v>
      </c>
      <c r="L145">
        <v>1</v>
      </c>
      <c r="M145">
        <v>2007</v>
      </c>
      <c r="N145">
        <v>1</v>
      </c>
      <c r="O145">
        <v>0.05</v>
      </c>
      <c r="P145">
        <v>9000</v>
      </c>
      <c r="Q145">
        <v>30</v>
      </c>
      <c r="R145">
        <v>1</v>
      </c>
      <c r="S145" t="s">
        <v>3824</v>
      </c>
      <c r="T145">
        <v>5</v>
      </c>
      <c r="U145">
        <v>0.5</v>
      </c>
      <c r="V145">
        <v>1000</v>
      </c>
      <c r="W145">
        <v>1435</v>
      </c>
      <c r="X145">
        <v>1</v>
      </c>
      <c r="Y145">
        <v>2006</v>
      </c>
      <c r="Z145">
        <v>1</v>
      </c>
      <c r="AA145">
        <v>0.03</v>
      </c>
    </row>
    <row r="146" spans="1:27">
      <c r="A146">
        <v>1144</v>
      </c>
      <c r="B146" t="s">
        <v>3958</v>
      </c>
      <c r="C146">
        <v>73</v>
      </c>
      <c r="D146" t="s">
        <v>3823</v>
      </c>
      <c r="E146">
        <v>1</v>
      </c>
      <c r="F146">
        <v>6.5000000000000002E-2</v>
      </c>
      <c r="G146">
        <v>8001</v>
      </c>
      <c r="H146">
        <v>90</v>
      </c>
      <c r="I146">
        <v>1</v>
      </c>
      <c r="J146">
        <v>8000</v>
      </c>
      <c r="K146">
        <v>140</v>
      </c>
      <c r="L146">
        <v>1</v>
      </c>
      <c r="M146">
        <v>2007</v>
      </c>
      <c r="N146">
        <v>1</v>
      </c>
      <c r="O146">
        <v>0.05</v>
      </c>
      <c r="P146">
        <v>9000</v>
      </c>
      <c r="Q146">
        <v>30</v>
      </c>
      <c r="R146">
        <v>1</v>
      </c>
      <c r="S146" t="s">
        <v>3824</v>
      </c>
      <c r="T146">
        <v>5</v>
      </c>
      <c r="U146">
        <v>0.5</v>
      </c>
      <c r="V146">
        <v>1000</v>
      </c>
      <c r="W146">
        <v>1445</v>
      </c>
      <c r="X146">
        <v>1</v>
      </c>
      <c r="Y146">
        <v>2006</v>
      </c>
      <c r="Z146">
        <v>1</v>
      </c>
      <c r="AA146">
        <v>0.03</v>
      </c>
    </row>
    <row r="147" spans="1:27">
      <c r="A147">
        <v>1145</v>
      </c>
      <c r="B147" t="s">
        <v>3959</v>
      </c>
      <c r="C147">
        <v>73</v>
      </c>
      <c r="D147" t="s">
        <v>3823</v>
      </c>
      <c r="E147">
        <v>1</v>
      </c>
      <c r="F147">
        <v>6.5000000000000002E-2</v>
      </c>
      <c r="G147">
        <v>8001</v>
      </c>
      <c r="H147">
        <v>95</v>
      </c>
      <c r="I147">
        <v>1</v>
      </c>
      <c r="J147">
        <v>8000</v>
      </c>
      <c r="K147">
        <v>140</v>
      </c>
      <c r="L147">
        <v>1</v>
      </c>
      <c r="M147">
        <v>2007</v>
      </c>
      <c r="N147">
        <v>1</v>
      </c>
      <c r="O147">
        <v>0.05</v>
      </c>
      <c r="P147">
        <v>9000</v>
      </c>
      <c r="Q147">
        <v>31</v>
      </c>
      <c r="R147">
        <v>1</v>
      </c>
      <c r="S147" t="s">
        <v>3824</v>
      </c>
      <c r="T147">
        <v>5</v>
      </c>
      <c r="U147">
        <v>0.5</v>
      </c>
      <c r="V147">
        <v>1000</v>
      </c>
      <c r="W147">
        <v>1455</v>
      </c>
      <c r="X147">
        <v>1</v>
      </c>
      <c r="Y147">
        <v>2006</v>
      </c>
      <c r="Z147">
        <v>1</v>
      </c>
      <c r="AA147">
        <v>0.03</v>
      </c>
    </row>
    <row r="148" spans="1:27">
      <c r="A148">
        <v>1146</v>
      </c>
      <c r="B148" t="s">
        <v>3955</v>
      </c>
      <c r="C148">
        <v>74</v>
      </c>
      <c r="D148" t="s">
        <v>3823</v>
      </c>
      <c r="E148">
        <v>1</v>
      </c>
      <c r="F148">
        <v>6.5000000000000002E-2</v>
      </c>
      <c r="G148">
        <v>8001</v>
      </c>
      <c r="H148">
        <v>95</v>
      </c>
      <c r="I148">
        <v>1</v>
      </c>
      <c r="J148">
        <v>8000</v>
      </c>
      <c r="K148">
        <v>140</v>
      </c>
      <c r="L148">
        <v>1</v>
      </c>
      <c r="M148">
        <v>2007</v>
      </c>
      <c r="N148">
        <v>1</v>
      </c>
      <c r="O148">
        <v>0.05</v>
      </c>
      <c r="P148">
        <v>9000</v>
      </c>
      <c r="Q148">
        <v>31</v>
      </c>
      <c r="R148">
        <v>1</v>
      </c>
      <c r="S148" t="s">
        <v>3824</v>
      </c>
      <c r="T148">
        <v>5</v>
      </c>
      <c r="U148">
        <v>0.5</v>
      </c>
      <c r="V148">
        <v>1000</v>
      </c>
      <c r="W148">
        <v>1465</v>
      </c>
      <c r="X148">
        <v>1</v>
      </c>
      <c r="Y148">
        <v>2006</v>
      </c>
      <c r="Z148">
        <v>1</v>
      </c>
      <c r="AA148">
        <v>0.03</v>
      </c>
    </row>
    <row r="149" spans="1:27">
      <c r="A149">
        <v>1147</v>
      </c>
      <c r="B149" t="s">
        <v>3960</v>
      </c>
      <c r="C149">
        <v>74</v>
      </c>
      <c r="D149" t="s">
        <v>3823</v>
      </c>
      <c r="E149">
        <v>1</v>
      </c>
      <c r="F149">
        <v>6.5000000000000002E-2</v>
      </c>
      <c r="G149">
        <v>8001</v>
      </c>
      <c r="H149">
        <v>95</v>
      </c>
      <c r="I149">
        <v>1</v>
      </c>
      <c r="J149">
        <v>8000</v>
      </c>
      <c r="K149">
        <v>140</v>
      </c>
      <c r="L149">
        <v>1</v>
      </c>
      <c r="M149">
        <v>2007</v>
      </c>
      <c r="N149">
        <v>1</v>
      </c>
      <c r="O149">
        <v>0.05</v>
      </c>
      <c r="P149">
        <v>9000</v>
      </c>
      <c r="Q149">
        <v>31</v>
      </c>
      <c r="R149">
        <v>1</v>
      </c>
      <c r="S149" t="s">
        <v>3824</v>
      </c>
      <c r="T149">
        <v>5</v>
      </c>
      <c r="U149">
        <v>0.5</v>
      </c>
      <c r="V149">
        <v>1000</v>
      </c>
      <c r="W149">
        <v>1475</v>
      </c>
      <c r="X149">
        <v>1</v>
      </c>
      <c r="Y149">
        <v>2006</v>
      </c>
      <c r="Z149">
        <v>1</v>
      </c>
      <c r="AA149">
        <v>0.03</v>
      </c>
    </row>
    <row r="150" spans="1:27">
      <c r="A150">
        <v>1148</v>
      </c>
      <c r="B150" t="s">
        <v>3961</v>
      </c>
      <c r="C150">
        <v>75</v>
      </c>
      <c r="D150" t="s">
        <v>3823</v>
      </c>
      <c r="E150">
        <v>1</v>
      </c>
      <c r="F150">
        <v>6.5000000000000002E-2</v>
      </c>
      <c r="G150">
        <v>8001</v>
      </c>
      <c r="H150">
        <v>95</v>
      </c>
      <c r="I150">
        <v>1</v>
      </c>
      <c r="J150">
        <v>8000</v>
      </c>
      <c r="K150">
        <v>145</v>
      </c>
      <c r="L150">
        <v>1</v>
      </c>
      <c r="M150">
        <v>2007</v>
      </c>
      <c r="N150">
        <v>1</v>
      </c>
      <c r="O150">
        <v>0.05</v>
      </c>
      <c r="P150">
        <v>9000</v>
      </c>
      <c r="Q150">
        <v>31</v>
      </c>
      <c r="R150">
        <v>1</v>
      </c>
      <c r="S150" t="s">
        <v>3824</v>
      </c>
      <c r="T150">
        <v>5</v>
      </c>
      <c r="U150">
        <v>0.5</v>
      </c>
      <c r="V150">
        <v>1000</v>
      </c>
      <c r="W150">
        <v>1485</v>
      </c>
      <c r="X150">
        <v>1</v>
      </c>
      <c r="Y150">
        <v>2006</v>
      </c>
      <c r="Z150">
        <v>1</v>
      </c>
      <c r="AA150">
        <v>0.03</v>
      </c>
    </row>
    <row r="151" spans="1:27">
      <c r="A151">
        <v>1149</v>
      </c>
      <c r="B151" t="s">
        <v>3962</v>
      </c>
      <c r="C151">
        <v>75</v>
      </c>
      <c r="D151" t="s">
        <v>3823</v>
      </c>
      <c r="E151">
        <v>1</v>
      </c>
      <c r="F151">
        <v>6.5000000000000002E-2</v>
      </c>
      <c r="G151">
        <v>8001</v>
      </c>
      <c r="H151">
        <v>95</v>
      </c>
      <c r="I151">
        <v>1</v>
      </c>
      <c r="J151">
        <v>8000</v>
      </c>
      <c r="K151">
        <v>145</v>
      </c>
      <c r="L151">
        <v>1</v>
      </c>
      <c r="M151">
        <v>2007</v>
      </c>
      <c r="N151">
        <v>1</v>
      </c>
      <c r="O151">
        <v>0.05</v>
      </c>
      <c r="P151">
        <v>9000</v>
      </c>
      <c r="Q151">
        <v>32</v>
      </c>
      <c r="R151">
        <v>1</v>
      </c>
      <c r="S151" t="s">
        <v>3824</v>
      </c>
      <c r="T151">
        <v>5</v>
      </c>
      <c r="U151">
        <v>0.5</v>
      </c>
      <c r="V151">
        <v>1000</v>
      </c>
      <c r="W151">
        <v>1495</v>
      </c>
      <c r="X151">
        <v>1</v>
      </c>
      <c r="Y151">
        <v>2006</v>
      </c>
      <c r="Z151">
        <v>1</v>
      </c>
      <c r="AA151">
        <v>0.03</v>
      </c>
    </row>
    <row r="152" spans="1:27">
      <c r="A152">
        <v>1150</v>
      </c>
      <c r="B152" t="s">
        <v>3963</v>
      </c>
      <c r="C152">
        <v>76</v>
      </c>
      <c r="D152" t="s">
        <v>3823</v>
      </c>
      <c r="E152">
        <v>1</v>
      </c>
      <c r="F152">
        <v>6.6000000000000003E-2</v>
      </c>
      <c r="G152">
        <v>8001</v>
      </c>
      <c r="H152">
        <v>95</v>
      </c>
      <c r="I152">
        <v>1</v>
      </c>
      <c r="J152">
        <v>8000</v>
      </c>
      <c r="K152">
        <v>145</v>
      </c>
      <c r="L152">
        <v>1</v>
      </c>
      <c r="M152">
        <v>2007</v>
      </c>
      <c r="N152">
        <v>1</v>
      </c>
      <c r="O152">
        <v>0.05</v>
      </c>
      <c r="P152">
        <v>9000</v>
      </c>
      <c r="Q152">
        <v>32</v>
      </c>
      <c r="R152">
        <v>1</v>
      </c>
      <c r="S152" t="s">
        <v>3824</v>
      </c>
      <c r="T152">
        <v>5</v>
      </c>
      <c r="U152">
        <v>0.5</v>
      </c>
      <c r="V152">
        <v>1000</v>
      </c>
      <c r="W152">
        <v>1505</v>
      </c>
      <c r="X152">
        <v>1</v>
      </c>
      <c r="Y152">
        <v>2006</v>
      </c>
      <c r="Z152">
        <v>1</v>
      </c>
      <c r="AA152">
        <v>0.03</v>
      </c>
    </row>
    <row r="153" spans="1:27">
      <c r="A153">
        <v>1151</v>
      </c>
      <c r="B153" t="s">
        <v>3964</v>
      </c>
      <c r="C153">
        <v>76</v>
      </c>
      <c r="D153" t="s">
        <v>3823</v>
      </c>
      <c r="E153">
        <v>1</v>
      </c>
      <c r="F153">
        <v>6.6000000000000003E-2</v>
      </c>
      <c r="G153">
        <v>8001</v>
      </c>
      <c r="H153">
        <v>95</v>
      </c>
      <c r="I153">
        <v>1</v>
      </c>
      <c r="J153">
        <v>8000</v>
      </c>
      <c r="K153">
        <v>145</v>
      </c>
      <c r="L153">
        <v>1</v>
      </c>
      <c r="M153">
        <v>2007</v>
      </c>
      <c r="N153">
        <v>1</v>
      </c>
      <c r="O153">
        <v>0.05</v>
      </c>
      <c r="P153">
        <v>9000</v>
      </c>
      <c r="Q153">
        <v>32</v>
      </c>
      <c r="R153">
        <v>1</v>
      </c>
      <c r="S153" t="s">
        <v>3824</v>
      </c>
      <c r="T153">
        <v>5</v>
      </c>
      <c r="U153">
        <v>0.5</v>
      </c>
      <c r="V153">
        <v>1000</v>
      </c>
      <c r="W153">
        <v>1515</v>
      </c>
      <c r="X153">
        <v>1</v>
      </c>
      <c r="Y153">
        <v>2006</v>
      </c>
      <c r="Z153">
        <v>1</v>
      </c>
      <c r="AA153">
        <v>0.03</v>
      </c>
    </row>
    <row r="154" spans="1:27">
      <c r="A154">
        <v>1152</v>
      </c>
      <c r="B154" t="s">
        <v>3965</v>
      </c>
      <c r="C154">
        <v>77</v>
      </c>
      <c r="D154" t="s">
        <v>3823</v>
      </c>
      <c r="E154">
        <v>1</v>
      </c>
      <c r="F154">
        <v>6.6000000000000003E-2</v>
      </c>
      <c r="G154">
        <v>8001</v>
      </c>
      <c r="H154">
        <v>100</v>
      </c>
      <c r="I154">
        <v>1</v>
      </c>
      <c r="J154">
        <v>8000</v>
      </c>
      <c r="K154">
        <v>145</v>
      </c>
      <c r="L154">
        <v>1</v>
      </c>
      <c r="M154">
        <v>2007</v>
      </c>
      <c r="N154">
        <v>1</v>
      </c>
      <c r="O154">
        <v>0.05</v>
      </c>
      <c r="P154">
        <v>9000</v>
      </c>
      <c r="Q154">
        <v>32</v>
      </c>
      <c r="R154">
        <v>1</v>
      </c>
      <c r="S154" t="s">
        <v>3824</v>
      </c>
      <c r="T154">
        <v>5</v>
      </c>
      <c r="U154">
        <v>0.5</v>
      </c>
      <c r="V154">
        <v>1000</v>
      </c>
      <c r="W154">
        <v>1530</v>
      </c>
      <c r="X154">
        <v>1</v>
      </c>
      <c r="Y154">
        <v>2006</v>
      </c>
      <c r="Z154">
        <v>1</v>
      </c>
      <c r="AA154">
        <v>0.03</v>
      </c>
    </row>
    <row r="155" spans="1:27">
      <c r="A155">
        <v>1153</v>
      </c>
      <c r="B155" t="s">
        <v>3966</v>
      </c>
      <c r="C155">
        <v>77</v>
      </c>
      <c r="D155" t="s">
        <v>3823</v>
      </c>
      <c r="E155">
        <v>1</v>
      </c>
      <c r="F155">
        <v>6.6000000000000003E-2</v>
      </c>
      <c r="G155">
        <v>8001</v>
      </c>
      <c r="H155">
        <v>100</v>
      </c>
      <c r="I155">
        <v>1</v>
      </c>
      <c r="J155">
        <v>8000</v>
      </c>
      <c r="K155">
        <v>150</v>
      </c>
      <c r="L155">
        <v>1</v>
      </c>
      <c r="M155">
        <v>2007</v>
      </c>
      <c r="N155">
        <v>1</v>
      </c>
      <c r="O155">
        <v>0.05</v>
      </c>
      <c r="P155">
        <v>9000</v>
      </c>
      <c r="Q155">
        <v>33</v>
      </c>
      <c r="R155">
        <v>1</v>
      </c>
      <c r="S155" t="s">
        <v>3824</v>
      </c>
      <c r="T155">
        <v>5</v>
      </c>
      <c r="U155">
        <v>0.5</v>
      </c>
      <c r="V155">
        <v>1000</v>
      </c>
      <c r="W155">
        <v>1540</v>
      </c>
      <c r="X155">
        <v>1</v>
      </c>
      <c r="Y155">
        <v>2006</v>
      </c>
      <c r="Z155">
        <v>1</v>
      </c>
      <c r="AA155">
        <v>0.03</v>
      </c>
    </row>
    <row r="156" spans="1:27">
      <c r="A156">
        <v>1154</v>
      </c>
      <c r="B156" t="s">
        <v>3967</v>
      </c>
      <c r="C156">
        <v>78</v>
      </c>
      <c r="D156" t="s">
        <v>3823</v>
      </c>
      <c r="E156">
        <v>1</v>
      </c>
      <c r="F156">
        <v>6.6000000000000003E-2</v>
      </c>
      <c r="G156">
        <v>8001</v>
      </c>
      <c r="H156">
        <v>100</v>
      </c>
      <c r="I156">
        <v>1</v>
      </c>
      <c r="J156">
        <v>8000</v>
      </c>
      <c r="K156">
        <v>150</v>
      </c>
      <c r="L156">
        <v>1</v>
      </c>
      <c r="M156">
        <v>2007</v>
      </c>
      <c r="N156">
        <v>1</v>
      </c>
      <c r="O156">
        <v>0.05</v>
      </c>
      <c r="P156">
        <v>9000</v>
      </c>
      <c r="Q156">
        <v>33</v>
      </c>
      <c r="R156">
        <v>1</v>
      </c>
      <c r="S156" t="s">
        <v>3824</v>
      </c>
      <c r="T156">
        <v>5</v>
      </c>
      <c r="U156">
        <v>0.5</v>
      </c>
      <c r="V156">
        <v>1000</v>
      </c>
      <c r="W156">
        <v>1550</v>
      </c>
      <c r="X156">
        <v>1</v>
      </c>
      <c r="Y156">
        <v>2006</v>
      </c>
      <c r="Z156">
        <v>1</v>
      </c>
      <c r="AA156">
        <v>0.03</v>
      </c>
    </row>
    <row r="157" spans="1:27">
      <c r="A157">
        <v>1155</v>
      </c>
      <c r="B157" t="s">
        <v>3968</v>
      </c>
      <c r="C157">
        <v>78</v>
      </c>
      <c r="D157" t="s">
        <v>3823</v>
      </c>
      <c r="E157">
        <v>1</v>
      </c>
      <c r="F157">
        <v>6.7000000000000004E-2</v>
      </c>
      <c r="G157">
        <v>8001</v>
      </c>
      <c r="H157">
        <v>100</v>
      </c>
      <c r="I157">
        <v>1</v>
      </c>
      <c r="J157">
        <v>8000</v>
      </c>
      <c r="K157">
        <v>150</v>
      </c>
      <c r="L157">
        <v>1</v>
      </c>
      <c r="M157">
        <v>2007</v>
      </c>
      <c r="N157">
        <v>1</v>
      </c>
      <c r="O157">
        <v>0.05</v>
      </c>
      <c r="P157">
        <v>9000</v>
      </c>
      <c r="Q157">
        <v>33</v>
      </c>
      <c r="R157">
        <v>1</v>
      </c>
      <c r="S157" t="s">
        <v>3824</v>
      </c>
      <c r="T157">
        <v>5</v>
      </c>
      <c r="U157">
        <v>0.5</v>
      </c>
      <c r="V157">
        <v>1000</v>
      </c>
      <c r="W157">
        <v>1560</v>
      </c>
      <c r="X157">
        <v>1</v>
      </c>
      <c r="Y157">
        <v>2006</v>
      </c>
      <c r="Z157">
        <v>1</v>
      </c>
      <c r="AA157">
        <v>0.03</v>
      </c>
    </row>
    <row r="158" spans="1:27">
      <c r="A158">
        <v>1156</v>
      </c>
      <c r="B158" t="s">
        <v>3969</v>
      </c>
      <c r="C158">
        <v>79</v>
      </c>
      <c r="D158" t="s">
        <v>3823</v>
      </c>
      <c r="E158">
        <v>1</v>
      </c>
      <c r="F158">
        <v>6.7000000000000004E-2</v>
      </c>
      <c r="G158">
        <v>8001</v>
      </c>
      <c r="H158">
        <v>100</v>
      </c>
      <c r="I158">
        <v>1</v>
      </c>
      <c r="J158">
        <v>8000</v>
      </c>
      <c r="K158">
        <v>150</v>
      </c>
      <c r="L158">
        <v>1</v>
      </c>
      <c r="M158">
        <v>2007</v>
      </c>
      <c r="N158">
        <v>1</v>
      </c>
      <c r="O158">
        <v>0.05</v>
      </c>
      <c r="P158">
        <v>9000</v>
      </c>
      <c r="Q158">
        <v>34</v>
      </c>
      <c r="R158">
        <v>1</v>
      </c>
      <c r="S158" t="s">
        <v>3824</v>
      </c>
      <c r="T158">
        <v>5</v>
      </c>
      <c r="U158">
        <v>0.5</v>
      </c>
      <c r="V158">
        <v>1000</v>
      </c>
      <c r="W158">
        <v>1570</v>
      </c>
      <c r="X158">
        <v>1</v>
      </c>
      <c r="Y158">
        <v>2006</v>
      </c>
      <c r="Z158">
        <v>1</v>
      </c>
      <c r="AA158">
        <v>0.03</v>
      </c>
    </row>
    <row r="159" spans="1:27">
      <c r="A159">
        <v>1157</v>
      </c>
      <c r="B159" t="s">
        <v>3970</v>
      </c>
      <c r="C159">
        <v>79</v>
      </c>
      <c r="D159" t="s">
        <v>3823</v>
      </c>
      <c r="E159">
        <v>1</v>
      </c>
      <c r="F159">
        <v>6.7000000000000004E-2</v>
      </c>
      <c r="G159">
        <v>8001</v>
      </c>
      <c r="H159">
        <v>100</v>
      </c>
      <c r="I159">
        <v>1</v>
      </c>
      <c r="J159">
        <v>8000</v>
      </c>
      <c r="K159">
        <v>150</v>
      </c>
      <c r="L159">
        <v>1</v>
      </c>
      <c r="M159">
        <v>2007</v>
      </c>
      <c r="N159">
        <v>1</v>
      </c>
      <c r="O159">
        <v>0.05</v>
      </c>
      <c r="P159">
        <v>9000</v>
      </c>
      <c r="Q159">
        <v>34</v>
      </c>
      <c r="R159">
        <v>1</v>
      </c>
      <c r="S159" t="s">
        <v>3824</v>
      </c>
      <c r="T159">
        <v>5</v>
      </c>
      <c r="U159">
        <v>0.5</v>
      </c>
      <c r="V159">
        <v>1000</v>
      </c>
      <c r="W159">
        <v>1580</v>
      </c>
      <c r="X159">
        <v>1</v>
      </c>
      <c r="Y159">
        <v>2006</v>
      </c>
      <c r="Z159">
        <v>1</v>
      </c>
      <c r="AA159">
        <v>0.03</v>
      </c>
    </row>
    <row r="160" spans="1:27">
      <c r="A160">
        <v>1158</v>
      </c>
      <c r="B160" t="s">
        <v>3971</v>
      </c>
      <c r="C160">
        <v>80</v>
      </c>
      <c r="D160" t="s">
        <v>3823</v>
      </c>
      <c r="E160">
        <v>1</v>
      </c>
      <c r="F160">
        <v>6.7000000000000004E-2</v>
      </c>
      <c r="G160">
        <v>8001</v>
      </c>
      <c r="H160">
        <v>100</v>
      </c>
      <c r="I160">
        <v>1</v>
      </c>
      <c r="J160">
        <v>8000</v>
      </c>
      <c r="K160">
        <v>155</v>
      </c>
      <c r="L160">
        <v>1</v>
      </c>
      <c r="M160">
        <v>2007</v>
      </c>
      <c r="N160">
        <v>1</v>
      </c>
      <c r="O160">
        <v>0.05</v>
      </c>
      <c r="P160">
        <v>9000</v>
      </c>
      <c r="Q160">
        <v>34</v>
      </c>
      <c r="R160">
        <v>1</v>
      </c>
      <c r="S160" t="s">
        <v>3824</v>
      </c>
      <c r="T160">
        <v>5</v>
      </c>
      <c r="U160">
        <v>0.5</v>
      </c>
      <c r="V160">
        <v>1000</v>
      </c>
      <c r="W160">
        <v>1595</v>
      </c>
      <c r="X160">
        <v>1</v>
      </c>
      <c r="Y160">
        <v>2006</v>
      </c>
      <c r="Z160">
        <v>1</v>
      </c>
      <c r="AA160">
        <v>0.03</v>
      </c>
    </row>
    <row r="161" spans="1:27">
      <c r="A161">
        <v>1159</v>
      </c>
      <c r="B161" t="s">
        <v>3972</v>
      </c>
      <c r="C161">
        <v>80</v>
      </c>
      <c r="D161" t="s">
        <v>3823</v>
      </c>
      <c r="E161">
        <v>1</v>
      </c>
      <c r="F161">
        <v>6.7000000000000004E-2</v>
      </c>
      <c r="G161">
        <v>8001</v>
      </c>
      <c r="H161">
        <v>105</v>
      </c>
      <c r="I161">
        <v>1</v>
      </c>
      <c r="J161">
        <v>8000</v>
      </c>
      <c r="K161">
        <v>155</v>
      </c>
      <c r="L161">
        <v>1</v>
      </c>
      <c r="M161">
        <v>2007</v>
      </c>
      <c r="N161">
        <v>1</v>
      </c>
      <c r="O161">
        <v>0.05</v>
      </c>
      <c r="P161">
        <v>9000</v>
      </c>
      <c r="Q161">
        <v>34</v>
      </c>
      <c r="R161">
        <v>1</v>
      </c>
      <c r="S161" t="s">
        <v>3824</v>
      </c>
      <c r="T161">
        <v>5</v>
      </c>
      <c r="U161">
        <v>0.5</v>
      </c>
      <c r="V161">
        <v>1000</v>
      </c>
      <c r="W161">
        <v>1605</v>
      </c>
      <c r="X161">
        <v>1</v>
      </c>
      <c r="Y161">
        <v>2006</v>
      </c>
      <c r="Z161">
        <v>1</v>
      </c>
      <c r="AA161">
        <v>0.03</v>
      </c>
    </row>
    <row r="162" spans="1:27">
      <c r="A162">
        <v>1160</v>
      </c>
      <c r="B162" t="s">
        <v>3973</v>
      </c>
      <c r="C162">
        <v>81</v>
      </c>
      <c r="D162" t="s">
        <v>3823</v>
      </c>
      <c r="E162">
        <v>1</v>
      </c>
      <c r="F162">
        <v>6.8000000000000005E-2</v>
      </c>
      <c r="G162">
        <v>8001</v>
      </c>
      <c r="H162">
        <v>105</v>
      </c>
      <c r="I162">
        <v>1</v>
      </c>
      <c r="J162">
        <v>8000</v>
      </c>
      <c r="K162">
        <v>155</v>
      </c>
      <c r="L162">
        <v>1</v>
      </c>
      <c r="M162">
        <v>2007</v>
      </c>
      <c r="N162">
        <v>1</v>
      </c>
      <c r="O162">
        <v>0.05</v>
      </c>
      <c r="P162">
        <v>9000</v>
      </c>
      <c r="Q162">
        <v>35</v>
      </c>
      <c r="R162">
        <v>1</v>
      </c>
      <c r="S162" t="s">
        <v>3824</v>
      </c>
      <c r="T162">
        <v>5</v>
      </c>
      <c r="U162">
        <v>0.5</v>
      </c>
      <c r="V162">
        <v>1000</v>
      </c>
      <c r="W162">
        <v>1615</v>
      </c>
      <c r="X162">
        <v>1</v>
      </c>
      <c r="Y162">
        <v>2006</v>
      </c>
      <c r="Z162">
        <v>1</v>
      </c>
      <c r="AA162">
        <v>0.03</v>
      </c>
    </row>
    <row r="163" spans="1:27">
      <c r="A163">
        <v>1161</v>
      </c>
      <c r="B163" t="s">
        <v>3974</v>
      </c>
      <c r="C163">
        <v>81</v>
      </c>
      <c r="D163" t="s">
        <v>3823</v>
      </c>
      <c r="E163">
        <v>1</v>
      </c>
      <c r="F163">
        <v>6.8000000000000005E-2</v>
      </c>
      <c r="G163">
        <v>8001</v>
      </c>
      <c r="H163">
        <v>105</v>
      </c>
      <c r="I163">
        <v>1</v>
      </c>
      <c r="J163">
        <v>8000</v>
      </c>
      <c r="K163">
        <v>155</v>
      </c>
      <c r="L163">
        <v>1</v>
      </c>
      <c r="M163">
        <v>2007</v>
      </c>
      <c r="N163">
        <v>1</v>
      </c>
      <c r="O163">
        <v>0.05</v>
      </c>
      <c r="P163">
        <v>9000</v>
      </c>
      <c r="Q163">
        <v>35</v>
      </c>
      <c r="R163">
        <v>1</v>
      </c>
      <c r="S163" t="s">
        <v>3824</v>
      </c>
      <c r="T163">
        <v>5</v>
      </c>
      <c r="U163">
        <v>0.5</v>
      </c>
      <c r="V163">
        <v>1000</v>
      </c>
      <c r="W163">
        <v>1625</v>
      </c>
      <c r="X163">
        <v>1</v>
      </c>
      <c r="Y163">
        <v>2006</v>
      </c>
      <c r="Z163">
        <v>1</v>
      </c>
      <c r="AA163">
        <v>0.03</v>
      </c>
    </row>
    <row r="164" spans="1:27">
      <c r="A164">
        <v>1162</v>
      </c>
      <c r="B164" t="s">
        <v>3975</v>
      </c>
      <c r="C164">
        <v>82</v>
      </c>
      <c r="D164" t="s">
        <v>3823</v>
      </c>
      <c r="E164">
        <v>1</v>
      </c>
      <c r="F164">
        <v>6.8000000000000005E-2</v>
      </c>
      <c r="G164">
        <v>8001</v>
      </c>
      <c r="H164">
        <v>105</v>
      </c>
      <c r="I164">
        <v>1</v>
      </c>
      <c r="J164">
        <v>8000</v>
      </c>
      <c r="K164">
        <v>155</v>
      </c>
      <c r="L164">
        <v>1</v>
      </c>
      <c r="M164">
        <v>2007</v>
      </c>
      <c r="N164">
        <v>1</v>
      </c>
      <c r="O164">
        <v>0.05</v>
      </c>
      <c r="P164">
        <v>9000</v>
      </c>
      <c r="Q164">
        <v>35</v>
      </c>
      <c r="R164">
        <v>1</v>
      </c>
      <c r="S164" t="s">
        <v>3824</v>
      </c>
      <c r="T164">
        <v>5</v>
      </c>
      <c r="U164">
        <v>0.5</v>
      </c>
      <c r="V164">
        <v>1000</v>
      </c>
      <c r="W164">
        <v>1635</v>
      </c>
      <c r="X164">
        <v>1</v>
      </c>
      <c r="Y164">
        <v>2006</v>
      </c>
      <c r="Z164">
        <v>1</v>
      </c>
      <c r="AA164">
        <v>0.03</v>
      </c>
    </row>
    <row r="165" spans="1:27">
      <c r="A165">
        <v>1163</v>
      </c>
      <c r="B165" t="s">
        <v>3976</v>
      </c>
      <c r="C165">
        <v>82</v>
      </c>
      <c r="D165" t="s">
        <v>3823</v>
      </c>
      <c r="E165">
        <v>1</v>
      </c>
      <c r="F165">
        <v>6.8000000000000005E-2</v>
      </c>
      <c r="G165">
        <v>8001</v>
      </c>
      <c r="H165">
        <v>105</v>
      </c>
      <c r="I165">
        <v>1</v>
      </c>
      <c r="J165">
        <v>8000</v>
      </c>
      <c r="K165">
        <v>160</v>
      </c>
      <c r="L165">
        <v>1</v>
      </c>
      <c r="M165">
        <v>2007</v>
      </c>
      <c r="N165">
        <v>1</v>
      </c>
      <c r="O165">
        <v>0.05</v>
      </c>
      <c r="P165">
        <v>9000</v>
      </c>
      <c r="Q165">
        <v>35</v>
      </c>
      <c r="R165">
        <v>1</v>
      </c>
      <c r="S165" t="s">
        <v>3824</v>
      </c>
      <c r="T165">
        <v>5</v>
      </c>
      <c r="U165">
        <v>0.5</v>
      </c>
      <c r="V165">
        <v>1000</v>
      </c>
      <c r="W165">
        <v>1650</v>
      </c>
      <c r="X165">
        <v>1</v>
      </c>
      <c r="Y165">
        <v>2006</v>
      </c>
      <c r="Z165">
        <v>1</v>
      </c>
      <c r="AA165">
        <v>0.03</v>
      </c>
    </row>
    <row r="166" spans="1:27">
      <c r="A166">
        <v>1164</v>
      </c>
      <c r="B166" t="s">
        <v>3977</v>
      </c>
      <c r="C166">
        <v>83</v>
      </c>
      <c r="D166" t="s">
        <v>3823</v>
      </c>
      <c r="E166">
        <v>1</v>
      </c>
      <c r="F166">
        <v>6.8000000000000005E-2</v>
      </c>
      <c r="G166">
        <v>8001</v>
      </c>
      <c r="H166">
        <v>105</v>
      </c>
      <c r="I166">
        <v>1</v>
      </c>
      <c r="J166">
        <v>8000</v>
      </c>
      <c r="K166">
        <v>160</v>
      </c>
      <c r="L166">
        <v>1</v>
      </c>
      <c r="M166">
        <v>2007</v>
      </c>
      <c r="N166">
        <v>1</v>
      </c>
      <c r="O166">
        <v>0.05</v>
      </c>
      <c r="P166">
        <v>9000</v>
      </c>
      <c r="Q166">
        <v>36</v>
      </c>
      <c r="R166">
        <v>1</v>
      </c>
      <c r="S166" t="s">
        <v>3824</v>
      </c>
      <c r="T166">
        <v>5</v>
      </c>
      <c r="U166">
        <v>0.5</v>
      </c>
      <c r="V166">
        <v>1000</v>
      </c>
      <c r="W166">
        <v>1660</v>
      </c>
      <c r="X166">
        <v>1</v>
      </c>
      <c r="Y166">
        <v>2006</v>
      </c>
      <c r="Z166">
        <v>1</v>
      </c>
      <c r="AA166">
        <v>0.03</v>
      </c>
    </row>
    <row r="167" spans="1:27">
      <c r="A167">
        <v>1165</v>
      </c>
      <c r="B167" t="s">
        <v>3978</v>
      </c>
      <c r="C167">
        <v>83</v>
      </c>
      <c r="D167" t="s">
        <v>3823</v>
      </c>
      <c r="E167">
        <v>1</v>
      </c>
      <c r="F167">
        <v>6.9000000000000006E-2</v>
      </c>
      <c r="G167">
        <v>8001</v>
      </c>
      <c r="H167">
        <v>105</v>
      </c>
      <c r="I167">
        <v>1</v>
      </c>
      <c r="J167">
        <v>8000</v>
      </c>
      <c r="K167">
        <v>160</v>
      </c>
      <c r="L167">
        <v>1</v>
      </c>
      <c r="M167">
        <v>2007</v>
      </c>
      <c r="N167">
        <v>1</v>
      </c>
      <c r="O167">
        <v>0.05</v>
      </c>
      <c r="P167">
        <v>9000</v>
      </c>
      <c r="Q167">
        <v>36</v>
      </c>
      <c r="R167">
        <v>1</v>
      </c>
      <c r="S167" t="s">
        <v>3824</v>
      </c>
      <c r="T167">
        <v>5</v>
      </c>
      <c r="U167">
        <v>0.5</v>
      </c>
      <c r="V167">
        <v>1000</v>
      </c>
      <c r="W167">
        <v>1670</v>
      </c>
      <c r="X167">
        <v>1</v>
      </c>
      <c r="Y167">
        <v>2006</v>
      </c>
      <c r="Z167">
        <v>1</v>
      </c>
      <c r="AA167">
        <v>0.03</v>
      </c>
    </row>
    <row r="168" spans="1:27">
      <c r="A168">
        <v>1166</v>
      </c>
      <c r="B168" t="s">
        <v>3979</v>
      </c>
      <c r="C168">
        <v>84</v>
      </c>
      <c r="D168" t="s">
        <v>3823</v>
      </c>
      <c r="E168">
        <v>1</v>
      </c>
      <c r="F168">
        <v>6.9000000000000006E-2</v>
      </c>
      <c r="G168">
        <v>8001</v>
      </c>
      <c r="H168">
        <v>110</v>
      </c>
      <c r="I168">
        <v>1</v>
      </c>
      <c r="J168">
        <v>8000</v>
      </c>
      <c r="K168">
        <v>160</v>
      </c>
      <c r="L168">
        <v>1</v>
      </c>
      <c r="M168">
        <v>2007</v>
      </c>
      <c r="N168">
        <v>1</v>
      </c>
      <c r="O168">
        <v>0.05</v>
      </c>
      <c r="P168">
        <v>9000</v>
      </c>
      <c r="Q168">
        <v>36</v>
      </c>
      <c r="R168">
        <v>1</v>
      </c>
      <c r="S168" t="s">
        <v>3824</v>
      </c>
      <c r="T168">
        <v>5</v>
      </c>
      <c r="U168">
        <v>0.5</v>
      </c>
      <c r="V168">
        <v>1000</v>
      </c>
      <c r="W168">
        <v>1680</v>
      </c>
      <c r="X168">
        <v>1</v>
      </c>
      <c r="Y168">
        <v>2006</v>
      </c>
      <c r="Z168">
        <v>1</v>
      </c>
      <c r="AA168">
        <v>0.03</v>
      </c>
    </row>
    <row r="169" spans="1:27">
      <c r="A169">
        <v>1167</v>
      </c>
      <c r="B169" t="s">
        <v>3980</v>
      </c>
      <c r="C169">
        <v>84</v>
      </c>
      <c r="D169" t="s">
        <v>3823</v>
      </c>
      <c r="E169">
        <v>1</v>
      </c>
      <c r="F169">
        <v>6.9000000000000006E-2</v>
      </c>
      <c r="G169">
        <v>8001</v>
      </c>
      <c r="H169">
        <v>110</v>
      </c>
      <c r="I169">
        <v>1</v>
      </c>
      <c r="J169">
        <v>8000</v>
      </c>
      <c r="K169">
        <v>165</v>
      </c>
      <c r="L169">
        <v>1</v>
      </c>
      <c r="M169">
        <v>2007</v>
      </c>
      <c r="N169">
        <v>1</v>
      </c>
      <c r="O169">
        <v>0.05</v>
      </c>
      <c r="P169">
        <v>9000</v>
      </c>
      <c r="Q169">
        <v>37</v>
      </c>
      <c r="R169">
        <v>1</v>
      </c>
      <c r="S169" t="s">
        <v>3824</v>
      </c>
      <c r="T169">
        <v>5</v>
      </c>
      <c r="U169">
        <v>0.5</v>
      </c>
      <c r="V169">
        <v>1000</v>
      </c>
      <c r="W169">
        <v>1695</v>
      </c>
      <c r="X169">
        <v>1</v>
      </c>
      <c r="Y169">
        <v>2006</v>
      </c>
      <c r="Z169">
        <v>1</v>
      </c>
      <c r="AA169">
        <v>0.03</v>
      </c>
    </row>
    <row r="170" spans="1:27">
      <c r="A170">
        <v>1168</v>
      </c>
      <c r="B170" t="s">
        <v>3981</v>
      </c>
      <c r="C170">
        <v>85</v>
      </c>
      <c r="D170" t="s">
        <v>3823</v>
      </c>
      <c r="E170">
        <v>1</v>
      </c>
      <c r="F170">
        <v>6.9000000000000006E-2</v>
      </c>
      <c r="G170">
        <v>8001</v>
      </c>
      <c r="H170">
        <v>110</v>
      </c>
      <c r="I170">
        <v>1</v>
      </c>
      <c r="J170">
        <v>8000</v>
      </c>
      <c r="K170">
        <v>165</v>
      </c>
      <c r="L170">
        <v>1</v>
      </c>
      <c r="M170">
        <v>2007</v>
      </c>
      <c r="N170">
        <v>1</v>
      </c>
      <c r="O170">
        <v>0.05</v>
      </c>
      <c r="P170">
        <v>9000</v>
      </c>
      <c r="Q170">
        <v>37</v>
      </c>
      <c r="R170">
        <v>1</v>
      </c>
      <c r="S170" t="s">
        <v>3824</v>
      </c>
      <c r="T170">
        <v>5</v>
      </c>
      <c r="U170">
        <v>0.5</v>
      </c>
      <c r="V170">
        <v>1000</v>
      </c>
      <c r="W170">
        <v>1705</v>
      </c>
      <c r="X170">
        <v>1</v>
      </c>
      <c r="Y170">
        <v>2006</v>
      </c>
      <c r="Z170">
        <v>1</v>
      </c>
      <c r="AA170">
        <v>0.03</v>
      </c>
    </row>
    <row r="171" spans="1:27">
      <c r="A171">
        <v>1169</v>
      </c>
      <c r="B171" t="s">
        <v>3982</v>
      </c>
      <c r="C171">
        <v>85</v>
      </c>
      <c r="D171" t="s">
        <v>3823</v>
      </c>
      <c r="E171">
        <v>1</v>
      </c>
      <c r="F171">
        <v>6.9000000000000006E-2</v>
      </c>
      <c r="G171">
        <v>8001</v>
      </c>
      <c r="H171">
        <v>110</v>
      </c>
      <c r="I171">
        <v>1</v>
      </c>
      <c r="J171">
        <v>8000</v>
      </c>
      <c r="K171">
        <v>165</v>
      </c>
      <c r="L171">
        <v>1</v>
      </c>
      <c r="M171">
        <v>2007</v>
      </c>
      <c r="N171">
        <v>1</v>
      </c>
      <c r="O171">
        <v>0.05</v>
      </c>
      <c r="P171">
        <v>9000</v>
      </c>
      <c r="Q171">
        <v>37</v>
      </c>
      <c r="R171">
        <v>1</v>
      </c>
      <c r="S171" t="s">
        <v>3824</v>
      </c>
      <c r="T171">
        <v>5</v>
      </c>
      <c r="U171">
        <v>0.5</v>
      </c>
      <c r="V171">
        <v>1000</v>
      </c>
      <c r="W171">
        <v>1715</v>
      </c>
      <c r="X171">
        <v>1</v>
      </c>
      <c r="Y171">
        <v>2006</v>
      </c>
      <c r="Z171">
        <v>1</v>
      </c>
      <c r="AA171">
        <v>0.03</v>
      </c>
    </row>
    <row r="172" spans="1:27">
      <c r="A172">
        <v>1170</v>
      </c>
      <c r="B172" t="s">
        <v>3983</v>
      </c>
      <c r="C172">
        <v>86</v>
      </c>
      <c r="D172" t="s">
        <v>3823</v>
      </c>
      <c r="E172">
        <v>1</v>
      </c>
      <c r="F172">
        <v>7.0000000000000007E-2</v>
      </c>
      <c r="G172">
        <v>8001</v>
      </c>
      <c r="H172">
        <v>110</v>
      </c>
      <c r="I172">
        <v>1</v>
      </c>
      <c r="J172">
        <v>8000</v>
      </c>
      <c r="K172">
        <v>165</v>
      </c>
      <c r="L172">
        <v>1</v>
      </c>
      <c r="M172">
        <v>2007</v>
      </c>
      <c r="N172">
        <v>1</v>
      </c>
      <c r="O172">
        <v>0.05</v>
      </c>
      <c r="P172">
        <v>9000</v>
      </c>
      <c r="Q172">
        <v>37</v>
      </c>
      <c r="R172">
        <v>1</v>
      </c>
      <c r="S172" t="s">
        <v>3824</v>
      </c>
      <c r="T172">
        <v>6</v>
      </c>
      <c r="U172">
        <v>0.5</v>
      </c>
      <c r="V172">
        <v>1000</v>
      </c>
      <c r="W172">
        <v>1725</v>
      </c>
      <c r="X172">
        <v>1</v>
      </c>
      <c r="Y172">
        <v>2006</v>
      </c>
      <c r="Z172">
        <v>1</v>
      </c>
      <c r="AA172">
        <v>0.03</v>
      </c>
    </row>
    <row r="173" spans="1:27">
      <c r="A173">
        <v>1171</v>
      </c>
      <c r="B173" t="s">
        <v>3984</v>
      </c>
      <c r="C173">
        <v>86</v>
      </c>
      <c r="D173" t="s">
        <v>3823</v>
      </c>
      <c r="E173">
        <v>1</v>
      </c>
      <c r="F173">
        <v>7.0000000000000007E-2</v>
      </c>
      <c r="G173">
        <v>8001</v>
      </c>
      <c r="H173">
        <v>110</v>
      </c>
      <c r="I173">
        <v>1</v>
      </c>
      <c r="J173">
        <v>8000</v>
      </c>
      <c r="K173">
        <v>165</v>
      </c>
      <c r="L173">
        <v>1</v>
      </c>
      <c r="M173">
        <v>2007</v>
      </c>
      <c r="N173">
        <v>1</v>
      </c>
      <c r="O173">
        <v>0.05</v>
      </c>
      <c r="P173">
        <v>9000</v>
      </c>
      <c r="Q173">
        <v>38</v>
      </c>
      <c r="R173">
        <v>1</v>
      </c>
      <c r="S173" t="s">
        <v>3824</v>
      </c>
      <c r="T173">
        <v>6</v>
      </c>
      <c r="U173">
        <v>0.5</v>
      </c>
      <c r="V173">
        <v>1000</v>
      </c>
      <c r="W173">
        <v>1740</v>
      </c>
      <c r="X173">
        <v>1</v>
      </c>
      <c r="Y173">
        <v>2006</v>
      </c>
      <c r="Z173">
        <v>1</v>
      </c>
      <c r="AA173">
        <v>0.03</v>
      </c>
    </row>
    <row r="174" spans="1:27">
      <c r="A174">
        <v>1172</v>
      </c>
      <c r="B174" t="s">
        <v>3985</v>
      </c>
      <c r="C174">
        <v>87</v>
      </c>
      <c r="D174" t="s">
        <v>3823</v>
      </c>
      <c r="E174">
        <v>1</v>
      </c>
      <c r="F174">
        <v>7.0000000000000007E-2</v>
      </c>
      <c r="G174">
        <v>8001</v>
      </c>
      <c r="H174">
        <v>110</v>
      </c>
      <c r="I174">
        <v>1</v>
      </c>
      <c r="J174">
        <v>8000</v>
      </c>
      <c r="K174">
        <v>170</v>
      </c>
      <c r="L174">
        <v>1</v>
      </c>
      <c r="M174">
        <v>2007</v>
      </c>
      <c r="N174">
        <v>1</v>
      </c>
      <c r="O174">
        <v>0.05</v>
      </c>
      <c r="P174">
        <v>9000</v>
      </c>
      <c r="Q174">
        <v>38</v>
      </c>
      <c r="R174">
        <v>1</v>
      </c>
      <c r="S174" t="s">
        <v>3824</v>
      </c>
      <c r="T174">
        <v>6</v>
      </c>
      <c r="U174">
        <v>0.5</v>
      </c>
      <c r="V174">
        <v>1000</v>
      </c>
      <c r="W174">
        <v>1750</v>
      </c>
      <c r="X174">
        <v>1</v>
      </c>
      <c r="Y174">
        <v>2006</v>
      </c>
      <c r="Z174">
        <v>1</v>
      </c>
      <c r="AA174">
        <v>0.03</v>
      </c>
    </row>
    <row r="175" spans="1:27">
      <c r="A175">
        <v>1173</v>
      </c>
      <c r="B175" t="s">
        <v>3986</v>
      </c>
      <c r="C175">
        <v>87</v>
      </c>
      <c r="D175" t="s">
        <v>3823</v>
      </c>
      <c r="E175">
        <v>1</v>
      </c>
      <c r="F175">
        <v>7.0000000000000007E-2</v>
      </c>
      <c r="G175">
        <v>8001</v>
      </c>
      <c r="H175">
        <v>115</v>
      </c>
      <c r="I175">
        <v>1</v>
      </c>
      <c r="J175">
        <v>8000</v>
      </c>
      <c r="K175">
        <v>170</v>
      </c>
      <c r="L175">
        <v>1</v>
      </c>
      <c r="M175">
        <v>2007</v>
      </c>
      <c r="N175">
        <v>1</v>
      </c>
      <c r="O175">
        <v>0.05</v>
      </c>
      <c r="P175">
        <v>9000</v>
      </c>
      <c r="Q175">
        <v>38</v>
      </c>
      <c r="R175">
        <v>1</v>
      </c>
      <c r="S175" t="s">
        <v>3824</v>
      </c>
      <c r="T175">
        <v>6</v>
      </c>
      <c r="U175">
        <v>0.5</v>
      </c>
      <c r="V175">
        <v>1000</v>
      </c>
      <c r="W175">
        <v>1760</v>
      </c>
      <c r="X175">
        <v>1</v>
      </c>
      <c r="Y175">
        <v>2006</v>
      </c>
      <c r="Z175">
        <v>1</v>
      </c>
      <c r="AA175">
        <v>0.03</v>
      </c>
    </row>
    <row r="176" spans="1:27">
      <c r="A176">
        <v>1174</v>
      </c>
      <c r="B176" t="s">
        <v>3970</v>
      </c>
      <c r="C176">
        <v>88</v>
      </c>
      <c r="D176" t="s">
        <v>3823</v>
      </c>
      <c r="E176">
        <v>1</v>
      </c>
      <c r="F176">
        <v>7.0000000000000007E-2</v>
      </c>
      <c r="G176">
        <v>8001</v>
      </c>
      <c r="H176">
        <v>115</v>
      </c>
      <c r="I176">
        <v>1</v>
      </c>
      <c r="J176">
        <v>8000</v>
      </c>
      <c r="K176">
        <v>170</v>
      </c>
      <c r="L176">
        <v>1</v>
      </c>
      <c r="M176">
        <v>2007</v>
      </c>
      <c r="N176">
        <v>1</v>
      </c>
      <c r="O176">
        <v>0.05</v>
      </c>
      <c r="P176">
        <v>9000</v>
      </c>
      <c r="Q176">
        <v>39</v>
      </c>
      <c r="R176">
        <v>1</v>
      </c>
      <c r="S176" t="s">
        <v>3824</v>
      </c>
      <c r="T176">
        <v>6</v>
      </c>
      <c r="U176">
        <v>0.5</v>
      </c>
      <c r="V176">
        <v>1000</v>
      </c>
      <c r="W176">
        <v>1775</v>
      </c>
      <c r="X176">
        <v>1</v>
      </c>
      <c r="Y176">
        <v>2006</v>
      </c>
      <c r="Z176">
        <v>1</v>
      </c>
      <c r="AA176">
        <v>0.03</v>
      </c>
    </row>
    <row r="177" spans="1:27">
      <c r="A177">
        <v>1175</v>
      </c>
      <c r="B177" t="s">
        <v>3987</v>
      </c>
      <c r="C177">
        <v>88</v>
      </c>
      <c r="D177" t="s">
        <v>3823</v>
      </c>
      <c r="E177">
        <v>1</v>
      </c>
      <c r="F177">
        <v>7.0999999999999994E-2</v>
      </c>
      <c r="G177">
        <v>8001</v>
      </c>
      <c r="H177">
        <v>115</v>
      </c>
      <c r="I177">
        <v>1</v>
      </c>
      <c r="J177">
        <v>8000</v>
      </c>
      <c r="K177">
        <v>170</v>
      </c>
      <c r="L177">
        <v>1</v>
      </c>
      <c r="M177">
        <v>2007</v>
      </c>
      <c r="N177">
        <v>1</v>
      </c>
      <c r="O177">
        <v>0.05</v>
      </c>
      <c r="P177">
        <v>9000</v>
      </c>
      <c r="Q177">
        <v>39</v>
      </c>
      <c r="R177">
        <v>1</v>
      </c>
      <c r="S177" t="s">
        <v>3824</v>
      </c>
      <c r="T177">
        <v>6</v>
      </c>
      <c r="U177">
        <v>0.5</v>
      </c>
      <c r="V177">
        <v>1000</v>
      </c>
      <c r="W177">
        <v>1785</v>
      </c>
      <c r="X177">
        <v>1</v>
      </c>
      <c r="Y177">
        <v>2006</v>
      </c>
      <c r="Z177">
        <v>1</v>
      </c>
      <c r="AA177">
        <v>0.03</v>
      </c>
    </row>
    <row r="178" spans="1:27">
      <c r="A178">
        <v>1176</v>
      </c>
      <c r="B178" t="s">
        <v>3988</v>
      </c>
      <c r="C178">
        <v>89</v>
      </c>
      <c r="D178" t="s">
        <v>3823</v>
      </c>
      <c r="E178">
        <v>1</v>
      </c>
      <c r="F178">
        <v>7.0999999999999994E-2</v>
      </c>
      <c r="G178">
        <v>8001</v>
      </c>
      <c r="H178">
        <v>115</v>
      </c>
      <c r="I178">
        <v>1</v>
      </c>
      <c r="J178">
        <v>8000</v>
      </c>
      <c r="K178">
        <v>170</v>
      </c>
      <c r="L178">
        <v>1</v>
      </c>
      <c r="M178">
        <v>2007</v>
      </c>
      <c r="N178">
        <v>1</v>
      </c>
      <c r="O178">
        <v>0.05</v>
      </c>
      <c r="P178">
        <v>9000</v>
      </c>
      <c r="Q178">
        <v>39</v>
      </c>
      <c r="R178">
        <v>1</v>
      </c>
      <c r="S178" t="s">
        <v>3824</v>
      </c>
      <c r="T178">
        <v>6</v>
      </c>
      <c r="U178">
        <v>0.5</v>
      </c>
      <c r="V178">
        <v>1000</v>
      </c>
      <c r="W178">
        <v>1795</v>
      </c>
      <c r="X178">
        <v>1</v>
      </c>
      <c r="Y178">
        <v>2006</v>
      </c>
      <c r="Z178">
        <v>1</v>
      </c>
      <c r="AA178">
        <v>0.03</v>
      </c>
    </row>
    <row r="179" spans="1:27">
      <c r="A179">
        <v>1177</v>
      </c>
      <c r="B179" t="s">
        <v>3989</v>
      </c>
      <c r="C179">
        <v>89</v>
      </c>
      <c r="D179" t="s">
        <v>3823</v>
      </c>
      <c r="E179">
        <v>1</v>
      </c>
      <c r="F179">
        <v>7.0999999999999994E-2</v>
      </c>
      <c r="G179">
        <v>8001</v>
      </c>
      <c r="H179">
        <v>115</v>
      </c>
      <c r="I179">
        <v>1</v>
      </c>
      <c r="J179">
        <v>8000</v>
      </c>
      <c r="K179">
        <v>175</v>
      </c>
      <c r="L179">
        <v>1</v>
      </c>
      <c r="M179">
        <v>2007</v>
      </c>
      <c r="N179">
        <v>1</v>
      </c>
      <c r="O179">
        <v>0.05</v>
      </c>
      <c r="P179">
        <v>9000</v>
      </c>
      <c r="Q179">
        <v>39</v>
      </c>
      <c r="R179">
        <v>1</v>
      </c>
      <c r="S179" t="s">
        <v>3824</v>
      </c>
      <c r="T179">
        <v>6</v>
      </c>
      <c r="U179">
        <v>0.5</v>
      </c>
      <c r="V179">
        <v>1000</v>
      </c>
      <c r="W179">
        <v>1810</v>
      </c>
      <c r="X179">
        <v>1</v>
      </c>
      <c r="Y179">
        <v>2006</v>
      </c>
      <c r="Z179">
        <v>1</v>
      </c>
      <c r="AA179">
        <v>0.03</v>
      </c>
    </row>
    <row r="180" spans="1:27">
      <c r="A180">
        <v>1178</v>
      </c>
      <c r="B180" t="s">
        <v>3990</v>
      </c>
      <c r="C180">
        <v>90</v>
      </c>
      <c r="D180" t="s">
        <v>3823</v>
      </c>
      <c r="E180">
        <v>1</v>
      </c>
      <c r="F180">
        <v>7.0999999999999994E-2</v>
      </c>
      <c r="G180">
        <v>8001</v>
      </c>
      <c r="H180">
        <v>115</v>
      </c>
      <c r="I180">
        <v>1</v>
      </c>
      <c r="J180">
        <v>8000</v>
      </c>
      <c r="K180">
        <v>175</v>
      </c>
      <c r="L180">
        <v>1</v>
      </c>
      <c r="M180">
        <v>2007</v>
      </c>
      <c r="N180">
        <v>1</v>
      </c>
      <c r="O180">
        <v>0.05</v>
      </c>
      <c r="P180">
        <v>9000</v>
      </c>
      <c r="Q180">
        <v>40</v>
      </c>
      <c r="R180">
        <v>1</v>
      </c>
      <c r="S180" t="s">
        <v>3824</v>
      </c>
      <c r="T180">
        <v>6</v>
      </c>
      <c r="U180">
        <v>0.5</v>
      </c>
      <c r="V180">
        <v>1000</v>
      </c>
      <c r="W180">
        <v>1820</v>
      </c>
      <c r="X180">
        <v>1</v>
      </c>
      <c r="Y180">
        <v>2006</v>
      </c>
      <c r="Z180">
        <v>1</v>
      </c>
      <c r="AA180">
        <v>0.03</v>
      </c>
    </row>
    <row r="181" spans="1:27">
      <c r="A181">
        <v>1179</v>
      </c>
      <c r="B181" t="s">
        <v>3991</v>
      </c>
      <c r="C181">
        <v>90</v>
      </c>
      <c r="D181" t="s">
        <v>3823</v>
      </c>
      <c r="E181">
        <v>1</v>
      </c>
      <c r="F181">
        <v>7.0999999999999994E-2</v>
      </c>
      <c r="G181">
        <v>8001</v>
      </c>
      <c r="H181">
        <v>115</v>
      </c>
      <c r="I181">
        <v>1</v>
      </c>
      <c r="J181">
        <v>8000</v>
      </c>
      <c r="K181">
        <v>175</v>
      </c>
      <c r="L181">
        <v>1</v>
      </c>
      <c r="M181">
        <v>2007</v>
      </c>
      <c r="N181">
        <v>1</v>
      </c>
      <c r="O181">
        <v>0.05</v>
      </c>
      <c r="P181">
        <v>9000</v>
      </c>
      <c r="Q181">
        <v>40</v>
      </c>
      <c r="R181">
        <v>1</v>
      </c>
      <c r="S181" t="s">
        <v>3824</v>
      </c>
      <c r="T181">
        <v>6</v>
      </c>
      <c r="U181">
        <v>0.5</v>
      </c>
      <c r="V181">
        <v>1000</v>
      </c>
      <c r="W181">
        <v>1830</v>
      </c>
      <c r="X181">
        <v>1</v>
      </c>
      <c r="Y181">
        <v>2006</v>
      </c>
      <c r="Z181">
        <v>1</v>
      </c>
      <c r="AA181">
        <v>0.03</v>
      </c>
    </row>
    <row r="182" spans="1:27">
      <c r="A182">
        <v>1180</v>
      </c>
      <c r="B182" t="s">
        <v>3992</v>
      </c>
      <c r="C182">
        <v>91</v>
      </c>
      <c r="D182" t="s">
        <v>3823</v>
      </c>
      <c r="E182">
        <v>1</v>
      </c>
      <c r="F182">
        <v>7.1999999999999995E-2</v>
      </c>
      <c r="G182">
        <v>8001</v>
      </c>
      <c r="H182">
        <v>120</v>
      </c>
      <c r="I182">
        <v>1</v>
      </c>
      <c r="J182">
        <v>8000</v>
      </c>
      <c r="K182">
        <v>175</v>
      </c>
      <c r="L182">
        <v>1</v>
      </c>
      <c r="M182">
        <v>2007</v>
      </c>
      <c r="N182">
        <v>1</v>
      </c>
      <c r="O182">
        <v>0.05</v>
      </c>
      <c r="P182">
        <v>9000</v>
      </c>
      <c r="Q182">
        <v>40</v>
      </c>
      <c r="R182">
        <v>1</v>
      </c>
      <c r="S182" t="s">
        <v>3824</v>
      </c>
      <c r="T182">
        <v>6</v>
      </c>
      <c r="U182">
        <v>0.5</v>
      </c>
      <c r="V182">
        <v>1000</v>
      </c>
      <c r="W182">
        <v>1845</v>
      </c>
      <c r="X182">
        <v>1</v>
      </c>
      <c r="Y182">
        <v>2006</v>
      </c>
      <c r="Z182">
        <v>1</v>
      </c>
      <c r="AA182">
        <v>0.03</v>
      </c>
    </row>
    <row r="183" spans="1:27">
      <c r="A183">
        <v>1181</v>
      </c>
      <c r="B183" t="s">
        <v>3993</v>
      </c>
      <c r="C183">
        <v>91</v>
      </c>
      <c r="D183" t="s">
        <v>3823</v>
      </c>
      <c r="E183">
        <v>1</v>
      </c>
      <c r="F183">
        <v>7.1999999999999995E-2</v>
      </c>
      <c r="G183">
        <v>8001</v>
      </c>
      <c r="H183">
        <v>120</v>
      </c>
      <c r="I183">
        <v>1</v>
      </c>
      <c r="J183">
        <v>8000</v>
      </c>
      <c r="K183">
        <v>180</v>
      </c>
      <c r="L183">
        <v>1</v>
      </c>
      <c r="M183">
        <v>2007</v>
      </c>
      <c r="N183">
        <v>1</v>
      </c>
      <c r="O183">
        <v>0.05</v>
      </c>
      <c r="P183">
        <v>9000</v>
      </c>
      <c r="Q183">
        <v>41</v>
      </c>
      <c r="R183">
        <v>1</v>
      </c>
      <c r="S183" t="s">
        <v>3824</v>
      </c>
      <c r="T183">
        <v>6</v>
      </c>
      <c r="U183">
        <v>0.5</v>
      </c>
      <c r="V183">
        <v>1000</v>
      </c>
      <c r="W183">
        <v>1855</v>
      </c>
      <c r="X183">
        <v>1</v>
      </c>
      <c r="Y183">
        <v>2006</v>
      </c>
      <c r="Z183">
        <v>1</v>
      </c>
      <c r="AA183">
        <v>0.03</v>
      </c>
    </row>
    <row r="184" spans="1:27">
      <c r="A184">
        <v>1182</v>
      </c>
      <c r="B184" t="s">
        <v>3994</v>
      </c>
      <c r="C184">
        <v>92</v>
      </c>
      <c r="D184" t="s">
        <v>3823</v>
      </c>
      <c r="E184">
        <v>1</v>
      </c>
      <c r="F184">
        <v>7.1999999999999995E-2</v>
      </c>
      <c r="G184">
        <v>8001</v>
      </c>
      <c r="H184">
        <v>120</v>
      </c>
      <c r="I184">
        <v>1</v>
      </c>
      <c r="J184">
        <v>8000</v>
      </c>
      <c r="K184">
        <v>180</v>
      </c>
      <c r="L184">
        <v>1</v>
      </c>
      <c r="M184">
        <v>2007</v>
      </c>
      <c r="N184">
        <v>1</v>
      </c>
      <c r="O184">
        <v>0.05</v>
      </c>
      <c r="P184">
        <v>9000</v>
      </c>
      <c r="Q184">
        <v>41</v>
      </c>
      <c r="R184">
        <v>1</v>
      </c>
      <c r="S184" t="s">
        <v>3824</v>
      </c>
      <c r="T184">
        <v>6</v>
      </c>
      <c r="U184">
        <v>0.5</v>
      </c>
      <c r="V184">
        <v>1000</v>
      </c>
      <c r="W184">
        <v>1865</v>
      </c>
      <c r="X184">
        <v>1</v>
      </c>
      <c r="Y184">
        <v>2006</v>
      </c>
      <c r="Z184">
        <v>1</v>
      </c>
      <c r="AA184">
        <v>0.03</v>
      </c>
    </row>
    <row r="185" spans="1:27">
      <c r="A185">
        <v>1183</v>
      </c>
      <c r="B185" t="s">
        <v>3995</v>
      </c>
      <c r="C185">
        <v>92</v>
      </c>
      <c r="D185" t="s">
        <v>3823</v>
      </c>
      <c r="E185">
        <v>1</v>
      </c>
      <c r="F185">
        <v>7.1999999999999995E-2</v>
      </c>
      <c r="G185">
        <v>8001</v>
      </c>
      <c r="H185">
        <v>120</v>
      </c>
      <c r="I185">
        <v>1</v>
      </c>
      <c r="J185">
        <v>8000</v>
      </c>
      <c r="K185">
        <v>180</v>
      </c>
      <c r="L185">
        <v>1</v>
      </c>
      <c r="M185">
        <v>2007</v>
      </c>
      <c r="N185">
        <v>1</v>
      </c>
      <c r="O185">
        <v>0.05</v>
      </c>
      <c r="P185">
        <v>9000</v>
      </c>
      <c r="Q185">
        <v>41</v>
      </c>
      <c r="R185">
        <v>1</v>
      </c>
      <c r="S185" t="s">
        <v>3824</v>
      </c>
      <c r="T185">
        <v>6</v>
      </c>
      <c r="U185">
        <v>0.5</v>
      </c>
      <c r="V185">
        <v>1000</v>
      </c>
      <c r="W185">
        <v>1880</v>
      </c>
      <c r="X185">
        <v>1</v>
      </c>
      <c r="Y185">
        <v>2006</v>
      </c>
      <c r="Z185">
        <v>1</v>
      </c>
      <c r="AA185">
        <v>0.03</v>
      </c>
    </row>
    <row r="186" spans="1:27">
      <c r="A186">
        <v>1184</v>
      </c>
      <c r="B186" t="s">
        <v>3996</v>
      </c>
      <c r="C186">
        <v>93</v>
      </c>
      <c r="D186" t="s">
        <v>3823</v>
      </c>
      <c r="E186">
        <v>1</v>
      </c>
      <c r="F186">
        <v>7.2999999999999995E-2</v>
      </c>
      <c r="G186">
        <v>8001</v>
      </c>
      <c r="H186">
        <v>120</v>
      </c>
      <c r="I186">
        <v>1</v>
      </c>
      <c r="J186">
        <v>8000</v>
      </c>
      <c r="K186">
        <v>180</v>
      </c>
      <c r="L186">
        <v>1</v>
      </c>
      <c r="M186">
        <v>2007</v>
      </c>
      <c r="N186">
        <v>1</v>
      </c>
      <c r="O186">
        <v>0.05</v>
      </c>
      <c r="P186">
        <v>9000</v>
      </c>
      <c r="Q186">
        <v>42</v>
      </c>
      <c r="R186">
        <v>1</v>
      </c>
      <c r="S186" t="s">
        <v>3824</v>
      </c>
      <c r="T186">
        <v>6</v>
      </c>
      <c r="U186">
        <v>0.5</v>
      </c>
      <c r="V186">
        <v>1000</v>
      </c>
      <c r="W186">
        <v>1890</v>
      </c>
      <c r="X186">
        <v>1</v>
      </c>
      <c r="Y186">
        <v>2006</v>
      </c>
      <c r="Z186">
        <v>1</v>
      </c>
      <c r="AA186">
        <v>0.03</v>
      </c>
    </row>
    <row r="187" spans="1:27">
      <c r="A187">
        <v>1185</v>
      </c>
      <c r="B187" t="s">
        <v>3997</v>
      </c>
      <c r="C187">
        <v>93</v>
      </c>
      <c r="D187" t="s">
        <v>3823</v>
      </c>
      <c r="E187">
        <v>1</v>
      </c>
      <c r="F187">
        <v>7.2999999999999995E-2</v>
      </c>
      <c r="G187">
        <v>8001</v>
      </c>
      <c r="H187">
        <v>120</v>
      </c>
      <c r="I187">
        <v>1</v>
      </c>
      <c r="J187">
        <v>8000</v>
      </c>
      <c r="K187">
        <v>185</v>
      </c>
      <c r="L187">
        <v>1</v>
      </c>
      <c r="M187">
        <v>2007</v>
      </c>
      <c r="N187">
        <v>1</v>
      </c>
      <c r="O187">
        <v>0.05</v>
      </c>
      <c r="P187">
        <v>9000</v>
      </c>
      <c r="Q187">
        <v>42</v>
      </c>
      <c r="R187">
        <v>1</v>
      </c>
      <c r="S187" t="s">
        <v>3824</v>
      </c>
      <c r="T187">
        <v>6</v>
      </c>
      <c r="U187">
        <v>0.5</v>
      </c>
      <c r="V187">
        <v>1000</v>
      </c>
      <c r="W187">
        <v>1905</v>
      </c>
      <c r="X187">
        <v>1</v>
      </c>
      <c r="Y187">
        <v>2006</v>
      </c>
      <c r="Z187">
        <v>1</v>
      </c>
      <c r="AA187">
        <v>0.03</v>
      </c>
    </row>
    <row r="188" spans="1:27">
      <c r="A188">
        <v>1186</v>
      </c>
      <c r="B188" t="s">
        <v>3998</v>
      </c>
      <c r="C188">
        <v>94</v>
      </c>
      <c r="D188" t="s">
        <v>3823</v>
      </c>
      <c r="E188">
        <v>1</v>
      </c>
      <c r="F188">
        <v>7.2999999999999995E-2</v>
      </c>
      <c r="G188">
        <v>8001</v>
      </c>
      <c r="H188">
        <v>125</v>
      </c>
      <c r="I188">
        <v>1</v>
      </c>
      <c r="J188">
        <v>8000</v>
      </c>
      <c r="K188">
        <v>185</v>
      </c>
      <c r="L188">
        <v>1</v>
      </c>
      <c r="M188">
        <v>2007</v>
      </c>
      <c r="N188">
        <v>1</v>
      </c>
      <c r="O188">
        <v>0.05</v>
      </c>
      <c r="P188">
        <v>9000</v>
      </c>
      <c r="Q188">
        <v>42</v>
      </c>
      <c r="R188">
        <v>1</v>
      </c>
      <c r="S188" t="s">
        <v>3824</v>
      </c>
      <c r="T188">
        <v>6</v>
      </c>
      <c r="U188">
        <v>0.5</v>
      </c>
      <c r="V188">
        <v>1000</v>
      </c>
      <c r="W188">
        <v>1915</v>
      </c>
      <c r="X188">
        <v>1</v>
      </c>
      <c r="Y188">
        <v>2006</v>
      </c>
      <c r="Z188">
        <v>1</v>
      </c>
      <c r="AA188">
        <v>0.03</v>
      </c>
    </row>
    <row r="189" spans="1:27">
      <c r="A189">
        <v>1187</v>
      </c>
      <c r="B189" t="s">
        <v>3999</v>
      </c>
      <c r="C189">
        <v>94</v>
      </c>
      <c r="D189" t="s">
        <v>3823</v>
      </c>
      <c r="E189">
        <v>1</v>
      </c>
      <c r="F189">
        <v>7.2999999999999995E-2</v>
      </c>
      <c r="G189">
        <v>8001</v>
      </c>
      <c r="H189">
        <v>125</v>
      </c>
      <c r="I189">
        <v>1</v>
      </c>
      <c r="J189">
        <v>8000</v>
      </c>
      <c r="K189">
        <v>185</v>
      </c>
      <c r="L189">
        <v>1</v>
      </c>
      <c r="M189">
        <v>2007</v>
      </c>
      <c r="N189">
        <v>1</v>
      </c>
      <c r="O189">
        <v>0.05</v>
      </c>
      <c r="P189">
        <v>9000</v>
      </c>
      <c r="Q189">
        <v>42</v>
      </c>
      <c r="R189">
        <v>1</v>
      </c>
      <c r="S189" t="s">
        <v>3824</v>
      </c>
      <c r="T189">
        <v>6</v>
      </c>
      <c r="U189">
        <v>0.5</v>
      </c>
      <c r="V189">
        <v>1000</v>
      </c>
      <c r="W189">
        <v>1925</v>
      </c>
      <c r="X189">
        <v>1</v>
      </c>
      <c r="Y189">
        <v>2006</v>
      </c>
      <c r="Z189">
        <v>1</v>
      </c>
      <c r="AA189">
        <v>0.03</v>
      </c>
    </row>
    <row r="190" spans="1:27">
      <c r="A190">
        <v>1188</v>
      </c>
      <c r="B190" t="s">
        <v>4000</v>
      </c>
      <c r="C190">
        <v>95</v>
      </c>
      <c r="D190" t="s">
        <v>3823</v>
      </c>
      <c r="E190">
        <v>1</v>
      </c>
      <c r="F190">
        <v>7.2999999999999995E-2</v>
      </c>
      <c r="G190">
        <v>8001</v>
      </c>
      <c r="H190">
        <v>125</v>
      </c>
      <c r="I190">
        <v>1</v>
      </c>
      <c r="J190">
        <v>8000</v>
      </c>
      <c r="K190">
        <v>185</v>
      </c>
      <c r="L190">
        <v>1</v>
      </c>
      <c r="M190">
        <v>2007</v>
      </c>
      <c r="N190">
        <v>1</v>
      </c>
      <c r="O190">
        <v>0.05</v>
      </c>
      <c r="P190">
        <v>9000</v>
      </c>
      <c r="Q190">
        <v>43</v>
      </c>
      <c r="R190">
        <v>1</v>
      </c>
      <c r="S190" t="s">
        <v>3824</v>
      </c>
      <c r="T190">
        <v>6</v>
      </c>
      <c r="U190">
        <v>0.5</v>
      </c>
      <c r="V190">
        <v>1000</v>
      </c>
      <c r="W190">
        <v>1940</v>
      </c>
      <c r="X190">
        <v>1</v>
      </c>
      <c r="Y190">
        <v>2006</v>
      </c>
      <c r="Z190">
        <v>1</v>
      </c>
      <c r="AA190">
        <v>0.03</v>
      </c>
    </row>
    <row r="191" spans="1:27">
      <c r="A191">
        <v>1189</v>
      </c>
      <c r="B191" t="s">
        <v>4001</v>
      </c>
      <c r="C191">
        <v>95</v>
      </c>
      <c r="D191" t="s">
        <v>3823</v>
      </c>
      <c r="E191">
        <v>1</v>
      </c>
      <c r="F191">
        <v>7.3999999999999996E-2</v>
      </c>
      <c r="G191">
        <v>8001</v>
      </c>
      <c r="H191">
        <v>125</v>
      </c>
      <c r="I191">
        <v>1</v>
      </c>
      <c r="J191">
        <v>8000</v>
      </c>
      <c r="K191">
        <v>185</v>
      </c>
      <c r="L191">
        <v>1</v>
      </c>
      <c r="M191">
        <v>2007</v>
      </c>
      <c r="N191">
        <v>1</v>
      </c>
      <c r="O191">
        <v>0.05</v>
      </c>
      <c r="P191">
        <v>9000</v>
      </c>
      <c r="Q191">
        <v>43</v>
      </c>
      <c r="R191">
        <v>1</v>
      </c>
      <c r="S191" t="s">
        <v>3824</v>
      </c>
      <c r="T191">
        <v>6</v>
      </c>
      <c r="U191">
        <v>0.5</v>
      </c>
      <c r="V191">
        <v>1000</v>
      </c>
      <c r="W191">
        <v>1950</v>
      </c>
      <c r="X191">
        <v>1</v>
      </c>
      <c r="Y191">
        <v>2006</v>
      </c>
      <c r="Z191">
        <v>1</v>
      </c>
      <c r="AA191">
        <v>0.03</v>
      </c>
    </row>
    <row r="192" spans="1:27">
      <c r="A192">
        <v>1190</v>
      </c>
      <c r="B192" t="s">
        <v>4002</v>
      </c>
      <c r="C192">
        <v>96</v>
      </c>
      <c r="D192" t="s">
        <v>3823</v>
      </c>
      <c r="E192">
        <v>1</v>
      </c>
      <c r="F192">
        <v>7.3999999999999996E-2</v>
      </c>
      <c r="G192">
        <v>8001</v>
      </c>
      <c r="H192">
        <v>125</v>
      </c>
      <c r="I192">
        <v>1</v>
      </c>
      <c r="J192">
        <v>8000</v>
      </c>
      <c r="K192">
        <v>190</v>
      </c>
      <c r="L192">
        <v>1</v>
      </c>
      <c r="M192">
        <v>2007</v>
      </c>
      <c r="N192">
        <v>1</v>
      </c>
      <c r="O192">
        <v>0.05</v>
      </c>
      <c r="P192">
        <v>9000</v>
      </c>
      <c r="Q192">
        <v>43</v>
      </c>
      <c r="R192">
        <v>1</v>
      </c>
      <c r="S192" t="s">
        <v>3824</v>
      </c>
      <c r="T192">
        <v>6</v>
      </c>
      <c r="U192">
        <v>0.5</v>
      </c>
      <c r="V192">
        <v>1000</v>
      </c>
      <c r="W192">
        <v>1965</v>
      </c>
      <c r="X192">
        <v>1</v>
      </c>
      <c r="Y192">
        <v>2006</v>
      </c>
      <c r="Z192">
        <v>1</v>
      </c>
      <c r="AA192">
        <v>0.03</v>
      </c>
    </row>
    <row r="193" spans="1:27">
      <c r="A193">
        <v>1191</v>
      </c>
      <c r="B193" t="s">
        <v>4003</v>
      </c>
      <c r="C193">
        <v>96</v>
      </c>
      <c r="D193" t="s">
        <v>3823</v>
      </c>
      <c r="E193">
        <v>1</v>
      </c>
      <c r="F193">
        <v>7.3999999999999996E-2</v>
      </c>
      <c r="G193">
        <v>8001</v>
      </c>
      <c r="H193">
        <v>125</v>
      </c>
      <c r="I193">
        <v>1</v>
      </c>
      <c r="J193">
        <v>8000</v>
      </c>
      <c r="K193">
        <v>190</v>
      </c>
      <c r="L193">
        <v>1</v>
      </c>
      <c r="M193">
        <v>2007</v>
      </c>
      <c r="N193">
        <v>1</v>
      </c>
      <c r="O193">
        <v>0.05</v>
      </c>
      <c r="P193">
        <v>9000</v>
      </c>
      <c r="Q193">
        <v>44</v>
      </c>
      <c r="R193">
        <v>1</v>
      </c>
      <c r="S193" t="s">
        <v>3824</v>
      </c>
      <c r="T193">
        <v>6</v>
      </c>
      <c r="U193">
        <v>0.5</v>
      </c>
      <c r="V193">
        <v>1000</v>
      </c>
      <c r="W193">
        <v>1975</v>
      </c>
      <c r="X193">
        <v>1</v>
      </c>
      <c r="Y193">
        <v>2006</v>
      </c>
      <c r="Z193">
        <v>1</v>
      </c>
      <c r="AA193">
        <v>0.03</v>
      </c>
    </row>
    <row r="194" spans="1:27">
      <c r="A194">
        <v>1192</v>
      </c>
      <c r="B194" t="s">
        <v>4004</v>
      </c>
      <c r="C194">
        <v>97</v>
      </c>
      <c r="D194" t="s">
        <v>3823</v>
      </c>
      <c r="E194">
        <v>1</v>
      </c>
      <c r="F194">
        <v>7.3999999999999996E-2</v>
      </c>
      <c r="G194">
        <v>8001</v>
      </c>
      <c r="H194">
        <v>125</v>
      </c>
      <c r="I194">
        <v>1</v>
      </c>
      <c r="J194">
        <v>8000</v>
      </c>
      <c r="K194">
        <v>190</v>
      </c>
      <c r="L194">
        <v>1</v>
      </c>
      <c r="M194">
        <v>2007</v>
      </c>
      <c r="N194">
        <v>1</v>
      </c>
      <c r="O194">
        <v>0.05</v>
      </c>
      <c r="P194">
        <v>9000</v>
      </c>
      <c r="Q194">
        <v>44</v>
      </c>
      <c r="R194">
        <v>1</v>
      </c>
      <c r="S194" t="s">
        <v>3824</v>
      </c>
      <c r="T194">
        <v>6</v>
      </c>
      <c r="U194">
        <v>0.5</v>
      </c>
      <c r="V194">
        <v>1000</v>
      </c>
      <c r="W194">
        <v>1990</v>
      </c>
      <c r="X194">
        <v>1</v>
      </c>
      <c r="Y194">
        <v>2006</v>
      </c>
      <c r="Z194">
        <v>1</v>
      </c>
      <c r="AA194">
        <v>0.03</v>
      </c>
    </row>
    <row r="195" spans="1:27">
      <c r="A195">
        <v>1193</v>
      </c>
      <c r="B195" t="s">
        <v>4005</v>
      </c>
      <c r="C195">
        <v>97</v>
      </c>
      <c r="D195" t="s">
        <v>3823</v>
      </c>
      <c r="E195">
        <v>1</v>
      </c>
      <c r="F195">
        <v>7.3999999999999996E-2</v>
      </c>
      <c r="G195">
        <v>8001</v>
      </c>
      <c r="H195">
        <v>130</v>
      </c>
      <c r="I195">
        <v>1</v>
      </c>
      <c r="J195">
        <v>8000</v>
      </c>
      <c r="K195">
        <v>190</v>
      </c>
      <c r="L195">
        <v>1</v>
      </c>
      <c r="M195">
        <v>2007</v>
      </c>
      <c r="N195">
        <v>1</v>
      </c>
      <c r="O195">
        <v>0.05</v>
      </c>
      <c r="P195">
        <v>9000</v>
      </c>
      <c r="Q195">
        <v>44</v>
      </c>
      <c r="R195">
        <v>1</v>
      </c>
      <c r="S195" t="s">
        <v>3824</v>
      </c>
      <c r="T195">
        <v>6</v>
      </c>
      <c r="U195">
        <v>0.5</v>
      </c>
      <c r="V195">
        <v>1000</v>
      </c>
      <c r="W195">
        <v>2000</v>
      </c>
      <c r="X195">
        <v>1</v>
      </c>
      <c r="Y195">
        <v>2006</v>
      </c>
      <c r="Z195">
        <v>1</v>
      </c>
      <c r="AA195">
        <v>0.03</v>
      </c>
    </row>
    <row r="196" spans="1:27">
      <c r="A196">
        <v>1194</v>
      </c>
      <c r="B196" t="s">
        <v>4006</v>
      </c>
      <c r="C196">
        <v>98</v>
      </c>
      <c r="D196" t="s">
        <v>3823</v>
      </c>
      <c r="E196">
        <v>1</v>
      </c>
      <c r="F196">
        <v>7.4999999999999997E-2</v>
      </c>
      <c r="G196">
        <v>8001</v>
      </c>
      <c r="H196">
        <v>130</v>
      </c>
      <c r="I196">
        <v>1</v>
      </c>
      <c r="J196">
        <v>8000</v>
      </c>
      <c r="K196">
        <v>195</v>
      </c>
      <c r="L196">
        <v>1</v>
      </c>
      <c r="M196">
        <v>2007</v>
      </c>
      <c r="N196">
        <v>1</v>
      </c>
      <c r="O196">
        <v>0.05</v>
      </c>
      <c r="P196">
        <v>9000</v>
      </c>
      <c r="Q196">
        <v>45</v>
      </c>
      <c r="R196">
        <v>1</v>
      </c>
      <c r="S196" t="s">
        <v>3824</v>
      </c>
      <c r="T196">
        <v>6</v>
      </c>
      <c r="U196">
        <v>0.5</v>
      </c>
      <c r="V196">
        <v>1000</v>
      </c>
      <c r="W196">
        <v>2015</v>
      </c>
      <c r="X196">
        <v>1</v>
      </c>
      <c r="Y196">
        <v>2006</v>
      </c>
      <c r="Z196">
        <v>1</v>
      </c>
      <c r="AA196">
        <v>0.03</v>
      </c>
    </row>
    <row r="197" spans="1:27">
      <c r="A197">
        <v>1195</v>
      </c>
      <c r="B197" t="s">
        <v>4007</v>
      </c>
      <c r="C197">
        <v>98</v>
      </c>
      <c r="D197" t="s">
        <v>3823</v>
      </c>
      <c r="E197">
        <v>1</v>
      </c>
      <c r="F197">
        <v>7.4999999999999997E-2</v>
      </c>
      <c r="G197">
        <v>8001</v>
      </c>
      <c r="H197">
        <v>130</v>
      </c>
      <c r="I197">
        <v>1</v>
      </c>
      <c r="J197">
        <v>8000</v>
      </c>
      <c r="K197">
        <v>195</v>
      </c>
      <c r="L197">
        <v>1</v>
      </c>
      <c r="M197">
        <v>2007</v>
      </c>
      <c r="N197">
        <v>1</v>
      </c>
      <c r="O197">
        <v>0.05</v>
      </c>
      <c r="P197">
        <v>9000</v>
      </c>
      <c r="Q197">
        <v>45</v>
      </c>
      <c r="R197">
        <v>1</v>
      </c>
      <c r="S197" t="s">
        <v>3824</v>
      </c>
      <c r="T197">
        <v>6</v>
      </c>
      <c r="U197">
        <v>0.5</v>
      </c>
      <c r="V197">
        <v>1000</v>
      </c>
      <c r="W197">
        <v>2025</v>
      </c>
      <c r="X197">
        <v>1</v>
      </c>
      <c r="Y197">
        <v>2006</v>
      </c>
      <c r="Z197">
        <v>1</v>
      </c>
      <c r="AA197">
        <v>0.03</v>
      </c>
    </row>
    <row r="198" spans="1:27">
      <c r="A198">
        <v>1196</v>
      </c>
      <c r="B198" t="s">
        <v>4008</v>
      </c>
      <c r="C198">
        <v>99</v>
      </c>
      <c r="D198" t="s">
        <v>3823</v>
      </c>
      <c r="E198">
        <v>1</v>
      </c>
      <c r="F198">
        <v>7.4999999999999997E-2</v>
      </c>
      <c r="G198">
        <v>8001</v>
      </c>
      <c r="H198">
        <v>130</v>
      </c>
      <c r="I198">
        <v>1</v>
      </c>
      <c r="J198">
        <v>8000</v>
      </c>
      <c r="K198">
        <v>195</v>
      </c>
      <c r="L198">
        <v>1</v>
      </c>
      <c r="M198">
        <v>2007</v>
      </c>
      <c r="N198">
        <v>1</v>
      </c>
      <c r="O198">
        <v>0.05</v>
      </c>
      <c r="P198">
        <v>9000</v>
      </c>
      <c r="Q198">
        <v>45</v>
      </c>
      <c r="R198">
        <v>1</v>
      </c>
      <c r="S198" t="s">
        <v>3824</v>
      </c>
      <c r="T198">
        <v>7</v>
      </c>
      <c r="U198">
        <v>0.5</v>
      </c>
      <c r="V198">
        <v>1000</v>
      </c>
      <c r="W198">
        <v>2040</v>
      </c>
      <c r="X198">
        <v>1</v>
      </c>
      <c r="Y198">
        <v>2006</v>
      </c>
      <c r="Z198">
        <v>1</v>
      </c>
      <c r="AA198">
        <v>0.03</v>
      </c>
    </row>
    <row r="199" spans="1:27">
      <c r="A199">
        <v>1197</v>
      </c>
      <c r="B199" t="s">
        <v>4009</v>
      </c>
      <c r="C199">
        <v>99</v>
      </c>
      <c r="D199" t="s">
        <v>3823</v>
      </c>
      <c r="E199">
        <v>1</v>
      </c>
      <c r="F199">
        <v>7.4999999999999997E-2</v>
      </c>
      <c r="G199">
        <v>8001</v>
      </c>
      <c r="H199">
        <v>130</v>
      </c>
      <c r="I199">
        <v>1</v>
      </c>
      <c r="J199">
        <v>8000</v>
      </c>
      <c r="K199">
        <v>195</v>
      </c>
      <c r="L199">
        <v>1</v>
      </c>
      <c r="M199">
        <v>2007</v>
      </c>
      <c r="N199">
        <v>1</v>
      </c>
      <c r="O199">
        <v>0.05</v>
      </c>
      <c r="P199">
        <v>9000</v>
      </c>
      <c r="Q199">
        <v>45</v>
      </c>
      <c r="R199">
        <v>1</v>
      </c>
      <c r="S199" t="s">
        <v>3824</v>
      </c>
      <c r="T199">
        <v>7</v>
      </c>
      <c r="U199">
        <v>0.5</v>
      </c>
      <c r="V199">
        <v>1000</v>
      </c>
      <c r="W199">
        <v>2050</v>
      </c>
      <c r="X199">
        <v>1</v>
      </c>
      <c r="Y199">
        <v>2006</v>
      </c>
      <c r="Z199">
        <v>1</v>
      </c>
      <c r="AA199">
        <v>0.03</v>
      </c>
    </row>
    <row r="200" spans="1:27">
      <c r="A200">
        <v>1198</v>
      </c>
      <c r="B200" t="s">
        <v>4010</v>
      </c>
      <c r="C200">
        <v>100</v>
      </c>
      <c r="D200" t="s">
        <v>3823</v>
      </c>
      <c r="E200">
        <v>1</v>
      </c>
      <c r="F200">
        <v>7.5999999999999998E-2</v>
      </c>
      <c r="G200">
        <v>8001</v>
      </c>
      <c r="H200">
        <v>130</v>
      </c>
      <c r="I200">
        <v>1</v>
      </c>
      <c r="J200">
        <v>8000</v>
      </c>
      <c r="K200">
        <v>200</v>
      </c>
      <c r="L200">
        <v>1</v>
      </c>
      <c r="M200">
        <v>2007</v>
      </c>
      <c r="N200">
        <v>1</v>
      </c>
      <c r="O200">
        <v>0.05</v>
      </c>
      <c r="P200">
        <v>9000</v>
      </c>
      <c r="Q200">
        <v>46</v>
      </c>
      <c r="R200">
        <v>1</v>
      </c>
      <c r="S200" t="s">
        <v>3824</v>
      </c>
      <c r="T200">
        <v>7</v>
      </c>
      <c r="U200">
        <v>0.5</v>
      </c>
      <c r="V200">
        <v>1000</v>
      </c>
      <c r="W200">
        <v>2065</v>
      </c>
      <c r="X200">
        <v>1</v>
      </c>
      <c r="Y200">
        <v>2006</v>
      </c>
      <c r="Z200">
        <v>1</v>
      </c>
      <c r="AA200">
        <v>0.03</v>
      </c>
    </row>
    <row r="201" spans="1:27">
      <c r="A201">
        <v>1199</v>
      </c>
      <c r="B201" t="s">
        <v>4011</v>
      </c>
      <c r="C201">
        <v>100</v>
      </c>
      <c r="D201" t="s">
        <v>3823</v>
      </c>
      <c r="E201">
        <v>1</v>
      </c>
      <c r="F201">
        <v>7.5999999999999998E-2</v>
      </c>
      <c r="G201">
        <v>8001</v>
      </c>
      <c r="H201">
        <v>135</v>
      </c>
      <c r="I201">
        <v>1</v>
      </c>
      <c r="J201">
        <v>8000</v>
      </c>
      <c r="K201">
        <v>200</v>
      </c>
      <c r="L201">
        <v>1</v>
      </c>
      <c r="M201">
        <v>2007</v>
      </c>
      <c r="N201">
        <v>1</v>
      </c>
      <c r="O201">
        <v>0.05</v>
      </c>
      <c r="P201">
        <v>9000</v>
      </c>
      <c r="Q201">
        <v>46</v>
      </c>
      <c r="R201">
        <v>1</v>
      </c>
      <c r="S201" t="s">
        <v>3824</v>
      </c>
      <c r="T201">
        <v>7</v>
      </c>
      <c r="U201">
        <v>0.5</v>
      </c>
      <c r="V201">
        <v>1000</v>
      </c>
      <c r="W201">
        <v>2075</v>
      </c>
      <c r="X201">
        <v>1</v>
      </c>
      <c r="Y201">
        <v>2006</v>
      </c>
      <c r="Z201">
        <v>1</v>
      </c>
      <c r="AA201">
        <v>0.03</v>
      </c>
    </row>
    <row r="202" spans="1:27">
      <c r="A202">
        <v>1200</v>
      </c>
      <c r="B202" t="s">
        <v>4012</v>
      </c>
      <c r="C202">
        <v>101</v>
      </c>
      <c r="D202" t="s">
        <v>3823</v>
      </c>
      <c r="E202">
        <v>1</v>
      </c>
      <c r="F202">
        <v>7.5999999999999998E-2</v>
      </c>
      <c r="G202">
        <v>8001</v>
      </c>
      <c r="H202">
        <v>135</v>
      </c>
      <c r="I202">
        <v>1</v>
      </c>
      <c r="J202">
        <v>8000</v>
      </c>
      <c r="K202">
        <v>200</v>
      </c>
      <c r="L202">
        <v>1</v>
      </c>
      <c r="M202">
        <v>2007</v>
      </c>
      <c r="N202">
        <v>1</v>
      </c>
      <c r="O202">
        <v>0.05</v>
      </c>
      <c r="P202">
        <v>9000</v>
      </c>
      <c r="Q202">
        <v>46</v>
      </c>
      <c r="R202">
        <v>1</v>
      </c>
      <c r="S202" t="s">
        <v>3824</v>
      </c>
      <c r="T202">
        <v>7</v>
      </c>
      <c r="U202">
        <v>0.5</v>
      </c>
      <c r="V202">
        <v>1000</v>
      </c>
      <c r="W202">
        <v>2090</v>
      </c>
      <c r="X202">
        <v>1</v>
      </c>
      <c r="Y202">
        <v>2006</v>
      </c>
      <c r="Z202">
        <v>1</v>
      </c>
      <c r="AA202">
        <v>0.03</v>
      </c>
    </row>
    <row r="203" spans="1:27">
      <c r="A203">
        <v>1201</v>
      </c>
      <c r="B203" t="s">
        <v>4013</v>
      </c>
      <c r="C203">
        <v>101</v>
      </c>
      <c r="D203" t="s">
        <v>3823</v>
      </c>
      <c r="E203">
        <v>1</v>
      </c>
      <c r="F203">
        <v>7.5999999999999998E-2</v>
      </c>
      <c r="G203">
        <v>8001</v>
      </c>
      <c r="H203">
        <v>135</v>
      </c>
      <c r="I203">
        <v>1</v>
      </c>
      <c r="J203">
        <v>8000</v>
      </c>
      <c r="K203">
        <v>200</v>
      </c>
      <c r="L203">
        <v>1</v>
      </c>
      <c r="M203">
        <v>2007</v>
      </c>
      <c r="N203">
        <v>1</v>
      </c>
      <c r="O203">
        <v>0.05</v>
      </c>
      <c r="P203">
        <v>9000</v>
      </c>
      <c r="Q203">
        <v>47</v>
      </c>
      <c r="R203">
        <v>1</v>
      </c>
      <c r="S203" t="s">
        <v>3824</v>
      </c>
      <c r="T203">
        <v>7</v>
      </c>
      <c r="U203">
        <v>0.5</v>
      </c>
      <c r="V203">
        <v>1000</v>
      </c>
      <c r="W203">
        <v>2100</v>
      </c>
      <c r="X203">
        <v>1</v>
      </c>
      <c r="Y203">
        <v>2006</v>
      </c>
      <c r="Z203">
        <v>1</v>
      </c>
      <c r="AA203">
        <v>0.03</v>
      </c>
    </row>
    <row r="204" spans="1:27">
      <c r="A204">
        <v>1202</v>
      </c>
      <c r="B204" t="s">
        <v>4014</v>
      </c>
      <c r="C204">
        <v>102</v>
      </c>
      <c r="D204" t="s">
        <v>3823</v>
      </c>
      <c r="E204">
        <v>1</v>
      </c>
      <c r="F204">
        <v>7.5999999999999998E-2</v>
      </c>
      <c r="G204">
        <v>8001</v>
      </c>
      <c r="H204">
        <v>135</v>
      </c>
      <c r="I204">
        <v>1</v>
      </c>
      <c r="J204">
        <v>8000</v>
      </c>
      <c r="K204">
        <v>205</v>
      </c>
      <c r="L204">
        <v>1</v>
      </c>
      <c r="M204">
        <v>2007</v>
      </c>
      <c r="N204">
        <v>1</v>
      </c>
      <c r="O204">
        <v>0.05</v>
      </c>
      <c r="P204">
        <v>9000</v>
      </c>
      <c r="Q204">
        <v>47</v>
      </c>
      <c r="R204">
        <v>1</v>
      </c>
      <c r="S204" t="s">
        <v>3824</v>
      </c>
      <c r="T204">
        <v>7</v>
      </c>
      <c r="U204">
        <v>0.5</v>
      </c>
      <c r="V204">
        <v>1000</v>
      </c>
      <c r="W204">
        <v>2115</v>
      </c>
      <c r="X204">
        <v>1</v>
      </c>
      <c r="Y204">
        <v>2006</v>
      </c>
      <c r="Z204">
        <v>1</v>
      </c>
      <c r="AA204">
        <v>0.03</v>
      </c>
    </row>
    <row r="205" spans="1:27">
      <c r="A205">
        <v>1203</v>
      </c>
      <c r="B205" t="s">
        <v>4015</v>
      </c>
      <c r="C205">
        <v>102</v>
      </c>
      <c r="D205" t="s">
        <v>3823</v>
      </c>
      <c r="E205">
        <v>1</v>
      </c>
      <c r="F205">
        <v>7.6999999999999999E-2</v>
      </c>
      <c r="G205">
        <v>8001</v>
      </c>
      <c r="H205">
        <v>135</v>
      </c>
      <c r="I205">
        <v>1</v>
      </c>
      <c r="J205">
        <v>8000</v>
      </c>
      <c r="K205">
        <v>205</v>
      </c>
      <c r="L205">
        <v>1</v>
      </c>
      <c r="M205">
        <v>2007</v>
      </c>
      <c r="N205">
        <v>1</v>
      </c>
      <c r="O205">
        <v>0.05</v>
      </c>
      <c r="P205">
        <v>9000</v>
      </c>
      <c r="Q205">
        <v>47</v>
      </c>
      <c r="R205">
        <v>1</v>
      </c>
      <c r="S205" t="s">
        <v>3824</v>
      </c>
      <c r="T205">
        <v>7</v>
      </c>
      <c r="U205">
        <v>0.5</v>
      </c>
      <c r="V205">
        <v>1000</v>
      </c>
      <c r="W205">
        <v>2125</v>
      </c>
      <c r="X205">
        <v>1</v>
      </c>
      <c r="Y205">
        <v>2006</v>
      </c>
      <c r="Z205">
        <v>1</v>
      </c>
      <c r="AA205">
        <v>0.03</v>
      </c>
    </row>
    <row r="206" spans="1:27">
      <c r="A206">
        <v>1204</v>
      </c>
      <c r="B206" t="s">
        <v>4007</v>
      </c>
      <c r="C206">
        <v>103</v>
      </c>
      <c r="D206" t="s">
        <v>3823</v>
      </c>
      <c r="E206">
        <v>1</v>
      </c>
      <c r="F206">
        <v>7.6999999999999999E-2</v>
      </c>
      <c r="G206">
        <v>8001</v>
      </c>
      <c r="H206">
        <v>135</v>
      </c>
      <c r="I206">
        <v>1</v>
      </c>
      <c r="J206">
        <v>8000</v>
      </c>
      <c r="K206">
        <v>205</v>
      </c>
      <c r="L206">
        <v>1</v>
      </c>
      <c r="M206">
        <v>2007</v>
      </c>
      <c r="N206">
        <v>1</v>
      </c>
      <c r="O206">
        <v>0.05</v>
      </c>
      <c r="P206">
        <v>9000</v>
      </c>
      <c r="Q206">
        <v>48</v>
      </c>
      <c r="R206">
        <v>1</v>
      </c>
      <c r="S206" t="s">
        <v>3824</v>
      </c>
      <c r="T206">
        <v>7</v>
      </c>
      <c r="U206">
        <v>0.5</v>
      </c>
      <c r="V206">
        <v>1000</v>
      </c>
      <c r="W206">
        <v>2140</v>
      </c>
      <c r="X206">
        <v>1</v>
      </c>
      <c r="Y206">
        <v>2006</v>
      </c>
      <c r="Z206">
        <v>1</v>
      </c>
      <c r="AA206">
        <v>0.03</v>
      </c>
    </row>
    <row r="207" spans="1:27">
      <c r="A207">
        <v>1205</v>
      </c>
      <c r="B207" t="s">
        <v>4016</v>
      </c>
      <c r="C207">
        <v>103</v>
      </c>
      <c r="D207" t="s">
        <v>3823</v>
      </c>
      <c r="E207">
        <v>1</v>
      </c>
      <c r="F207">
        <v>7.6999999999999999E-2</v>
      </c>
      <c r="G207">
        <v>8001</v>
      </c>
      <c r="H207">
        <v>140</v>
      </c>
      <c r="I207">
        <v>1</v>
      </c>
      <c r="J207">
        <v>8000</v>
      </c>
      <c r="K207">
        <v>205</v>
      </c>
      <c r="L207">
        <v>1</v>
      </c>
      <c r="M207">
        <v>2007</v>
      </c>
      <c r="N207">
        <v>1</v>
      </c>
      <c r="O207">
        <v>0.05</v>
      </c>
      <c r="P207">
        <v>9000</v>
      </c>
      <c r="Q207">
        <v>48</v>
      </c>
      <c r="R207">
        <v>1</v>
      </c>
      <c r="S207" t="s">
        <v>3824</v>
      </c>
      <c r="T207">
        <v>7</v>
      </c>
      <c r="U207">
        <v>0.5</v>
      </c>
      <c r="V207">
        <v>1000</v>
      </c>
      <c r="W207">
        <v>2150</v>
      </c>
      <c r="X207">
        <v>1</v>
      </c>
      <c r="Y207">
        <v>2006</v>
      </c>
      <c r="Z207">
        <v>1</v>
      </c>
      <c r="AA207">
        <v>0.03</v>
      </c>
    </row>
    <row r="208" spans="1:27">
      <c r="A208">
        <v>1206</v>
      </c>
      <c r="B208" t="s">
        <v>4017</v>
      </c>
      <c r="C208">
        <v>104</v>
      </c>
      <c r="D208" t="s">
        <v>3823</v>
      </c>
      <c r="E208">
        <v>1</v>
      </c>
      <c r="F208">
        <v>7.6999999999999999E-2</v>
      </c>
      <c r="G208">
        <v>8001</v>
      </c>
      <c r="H208">
        <v>140</v>
      </c>
      <c r="I208">
        <v>1</v>
      </c>
      <c r="J208">
        <v>8000</v>
      </c>
      <c r="K208">
        <v>210</v>
      </c>
      <c r="L208">
        <v>1</v>
      </c>
      <c r="M208">
        <v>2007</v>
      </c>
      <c r="N208">
        <v>1</v>
      </c>
      <c r="O208">
        <v>0.05</v>
      </c>
      <c r="P208">
        <v>9000</v>
      </c>
      <c r="Q208">
        <v>48</v>
      </c>
      <c r="R208">
        <v>1</v>
      </c>
      <c r="S208" t="s">
        <v>3824</v>
      </c>
      <c r="T208">
        <v>7</v>
      </c>
      <c r="U208">
        <v>0.5</v>
      </c>
      <c r="V208">
        <v>1000</v>
      </c>
      <c r="W208">
        <v>2165</v>
      </c>
      <c r="X208">
        <v>1</v>
      </c>
      <c r="Y208">
        <v>2006</v>
      </c>
      <c r="Z208">
        <v>1</v>
      </c>
      <c r="AA208">
        <v>0.03</v>
      </c>
    </row>
    <row r="209" spans="1:27">
      <c r="A209">
        <v>1207</v>
      </c>
      <c r="B209" t="s">
        <v>4018</v>
      </c>
      <c r="C209">
        <v>104</v>
      </c>
      <c r="D209" t="s">
        <v>3823</v>
      </c>
      <c r="E209">
        <v>1</v>
      </c>
      <c r="F209">
        <v>7.8E-2</v>
      </c>
      <c r="G209">
        <v>8001</v>
      </c>
      <c r="H209">
        <v>140</v>
      </c>
      <c r="I209">
        <v>1</v>
      </c>
      <c r="J209">
        <v>8000</v>
      </c>
      <c r="K209">
        <v>210</v>
      </c>
      <c r="L209">
        <v>1</v>
      </c>
      <c r="M209">
        <v>2007</v>
      </c>
      <c r="N209">
        <v>1</v>
      </c>
      <c r="O209">
        <v>0.05</v>
      </c>
      <c r="P209">
        <v>9000</v>
      </c>
      <c r="Q209">
        <v>49</v>
      </c>
      <c r="R209">
        <v>1</v>
      </c>
      <c r="S209" t="s">
        <v>3824</v>
      </c>
      <c r="T209">
        <v>7</v>
      </c>
      <c r="U209">
        <v>0.5</v>
      </c>
      <c r="V209">
        <v>1000</v>
      </c>
      <c r="W209">
        <v>2175</v>
      </c>
      <c r="X209">
        <v>1</v>
      </c>
      <c r="Y209">
        <v>2006</v>
      </c>
      <c r="Z209">
        <v>1</v>
      </c>
      <c r="AA209">
        <v>0.03</v>
      </c>
    </row>
    <row r="210" spans="1:27">
      <c r="A210">
        <v>1208</v>
      </c>
      <c r="B210" t="s">
        <v>4019</v>
      </c>
      <c r="C210">
        <v>105</v>
      </c>
      <c r="D210" t="s">
        <v>3823</v>
      </c>
      <c r="E210">
        <v>1</v>
      </c>
      <c r="F210">
        <v>7.8E-2</v>
      </c>
      <c r="G210">
        <v>8001</v>
      </c>
      <c r="H210">
        <v>140</v>
      </c>
      <c r="I210">
        <v>1</v>
      </c>
      <c r="J210">
        <v>8000</v>
      </c>
      <c r="K210">
        <v>210</v>
      </c>
      <c r="L210">
        <v>1</v>
      </c>
      <c r="M210">
        <v>2007</v>
      </c>
      <c r="N210">
        <v>1</v>
      </c>
      <c r="O210">
        <v>0.05</v>
      </c>
      <c r="P210">
        <v>9000</v>
      </c>
      <c r="Q210">
        <v>49</v>
      </c>
      <c r="R210">
        <v>1</v>
      </c>
      <c r="S210" t="s">
        <v>3824</v>
      </c>
      <c r="T210">
        <v>7</v>
      </c>
      <c r="U210">
        <v>0.5</v>
      </c>
      <c r="V210">
        <v>1000</v>
      </c>
      <c r="W210">
        <v>2190</v>
      </c>
      <c r="X210">
        <v>1</v>
      </c>
      <c r="Y210">
        <v>2006</v>
      </c>
      <c r="Z210">
        <v>1</v>
      </c>
      <c r="AA210">
        <v>0.03</v>
      </c>
    </row>
    <row r="211" spans="1:27">
      <c r="A211">
        <v>1209</v>
      </c>
      <c r="B211" t="s">
        <v>4020</v>
      </c>
      <c r="C211">
        <v>105</v>
      </c>
      <c r="D211" t="s">
        <v>3823</v>
      </c>
      <c r="E211">
        <v>1</v>
      </c>
      <c r="F211">
        <v>7.8E-2</v>
      </c>
      <c r="G211">
        <v>8001</v>
      </c>
      <c r="H211">
        <v>140</v>
      </c>
      <c r="I211">
        <v>1</v>
      </c>
      <c r="J211">
        <v>8000</v>
      </c>
      <c r="K211">
        <v>210</v>
      </c>
      <c r="L211">
        <v>1</v>
      </c>
      <c r="M211">
        <v>2007</v>
      </c>
      <c r="N211">
        <v>1</v>
      </c>
      <c r="O211">
        <v>0.05</v>
      </c>
      <c r="P211">
        <v>9000</v>
      </c>
      <c r="Q211">
        <v>49</v>
      </c>
      <c r="R211">
        <v>1</v>
      </c>
      <c r="S211" t="s">
        <v>3824</v>
      </c>
      <c r="T211">
        <v>7</v>
      </c>
      <c r="U211">
        <v>0.5</v>
      </c>
      <c r="V211">
        <v>1000</v>
      </c>
      <c r="W211">
        <v>2200</v>
      </c>
      <c r="X211">
        <v>1</v>
      </c>
      <c r="Y211">
        <v>2006</v>
      </c>
      <c r="Z211">
        <v>1</v>
      </c>
      <c r="AA211">
        <v>0.03</v>
      </c>
    </row>
    <row r="212" spans="1:27">
      <c r="A212">
        <v>1210</v>
      </c>
      <c r="B212" t="s">
        <v>4021</v>
      </c>
      <c r="C212">
        <v>106</v>
      </c>
      <c r="D212" t="s">
        <v>3823</v>
      </c>
      <c r="E212">
        <v>1</v>
      </c>
      <c r="F212">
        <v>7.8E-2</v>
      </c>
      <c r="G212">
        <v>8001</v>
      </c>
      <c r="H212">
        <v>140</v>
      </c>
      <c r="I212">
        <v>1</v>
      </c>
      <c r="J212">
        <v>8000</v>
      </c>
      <c r="K212">
        <v>215</v>
      </c>
      <c r="L212">
        <v>1</v>
      </c>
      <c r="M212">
        <v>2007</v>
      </c>
      <c r="N212">
        <v>1</v>
      </c>
      <c r="O212">
        <v>0.05</v>
      </c>
      <c r="P212">
        <v>9000</v>
      </c>
      <c r="Q212">
        <v>50</v>
      </c>
      <c r="R212">
        <v>1</v>
      </c>
      <c r="S212" t="s">
        <v>3824</v>
      </c>
      <c r="T212">
        <v>7</v>
      </c>
      <c r="U212">
        <v>0.5</v>
      </c>
      <c r="V212">
        <v>1000</v>
      </c>
      <c r="W212">
        <v>2215</v>
      </c>
      <c r="X212">
        <v>1</v>
      </c>
      <c r="Y212">
        <v>2006</v>
      </c>
      <c r="Z212">
        <v>1</v>
      </c>
      <c r="AA212">
        <v>0.03</v>
      </c>
    </row>
    <row r="213" spans="1:27">
      <c r="A213">
        <v>1211</v>
      </c>
      <c r="B213" t="s">
        <v>4022</v>
      </c>
      <c r="C213">
        <v>106</v>
      </c>
      <c r="D213" t="s">
        <v>3823</v>
      </c>
      <c r="E213">
        <v>1</v>
      </c>
      <c r="F213">
        <v>7.8E-2</v>
      </c>
      <c r="G213">
        <v>8001</v>
      </c>
      <c r="H213">
        <v>145</v>
      </c>
      <c r="I213">
        <v>1</v>
      </c>
      <c r="J213">
        <v>8000</v>
      </c>
      <c r="K213">
        <v>215</v>
      </c>
      <c r="L213">
        <v>1</v>
      </c>
      <c r="M213">
        <v>2007</v>
      </c>
      <c r="N213">
        <v>1</v>
      </c>
      <c r="O213">
        <v>0.05</v>
      </c>
      <c r="P213">
        <v>9000</v>
      </c>
      <c r="Q213">
        <v>50</v>
      </c>
      <c r="R213">
        <v>1</v>
      </c>
      <c r="S213" t="s">
        <v>3824</v>
      </c>
      <c r="T213">
        <v>7</v>
      </c>
      <c r="U213">
        <v>0.5</v>
      </c>
      <c r="V213">
        <v>1000</v>
      </c>
      <c r="W213">
        <v>2225</v>
      </c>
      <c r="X213">
        <v>1</v>
      </c>
      <c r="Y213">
        <v>2006</v>
      </c>
      <c r="Z213">
        <v>1</v>
      </c>
      <c r="AA213">
        <v>0.03</v>
      </c>
    </row>
    <row r="214" spans="1:27">
      <c r="A214">
        <v>1212</v>
      </c>
      <c r="B214" t="s">
        <v>4023</v>
      </c>
      <c r="C214">
        <v>107</v>
      </c>
      <c r="D214" t="s">
        <v>3823</v>
      </c>
      <c r="E214">
        <v>1</v>
      </c>
      <c r="F214">
        <v>7.9000000000000001E-2</v>
      </c>
      <c r="G214">
        <v>8001</v>
      </c>
      <c r="H214">
        <v>145</v>
      </c>
      <c r="I214">
        <v>1</v>
      </c>
      <c r="J214">
        <v>8000</v>
      </c>
      <c r="K214">
        <v>215</v>
      </c>
      <c r="L214">
        <v>1</v>
      </c>
      <c r="M214">
        <v>2007</v>
      </c>
      <c r="N214">
        <v>1</v>
      </c>
      <c r="O214">
        <v>0.05</v>
      </c>
      <c r="P214">
        <v>9000</v>
      </c>
      <c r="Q214">
        <v>50</v>
      </c>
      <c r="R214">
        <v>1</v>
      </c>
      <c r="S214" t="s">
        <v>3824</v>
      </c>
      <c r="T214">
        <v>7</v>
      </c>
      <c r="U214">
        <v>0.5</v>
      </c>
      <c r="V214">
        <v>1000</v>
      </c>
      <c r="W214">
        <v>2240</v>
      </c>
      <c r="X214">
        <v>1</v>
      </c>
      <c r="Y214">
        <v>2006</v>
      </c>
      <c r="Z214">
        <v>1</v>
      </c>
      <c r="AA214">
        <v>0.03</v>
      </c>
    </row>
    <row r="215" spans="1:27">
      <c r="A215">
        <v>1213</v>
      </c>
      <c r="B215" t="s">
        <v>4024</v>
      </c>
      <c r="C215">
        <v>107</v>
      </c>
      <c r="D215" t="s">
        <v>3823</v>
      </c>
      <c r="E215">
        <v>1</v>
      </c>
      <c r="F215">
        <v>7.9000000000000001E-2</v>
      </c>
      <c r="G215">
        <v>8001</v>
      </c>
      <c r="H215">
        <v>145</v>
      </c>
      <c r="I215">
        <v>1</v>
      </c>
      <c r="J215">
        <v>8000</v>
      </c>
      <c r="K215">
        <v>215</v>
      </c>
      <c r="L215">
        <v>1</v>
      </c>
      <c r="M215">
        <v>2007</v>
      </c>
      <c r="N215">
        <v>1</v>
      </c>
      <c r="O215">
        <v>0.05</v>
      </c>
      <c r="P215">
        <v>9000</v>
      </c>
      <c r="Q215">
        <v>51</v>
      </c>
      <c r="R215">
        <v>1</v>
      </c>
      <c r="S215" t="s">
        <v>3824</v>
      </c>
      <c r="T215">
        <v>7</v>
      </c>
      <c r="U215">
        <v>0.5</v>
      </c>
      <c r="V215">
        <v>1000</v>
      </c>
      <c r="W215">
        <v>2255</v>
      </c>
      <c r="X215">
        <v>1</v>
      </c>
      <c r="Y215">
        <v>2006</v>
      </c>
      <c r="Z215">
        <v>1</v>
      </c>
      <c r="AA215">
        <v>0.03</v>
      </c>
    </row>
    <row r="216" spans="1:27">
      <c r="A216">
        <v>1214</v>
      </c>
      <c r="B216" t="s">
        <v>4025</v>
      </c>
      <c r="C216">
        <v>108</v>
      </c>
      <c r="D216" t="s">
        <v>3823</v>
      </c>
      <c r="E216">
        <v>1</v>
      </c>
      <c r="F216">
        <v>7.9000000000000001E-2</v>
      </c>
      <c r="G216">
        <v>8001</v>
      </c>
      <c r="H216">
        <v>145</v>
      </c>
      <c r="I216">
        <v>1</v>
      </c>
      <c r="J216">
        <v>8000</v>
      </c>
      <c r="K216">
        <v>220</v>
      </c>
      <c r="L216">
        <v>1</v>
      </c>
      <c r="M216">
        <v>2007</v>
      </c>
      <c r="N216">
        <v>1</v>
      </c>
      <c r="O216">
        <v>0.05</v>
      </c>
      <c r="P216">
        <v>9000</v>
      </c>
      <c r="Q216">
        <v>51</v>
      </c>
      <c r="R216">
        <v>1</v>
      </c>
      <c r="S216" t="s">
        <v>3824</v>
      </c>
      <c r="T216">
        <v>7</v>
      </c>
      <c r="U216">
        <v>0.5</v>
      </c>
      <c r="V216">
        <v>1000</v>
      </c>
      <c r="W216">
        <v>2265</v>
      </c>
      <c r="X216">
        <v>1</v>
      </c>
      <c r="Y216">
        <v>2006</v>
      </c>
      <c r="Z216">
        <v>1</v>
      </c>
      <c r="AA216">
        <v>0.03</v>
      </c>
    </row>
    <row r="217" spans="1:27">
      <c r="A217">
        <v>1215</v>
      </c>
      <c r="B217" t="s">
        <v>4026</v>
      </c>
      <c r="C217">
        <v>108</v>
      </c>
      <c r="D217" t="s">
        <v>3823</v>
      </c>
      <c r="E217">
        <v>1</v>
      </c>
      <c r="F217">
        <v>7.9000000000000001E-2</v>
      </c>
      <c r="G217">
        <v>8001</v>
      </c>
      <c r="H217">
        <v>145</v>
      </c>
      <c r="I217">
        <v>1</v>
      </c>
      <c r="J217">
        <v>8000</v>
      </c>
      <c r="K217">
        <v>220</v>
      </c>
      <c r="L217">
        <v>1</v>
      </c>
      <c r="M217">
        <v>2007</v>
      </c>
      <c r="N217">
        <v>1</v>
      </c>
      <c r="O217">
        <v>0.05</v>
      </c>
      <c r="P217">
        <v>9000</v>
      </c>
      <c r="Q217">
        <v>51</v>
      </c>
      <c r="R217">
        <v>1</v>
      </c>
      <c r="S217" t="s">
        <v>3824</v>
      </c>
      <c r="T217">
        <v>7</v>
      </c>
      <c r="U217">
        <v>0.5</v>
      </c>
      <c r="V217">
        <v>1000</v>
      </c>
      <c r="W217">
        <v>2280</v>
      </c>
      <c r="X217">
        <v>1</v>
      </c>
      <c r="Y217">
        <v>2006</v>
      </c>
      <c r="Z217">
        <v>1</v>
      </c>
      <c r="AA217">
        <v>0.03</v>
      </c>
    </row>
    <row r="218" spans="1:27">
      <c r="A218">
        <v>1216</v>
      </c>
      <c r="B218" t="s">
        <v>4027</v>
      </c>
      <c r="C218">
        <v>109</v>
      </c>
      <c r="D218" t="s">
        <v>3823</v>
      </c>
      <c r="E218">
        <v>1</v>
      </c>
      <c r="F218">
        <v>0.08</v>
      </c>
      <c r="G218">
        <v>8001</v>
      </c>
      <c r="H218">
        <v>145</v>
      </c>
      <c r="I218">
        <v>1</v>
      </c>
      <c r="J218">
        <v>8000</v>
      </c>
      <c r="K218">
        <v>220</v>
      </c>
      <c r="L218">
        <v>1</v>
      </c>
      <c r="M218">
        <v>2007</v>
      </c>
      <c r="N218">
        <v>1</v>
      </c>
      <c r="O218">
        <v>0.05</v>
      </c>
      <c r="P218">
        <v>9000</v>
      </c>
      <c r="Q218">
        <v>51</v>
      </c>
      <c r="R218">
        <v>1</v>
      </c>
      <c r="S218" t="s">
        <v>3824</v>
      </c>
      <c r="T218">
        <v>7</v>
      </c>
      <c r="U218">
        <v>0.5</v>
      </c>
      <c r="V218">
        <v>1000</v>
      </c>
      <c r="W218">
        <v>2290</v>
      </c>
      <c r="X218">
        <v>1</v>
      </c>
      <c r="Y218">
        <v>2006</v>
      </c>
      <c r="Z218">
        <v>1</v>
      </c>
      <c r="AA218">
        <v>0.03</v>
      </c>
    </row>
    <row r="219" spans="1:27">
      <c r="A219">
        <v>1217</v>
      </c>
      <c r="B219" t="s">
        <v>4012</v>
      </c>
      <c r="C219">
        <v>109</v>
      </c>
      <c r="D219" t="s">
        <v>3823</v>
      </c>
      <c r="E219">
        <v>1</v>
      </c>
      <c r="F219">
        <v>0.08</v>
      </c>
      <c r="G219">
        <v>8001</v>
      </c>
      <c r="H219">
        <v>150</v>
      </c>
      <c r="I219">
        <v>1</v>
      </c>
      <c r="J219">
        <v>8000</v>
      </c>
      <c r="K219">
        <v>220</v>
      </c>
      <c r="L219">
        <v>1</v>
      </c>
      <c r="M219">
        <v>2007</v>
      </c>
      <c r="N219">
        <v>1</v>
      </c>
      <c r="O219">
        <v>0.05</v>
      </c>
      <c r="P219">
        <v>9000</v>
      </c>
      <c r="Q219">
        <v>52</v>
      </c>
      <c r="R219">
        <v>1</v>
      </c>
      <c r="S219" t="s">
        <v>3824</v>
      </c>
      <c r="T219">
        <v>7</v>
      </c>
      <c r="U219">
        <v>0.5</v>
      </c>
      <c r="V219">
        <v>1000</v>
      </c>
      <c r="W219">
        <v>2305</v>
      </c>
      <c r="X219">
        <v>1</v>
      </c>
      <c r="Y219">
        <v>2006</v>
      </c>
      <c r="Z219">
        <v>1</v>
      </c>
      <c r="AA219">
        <v>0.03</v>
      </c>
    </row>
    <row r="220" spans="1:27">
      <c r="A220">
        <v>1218</v>
      </c>
      <c r="B220" t="s">
        <v>4028</v>
      </c>
      <c r="C220">
        <v>110</v>
      </c>
      <c r="D220" t="s">
        <v>3823</v>
      </c>
      <c r="E220">
        <v>1</v>
      </c>
      <c r="F220">
        <v>0.08</v>
      </c>
      <c r="G220">
        <v>8001</v>
      </c>
      <c r="H220">
        <v>150</v>
      </c>
      <c r="I220">
        <v>1</v>
      </c>
      <c r="J220">
        <v>8000</v>
      </c>
      <c r="K220">
        <v>225</v>
      </c>
      <c r="L220">
        <v>1</v>
      </c>
      <c r="M220">
        <v>2007</v>
      </c>
      <c r="N220">
        <v>1</v>
      </c>
      <c r="O220">
        <v>0.05</v>
      </c>
      <c r="P220">
        <v>9000</v>
      </c>
      <c r="Q220">
        <v>52</v>
      </c>
      <c r="R220">
        <v>1</v>
      </c>
      <c r="S220" t="s">
        <v>3824</v>
      </c>
      <c r="T220">
        <v>7</v>
      </c>
      <c r="U220">
        <v>0.5</v>
      </c>
      <c r="V220">
        <v>1000</v>
      </c>
      <c r="W220">
        <v>2320</v>
      </c>
      <c r="X220">
        <v>1</v>
      </c>
      <c r="Y220">
        <v>2006</v>
      </c>
      <c r="Z220">
        <v>1</v>
      </c>
      <c r="AA220">
        <v>0.03</v>
      </c>
    </row>
    <row r="221" spans="1:27">
      <c r="A221">
        <v>1219</v>
      </c>
      <c r="B221" t="s">
        <v>4029</v>
      </c>
      <c r="C221">
        <v>110</v>
      </c>
      <c r="D221" t="s">
        <v>3823</v>
      </c>
      <c r="E221">
        <v>1</v>
      </c>
      <c r="F221">
        <v>0.08</v>
      </c>
      <c r="G221">
        <v>8001</v>
      </c>
      <c r="H221">
        <v>150</v>
      </c>
      <c r="I221">
        <v>1</v>
      </c>
      <c r="J221">
        <v>8000</v>
      </c>
      <c r="K221">
        <v>225</v>
      </c>
      <c r="L221">
        <v>1</v>
      </c>
      <c r="M221">
        <v>2007</v>
      </c>
      <c r="N221">
        <v>1</v>
      </c>
      <c r="O221">
        <v>0.05</v>
      </c>
      <c r="P221">
        <v>9000</v>
      </c>
      <c r="Q221">
        <v>52</v>
      </c>
      <c r="R221">
        <v>1</v>
      </c>
      <c r="S221" t="s">
        <v>3824</v>
      </c>
      <c r="T221">
        <v>7</v>
      </c>
      <c r="U221">
        <v>0.5</v>
      </c>
      <c r="V221">
        <v>1000</v>
      </c>
      <c r="W221">
        <v>2330</v>
      </c>
      <c r="X221">
        <v>1</v>
      </c>
      <c r="Y221">
        <v>2006</v>
      </c>
      <c r="Z221">
        <v>1</v>
      </c>
      <c r="AA221">
        <v>0.03</v>
      </c>
    </row>
    <row r="222" spans="1:27">
      <c r="A222">
        <v>1220</v>
      </c>
      <c r="B222" t="s">
        <v>4011</v>
      </c>
      <c r="C222">
        <v>111</v>
      </c>
      <c r="D222" t="s">
        <v>3823</v>
      </c>
      <c r="E222">
        <v>1</v>
      </c>
      <c r="F222">
        <v>8.1000000000000003E-2</v>
      </c>
      <c r="G222">
        <v>8001</v>
      </c>
      <c r="H222">
        <v>150</v>
      </c>
      <c r="I222">
        <v>1</v>
      </c>
      <c r="J222">
        <v>8000</v>
      </c>
      <c r="K222">
        <v>225</v>
      </c>
      <c r="L222">
        <v>1</v>
      </c>
      <c r="M222">
        <v>2007</v>
      </c>
      <c r="N222">
        <v>1</v>
      </c>
      <c r="O222">
        <v>0.05</v>
      </c>
      <c r="P222">
        <v>9000</v>
      </c>
      <c r="Q222">
        <v>53</v>
      </c>
      <c r="R222">
        <v>1</v>
      </c>
      <c r="S222" t="s">
        <v>3824</v>
      </c>
      <c r="T222">
        <v>8</v>
      </c>
      <c r="U222">
        <v>0.5</v>
      </c>
      <c r="V222">
        <v>1000</v>
      </c>
      <c r="W222">
        <v>2345</v>
      </c>
      <c r="X222">
        <v>1</v>
      </c>
      <c r="Y222">
        <v>2006</v>
      </c>
      <c r="Z222">
        <v>1</v>
      </c>
      <c r="AA222">
        <v>0.03</v>
      </c>
    </row>
    <row r="223" spans="1:27">
      <c r="A223">
        <v>1221</v>
      </c>
      <c r="B223" t="s">
        <v>4030</v>
      </c>
      <c r="C223">
        <v>111</v>
      </c>
      <c r="D223" t="s">
        <v>3823</v>
      </c>
      <c r="E223">
        <v>1</v>
      </c>
      <c r="F223">
        <v>8.1000000000000003E-2</v>
      </c>
      <c r="G223">
        <v>8001</v>
      </c>
      <c r="H223">
        <v>150</v>
      </c>
      <c r="I223">
        <v>1</v>
      </c>
      <c r="J223">
        <v>8000</v>
      </c>
      <c r="K223">
        <v>225</v>
      </c>
      <c r="L223">
        <v>1</v>
      </c>
      <c r="M223">
        <v>2007</v>
      </c>
      <c r="N223">
        <v>1</v>
      </c>
      <c r="O223">
        <v>0.05</v>
      </c>
      <c r="P223">
        <v>9000</v>
      </c>
      <c r="Q223">
        <v>53</v>
      </c>
      <c r="R223">
        <v>1</v>
      </c>
      <c r="S223" t="s">
        <v>3824</v>
      </c>
      <c r="T223">
        <v>8</v>
      </c>
      <c r="U223">
        <v>0.5</v>
      </c>
      <c r="V223">
        <v>1000</v>
      </c>
      <c r="W223">
        <v>2355</v>
      </c>
      <c r="X223">
        <v>1</v>
      </c>
      <c r="Y223">
        <v>2006</v>
      </c>
      <c r="Z223">
        <v>1</v>
      </c>
      <c r="AA223">
        <v>0.03</v>
      </c>
    </row>
    <row r="224" spans="1:27">
      <c r="A224">
        <v>1222</v>
      </c>
      <c r="B224" t="s">
        <v>4031</v>
      </c>
      <c r="C224">
        <v>112</v>
      </c>
      <c r="D224" t="s">
        <v>3823</v>
      </c>
      <c r="E224">
        <v>1</v>
      </c>
      <c r="F224">
        <v>8.1000000000000003E-2</v>
      </c>
      <c r="G224">
        <v>8001</v>
      </c>
      <c r="H224">
        <v>150</v>
      </c>
      <c r="I224">
        <v>1</v>
      </c>
      <c r="J224">
        <v>8000</v>
      </c>
      <c r="K224">
        <v>230</v>
      </c>
      <c r="L224">
        <v>1</v>
      </c>
      <c r="M224">
        <v>2007</v>
      </c>
      <c r="N224">
        <v>1</v>
      </c>
      <c r="O224">
        <v>0.05</v>
      </c>
      <c r="P224">
        <v>9000</v>
      </c>
      <c r="Q224">
        <v>53</v>
      </c>
      <c r="R224">
        <v>1</v>
      </c>
      <c r="S224" t="s">
        <v>3824</v>
      </c>
      <c r="T224">
        <v>8</v>
      </c>
      <c r="U224">
        <v>0.5</v>
      </c>
      <c r="V224">
        <v>1000</v>
      </c>
      <c r="W224">
        <v>2370</v>
      </c>
      <c r="X224">
        <v>1</v>
      </c>
      <c r="Y224">
        <v>2006</v>
      </c>
      <c r="Z224">
        <v>1</v>
      </c>
      <c r="AA224">
        <v>0.03</v>
      </c>
    </row>
    <row r="225" spans="1:27">
      <c r="A225">
        <v>1223</v>
      </c>
      <c r="B225" t="s">
        <v>4032</v>
      </c>
      <c r="C225">
        <v>112</v>
      </c>
      <c r="D225" t="s">
        <v>3823</v>
      </c>
      <c r="E225">
        <v>1</v>
      </c>
      <c r="F225">
        <v>8.1000000000000003E-2</v>
      </c>
      <c r="G225">
        <v>8001</v>
      </c>
      <c r="H225">
        <v>155</v>
      </c>
      <c r="I225">
        <v>1</v>
      </c>
      <c r="J225">
        <v>8000</v>
      </c>
      <c r="K225">
        <v>230</v>
      </c>
      <c r="L225">
        <v>1</v>
      </c>
      <c r="M225">
        <v>2007</v>
      </c>
      <c r="N225">
        <v>1</v>
      </c>
      <c r="O225">
        <v>0.05</v>
      </c>
      <c r="P225">
        <v>9000</v>
      </c>
      <c r="Q225">
        <v>54</v>
      </c>
      <c r="R225">
        <v>1</v>
      </c>
      <c r="S225" t="s">
        <v>3824</v>
      </c>
      <c r="T225">
        <v>8</v>
      </c>
      <c r="U225">
        <v>0.5</v>
      </c>
      <c r="V225">
        <v>1000</v>
      </c>
      <c r="W225">
        <v>2385</v>
      </c>
      <c r="X225">
        <v>1</v>
      </c>
      <c r="Y225">
        <v>2006</v>
      </c>
      <c r="Z225">
        <v>1</v>
      </c>
      <c r="AA225">
        <v>0.03</v>
      </c>
    </row>
    <row r="226" spans="1:27">
      <c r="A226">
        <v>1224</v>
      </c>
      <c r="B226" t="s">
        <v>4033</v>
      </c>
      <c r="C226">
        <v>113</v>
      </c>
      <c r="D226" t="s">
        <v>3823</v>
      </c>
      <c r="E226">
        <v>1</v>
      </c>
      <c r="F226">
        <v>8.1000000000000003E-2</v>
      </c>
      <c r="G226">
        <v>8001</v>
      </c>
      <c r="H226">
        <v>155</v>
      </c>
      <c r="I226">
        <v>1</v>
      </c>
      <c r="J226">
        <v>8000</v>
      </c>
      <c r="K226">
        <v>230</v>
      </c>
      <c r="L226">
        <v>1</v>
      </c>
      <c r="M226">
        <v>2007</v>
      </c>
      <c r="N226">
        <v>1</v>
      </c>
      <c r="O226">
        <v>0.05</v>
      </c>
      <c r="P226">
        <v>9000</v>
      </c>
      <c r="Q226">
        <v>54</v>
      </c>
      <c r="R226">
        <v>1</v>
      </c>
      <c r="S226" t="s">
        <v>3824</v>
      </c>
      <c r="T226">
        <v>8</v>
      </c>
      <c r="U226">
        <v>0.5</v>
      </c>
      <c r="V226">
        <v>1000</v>
      </c>
      <c r="W226">
        <v>2395</v>
      </c>
      <c r="X226">
        <v>1</v>
      </c>
      <c r="Y226">
        <v>2006</v>
      </c>
      <c r="Z226">
        <v>1</v>
      </c>
      <c r="AA226">
        <v>0.03</v>
      </c>
    </row>
    <row r="227" spans="1:27">
      <c r="A227">
        <v>1225</v>
      </c>
      <c r="B227" t="s">
        <v>4024</v>
      </c>
      <c r="C227">
        <v>113</v>
      </c>
      <c r="D227" t="s">
        <v>3823</v>
      </c>
      <c r="E227">
        <v>1</v>
      </c>
      <c r="F227">
        <v>8.2000000000000003E-2</v>
      </c>
      <c r="G227">
        <v>8001</v>
      </c>
      <c r="H227">
        <v>155</v>
      </c>
      <c r="I227">
        <v>1</v>
      </c>
      <c r="J227">
        <v>8000</v>
      </c>
      <c r="K227">
        <v>230</v>
      </c>
      <c r="L227">
        <v>1</v>
      </c>
      <c r="M227">
        <v>2007</v>
      </c>
      <c r="N227">
        <v>1</v>
      </c>
      <c r="O227">
        <v>0.05</v>
      </c>
      <c r="P227">
        <v>9000</v>
      </c>
      <c r="Q227">
        <v>54</v>
      </c>
      <c r="R227">
        <v>1</v>
      </c>
      <c r="S227" t="s">
        <v>3824</v>
      </c>
      <c r="T227">
        <v>8</v>
      </c>
      <c r="U227">
        <v>0.5</v>
      </c>
      <c r="V227">
        <v>1000</v>
      </c>
      <c r="W227">
        <v>2410</v>
      </c>
      <c r="X227">
        <v>1</v>
      </c>
      <c r="Y227">
        <v>2006</v>
      </c>
      <c r="Z227">
        <v>1</v>
      </c>
      <c r="AA227">
        <v>0.03</v>
      </c>
    </row>
    <row r="228" spans="1:27">
      <c r="A228">
        <v>1226</v>
      </c>
      <c r="B228" t="s">
        <v>4034</v>
      </c>
      <c r="C228">
        <v>114</v>
      </c>
      <c r="D228" t="s">
        <v>3823</v>
      </c>
      <c r="E228">
        <v>1</v>
      </c>
      <c r="F228">
        <v>8.2000000000000003E-2</v>
      </c>
      <c r="G228">
        <v>8001</v>
      </c>
      <c r="H228">
        <v>155</v>
      </c>
      <c r="I228">
        <v>1</v>
      </c>
      <c r="J228">
        <v>8000</v>
      </c>
      <c r="K228">
        <v>235</v>
      </c>
      <c r="L228">
        <v>1</v>
      </c>
      <c r="M228">
        <v>2007</v>
      </c>
      <c r="N228">
        <v>1</v>
      </c>
      <c r="O228">
        <v>0.05</v>
      </c>
      <c r="P228">
        <v>9000</v>
      </c>
      <c r="Q228">
        <v>55</v>
      </c>
      <c r="R228">
        <v>1</v>
      </c>
      <c r="S228" t="s">
        <v>3824</v>
      </c>
      <c r="T228">
        <v>8</v>
      </c>
      <c r="U228">
        <v>0.5</v>
      </c>
      <c r="V228">
        <v>1000</v>
      </c>
      <c r="W228">
        <v>2425</v>
      </c>
      <c r="X228">
        <v>1</v>
      </c>
      <c r="Y228">
        <v>2006</v>
      </c>
      <c r="Z228">
        <v>1</v>
      </c>
      <c r="AA228">
        <v>0.03</v>
      </c>
    </row>
    <row r="229" spans="1:27">
      <c r="A229">
        <v>1227</v>
      </c>
      <c r="B229" t="s">
        <v>4035</v>
      </c>
      <c r="C229">
        <v>114</v>
      </c>
      <c r="D229" t="s">
        <v>3823</v>
      </c>
      <c r="E229">
        <v>1</v>
      </c>
      <c r="F229">
        <v>8.2000000000000003E-2</v>
      </c>
      <c r="G229">
        <v>8001</v>
      </c>
      <c r="H229">
        <v>155</v>
      </c>
      <c r="I229">
        <v>1</v>
      </c>
      <c r="J229">
        <v>8000</v>
      </c>
      <c r="K229">
        <v>235</v>
      </c>
      <c r="L229">
        <v>1</v>
      </c>
      <c r="M229">
        <v>2007</v>
      </c>
      <c r="N229">
        <v>1</v>
      </c>
      <c r="O229">
        <v>0.05</v>
      </c>
      <c r="P229">
        <v>9000</v>
      </c>
      <c r="Q229">
        <v>55</v>
      </c>
      <c r="R229">
        <v>1</v>
      </c>
      <c r="S229" t="s">
        <v>3824</v>
      </c>
      <c r="T229">
        <v>8</v>
      </c>
      <c r="U229">
        <v>0.5</v>
      </c>
      <c r="V229">
        <v>1000</v>
      </c>
      <c r="W229">
        <v>2435</v>
      </c>
      <c r="X229">
        <v>1</v>
      </c>
      <c r="Y229">
        <v>2006</v>
      </c>
      <c r="Z229">
        <v>1</v>
      </c>
      <c r="AA229">
        <v>0.03</v>
      </c>
    </row>
    <row r="230" spans="1:27">
      <c r="A230">
        <v>1228</v>
      </c>
      <c r="B230" t="s">
        <v>4036</v>
      </c>
      <c r="C230">
        <v>115</v>
      </c>
      <c r="D230" t="s">
        <v>3823</v>
      </c>
      <c r="E230">
        <v>1</v>
      </c>
      <c r="F230">
        <v>8.2000000000000003E-2</v>
      </c>
      <c r="G230">
        <v>8001</v>
      </c>
      <c r="H230">
        <v>155</v>
      </c>
      <c r="I230">
        <v>1</v>
      </c>
      <c r="J230">
        <v>8000</v>
      </c>
      <c r="K230">
        <v>235</v>
      </c>
      <c r="L230">
        <v>1</v>
      </c>
      <c r="M230">
        <v>2007</v>
      </c>
      <c r="N230">
        <v>1</v>
      </c>
      <c r="O230">
        <v>0.05</v>
      </c>
      <c r="P230">
        <v>9000</v>
      </c>
      <c r="Q230">
        <v>55</v>
      </c>
      <c r="R230">
        <v>1</v>
      </c>
      <c r="S230" t="s">
        <v>3824</v>
      </c>
      <c r="T230">
        <v>8</v>
      </c>
      <c r="U230">
        <v>0.5</v>
      </c>
      <c r="V230">
        <v>1000</v>
      </c>
      <c r="W230">
        <v>2450</v>
      </c>
      <c r="X230">
        <v>1</v>
      </c>
      <c r="Y230">
        <v>2006</v>
      </c>
      <c r="Z230">
        <v>1</v>
      </c>
      <c r="AA230">
        <v>0.03</v>
      </c>
    </row>
    <row r="231" spans="1:27">
      <c r="A231">
        <v>1229</v>
      </c>
      <c r="B231" t="s">
        <v>4037</v>
      </c>
      <c r="C231">
        <v>115</v>
      </c>
      <c r="D231" t="s">
        <v>3823</v>
      </c>
      <c r="E231">
        <v>1</v>
      </c>
      <c r="F231">
        <v>8.3000000000000004E-2</v>
      </c>
      <c r="G231">
        <v>8001</v>
      </c>
      <c r="H231">
        <v>160</v>
      </c>
      <c r="I231">
        <v>1</v>
      </c>
      <c r="J231">
        <v>8000</v>
      </c>
      <c r="K231">
        <v>235</v>
      </c>
      <c r="L231">
        <v>1</v>
      </c>
      <c r="M231">
        <v>2007</v>
      </c>
      <c r="N231">
        <v>1</v>
      </c>
      <c r="O231">
        <v>0.05</v>
      </c>
      <c r="P231">
        <v>9000</v>
      </c>
      <c r="Q231">
        <v>56</v>
      </c>
      <c r="R231">
        <v>1</v>
      </c>
      <c r="S231" t="s">
        <v>3824</v>
      </c>
      <c r="T231">
        <v>8</v>
      </c>
      <c r="U231">
        <v>0.5</v>
      </c>
      <c r="V231">
        <v>1000</v>
      </c>
      <c r="W231">
        <v>2465</v>
      </c>
      <c r="X231">
        <v>1</v>
      </c>
      <c r="Y231">
        <v>2006</v>
      </c>
      <c r="Z231">
        <v>1</v>
      </c>
      <c r="AA231">
        <v>0.03</v>
      </c>
    </row>
    <row r="232" spans="1:27">
      <c r="A232">
        <v>1230</v>
      </c>
      <c r="B232" t="s">
        <v>4038</v>
      </c>
      <c r="C232">
        <v>116</v>
      </c>
      <c r="D232" t="s">
        <v>3823</v>
      </c>
      <c r="E232">
        <v>1</v>
      </c>
      <c r="F232">
        <v>8.3000000000000004E-2</v>
      </c>
      <c r="G232">
        <v>8001</v>
      </c>
      <c r="H232">
        <v>160</v>
      </c>
      <c r="I232">
        <v>1</v>
      </c>
      <c r="J232">
        <v>8000</v>
      </c>
      <c r="K232">
        <v>240</v>
      </c>
      <c r="L232">
        <v>1</v>
      </c>
      <c r="M232">
        <v>2007</v>
      </c>
      <c r="N232">
        <v>1</v>
      </c>
      <c r="O232">
        <v>0.05</v>
      </c>
      <c r="P232">
        <v>9000</v>
      </c>
      <c r="Q232">
        <v>56</v>
      </c>
      <c r="R232">
        <v>1</v>
      </c>
      <c r="S232" t="s">
        <v>3824</v>
      </c>
      <c r="T232">
        <v>8</v>
      </c>
      <c r="U232">
        <v>0.5</v>
      </c>
      <c r="V232">
        <v>1000</v>
      </c>
      <c r="W232">
        <v>2475</v>
      </c>
      <c r="X232">
        <v>1</v>
      </c>
      <c r="Y232">
        <v>2006</v>
      </c>
      <c r="Z232">
        <v>1</v>
      </c>
      <c r="AA232">
        <v>0.03</v>
      </c>
    </row>
    <row r="233" spans="1:27">
      <c r="A233">
        <v>1231</v>
      </c>
      <c r="B233" t="s">
        <v>4039</v>
      </c>
      <c r="C233">
        <v>116</v>
      </c>
      <c r="D233" t="s">
        <v>3823</v>
      </c>
      <c r="E233">
        <v>1</v>
      </c>
      <c r="F233">
        <v>8.3000000000000004E-2</v>
      </c>
      <c r="G233">
        <v>8001</v>
      </c>
      <c r="H233">
        <v>160</v>
      </c>
      <c r="I233">
        <v>1</v>
      </c>
      <c r="J233">
        <v>8000</v>
      </c>
      <c r="K233">
        <v>240</v>
      </c>
      <c r="L233">
        <v>1</v>
      </c>
      <c r="M233">
        <v>2007</v>
      </c>
      <c r="N233">
        <v>1</v>
      </c>
      <c r="O233">
        <v>0.05</v>
      </c>
      <c r="P233">
        <v>9000</v>
      </c>
      <c r="Q233">
        <v>56</v>
      </c>
      <c r="R233">
        <v>1</v>
      </c>
      <c r="S233" t="s">
        <v>3824</v>
      </c>
      <c r="T233">
        <v>8</v>
      </c>
      <c r="U233">
        <v>0.5</v>
      </c>
      <c r="V233">
        <v>1000</v>
      </c>
      <c r="W233">
        <v>2490</v>
      </c>
      <c r="X233">
        <v>1</v>
      </c>
      <c r="Y233">
        <v>2006</v>
      </c>
      <c r="Z233">
        <v>1</v>
      </c>
      <c r="AA233">
        <v>0.03</v>
      </c>
    </row>
    <row r="234" spans="1:27">
      <c r="A234">
        <v>1232</v>
      </c>
      <c r="B234" t="s">
        <v>4040</v>
      </c>
      <c r="C234">
        <v>117</v>
      </c>
      <c r="D234" t="s">
        <v>3823</v>
      </c>
      <c r="E234">
        <v>1</v>
      </c>
      <c r="F234">
        <v>8.3000000000000004E-2</v>
      </c>
      <c r="G234">
        <v>8001</v>
      </c>
      <c r="H234">
        <v>160</v>
      </c>
      <c r="I234">
        <v>1</v>
      </c>
      <c r="J234">
        <v>8000</v>
      </c>
      <c r="K234">
        <v>240</v>
      </c>
      <c r="L234">
        <v>1</v>
      </c>
      <c r="M234">
        <v>2007</v>
      </c>
      <c r="N234">
        <v>1</v>
      </c>
      <c r="O234">
        <v>0.05</v>
      </c>
      <c r="P234">
        <v>9000</v>
      </c>
      <c r="Q234">
        <v>57</v>
      </c>
      <c r="R234">
        <v>1</v>
      </c>
      <c r="S234" t="s">
        <v>3824</v>
      </c>
      <c r="T234">
        <v>8</v>
      </c>
      <c r="U234">
        <v>0.5</v>
      </c>
      <c r="V234">
        <v>1000</v>
      </c>
      <c r="W234">
        <v>2505</v>
      </c>
      <c r="X234">
        <v>1</v>
      </c>
      <c r="Y234">
        <v>2006</v>
      </c>
      <c r="Z234">
        <v>1</v>
      </c>
      <c r="AA234">
        <v>0.03</v>
      </c>
    </row>
    <row r="235" spans="1:27">
      <c r="A235">
        <v>1233</v>
      </c>
      <c r="B235" t="s">
        <v>4041</v>
      </c>
      <c r="C235">
        <v>117</v>
      </c>
      <c r="D235" t="s">
        <v>3823</v>
      </c>
      <c r="E235">
        <v>1</v>
      </c>
      <c r="F235">
        <v>8.4000000000000005E-2</v>
      </c>
      <c r="G235">
        <v>8001</v>
      </c>
      <c r="H235">
        <v>160</v>
      </c>
      <c r="I235">
        <v>1</v>
      </c>
      <c r="J235">
        <v>8000</v>
      </c>
      <c r="K235">
        <v>240</v>
      </c>
      <c r="L235">
        <v>1</v>
      </c>
      <c r="M235">
        <v>2007</v>
      </c>
      <c r="N235">
        <v>1</v>
      </c>
      <c r="O235">
        <v>0.05</v>
      </c>
      <c r="P235">
        <v>9000</v>
      </c>
      <c r="Q235">
        <v>57</v>
      </c>
      <c r="R235">
        <v>1</v>
      </c>
      <c r="S235" t="s">
        <v>3824</v>
      </c>
      <c r="T235">
        <v>8</v>
      </c>
      <c r="U235">
        <v>0.5</v>
      </c>
      <c r="V235">
        <v>1000</v>
      </c>
      <c r="W235">
        <v>2515</v>
      </c>
      <c r="X235">
        <v>1</v>
      </c>
      <c r="Y235">
        <v>2006</v>
      </c>
      <c r="Z235">
        <v>1</v>
      </c>
      <c r="AA235">
        <v>0.03</v>
      </c>
    </row>
    <row r="236" spans="1:27">
      <c r="A236">
        <v>1234</v>
      </c>
      <c r="B236" t="s">
        <v>4042</v>
      </c>
      <c r="C236">
        <v>118</v>
      </c>
      <c r="D236" t="s">
        <v>3823</v>
      </c>
      <c r="E236">
        <v>1</v>
      </c>
      <c r="F236">
        <v>8.4000000000000005E-2</v>
      </c>
      <c r="G236">
        <v>8001</v>
      </c>
      <c r="H236">
        <v>160</v>
      </c>
      <c r="I236">
        <v>1</v>
      </c>
      <c r="J236">
        <v>8000</v>
      </c>
      <c r="K236">
        <v>245</v>
      </c>
      <c r="L236">
        <v>1</v>
      </c>
      <c r="M236">
        <v>2007</v>
      </c>
      <c r="N236">
        <v>1</v>
      </c>
      <c r="O236">
        <v>0.05</v>
      </c>
      <c r="P236">
        <v>9000</v>
      </c>
      <c r="Q236">
        <v>57</v>
      </c>
      <c r="R236">
        <v>1</v>
      </c>
      <c r="S236" t="s">
        <v>3824</v>
      </c>
      <c r="T236">
        <v>8</v>
      </c>
      <c r="U236">
        <v>0.5</v>
      </c>
      <c r="V236">
        <v>1000</v>
      </c>
      <c r="W236">
        <v>2530</v>
      </c>
      <c r="X236">
        <v>1</v>
      </c>
      <c r="Y236">
        <v>2006</v>
      </c>
      <c r="Z236">
        <v>1</v>
      </c>
      <c r="AA236">
        <v>0.03</v>
      </c>
    </row>
    <row r="237" spans="1:27">
      <c r="A237">
        <v>1235</v>
      </c>
      <c r="B237" t="s">
        <v>4042</v>
      </c>
      <c r="C237">
        <v>118</v>
      </c>
      <c r="D237" t="s">
        <v>3823</v>
      </c>
      <c r="E237">
        <v>1</v>
      </c>
      <c r="F237">
        <v>8.4000000000000005E-2</v>
      </c>
      <c r="G237">
        <v>8001</v>
      </c>
      <c r="H237">
        <v>165</v>
      </c>
      <c r="I237">
        <v>1</v>
      </c>
      <c r="J237">
        <v>8000</v>
      </c>
      <c r="K237">
        <v>245</v>
      </c>
      <c r="L237">
        <v>1</v>
      </c>
      <c r="M237">
        <v>2007</v>
      </c>
      <c r="N237">
        <v>1</v>
      </c>
      <c r="O237">
        <v>0.05</v>
      </c>
      <c r="P237">
        <v>9000</v>
      </c>
      <c r="Q237">
        <v>58</v>
      </c>
      <c r="R237">
        <v>1</v>
      </c>
      <c r="S237" t="s">
        <v>3824</v>
      </c>
      <c r="T237">
        <v>8</v>
      </c>
      <c r="U237">
        <v>0.5</v>
      </c>
      <c r="V237">
        <v>1000</v>
      </c>
      <c r="W237">
        <v>2545</v>
      </c>
      <c r="X237">
        <v>1</v>
      </c>
      <c r="Y237">
        <v>2006</v>
      </c>
      <c r="Z237">
        <v>1</v>
      </c>
      <c r="AA237">
        <v>0.03</v>
      </c>
    </row>
    <row r="238" spans="1:27">
      <c r="A238">
        <v>1236</v>
      </c>
      <c r="B238" t="s">
        <v>4039</v>
      </c>
      <c r="C238">
        <v>119</v>
      </c>
      <c r="D238" t="s">
        <v>3823</v>
      </c>
      <c r="E238">
        <v>1</v>
      </c>
      <c r="F238">
        <v>8.4000000000000005E-2</v>
      </c>
      <c r="G238">
        <v>8001</v>
      </c>
      <c r="H238">
        <v>165</v>
      </c>
      <c r="I238">
        <v>1</v>
      </c>
      <c r="J238">
        <v>8000</v>
      </c>
      <c r="K238">
        <v>245</v>
      </c>
      <c r="L238">
        <v>1</v>
      </c>
      <c r="M238">
        <v>2007</v>
      </c>
      <c r="N238">
        <v>1</v>
      </c>
      <c r="O238">
        <v>0.05</v>
      </c>
      <c r="P238">
        <v>9000</v>
      </c>
      <c r="Q238">
        <v>58</v>
      </c>
      <c r="R238">
        <v>1</v>
      </c>
      <c r="S238" t="s">
        <v>3824</v>
      </c>
      <c r="T238">
        <v>8</v>
      </c>
      <c r="U238">
        <v>0.5</v>
      </c>
      <c r="V238">
        <v>1000</v>
      </c>
      <c r="W238">
        <v>2555</v>
      </c>
      <c r="X238">
        <v>1</v>
      </c>
      <c r="Y238">
        <v>2006</v>
      </c>
      <c r="Z238">
        <v>1</v>
      </c>
      <c r="AA238">
        <v>0.03</v>
      </c>
    </row>
    <row r="239" spans="1:27">
      <c r="A239">
        <v>1237</v>
      </c>
      <c r="B239" t="s">
        <v>4043</v>
      </c>
      <c r="C239">
        <v>119</v>
      </c>
      <c r="D239" t="s">
        <v>3823</v>
      </c>
      <c r="E239">
        <v>1</v>
      </c>
      <c r="F239">
        <v>8.5000000000000006E-2</v>
      </c>
      <c r="G239">
        <v>8001</v>
      </c>
      <c r="H239">
        <v>165</v>
      </c>
      <c r="I239">
        <v>1</v>
      </c>
      <c r="J239">
        <v>8000</v>
      </c>
      <c r="K239">
        <v>245</v>
      </c>
      <c r="L239">
        <v>1</v>
      </c>
      <c r="M239">
        <v>2007</v>
      </c>
      <c r="N239">
        <v>1</v>
      </c>
      <c r="O239">
        <v>0.05</v>
      </c>
      <c r="P239">
        <v>9000</v>
      </c>
      <c r="Q239">
        <v>58</v>
      </c>
      <c r="R239">
        <v>1</v>
      </c>
      <c r="S239" t="s">
        <v>3824</v>
      </c>
      <c r="T239">
        <v>8</v>
      </c>
      <c r="U239">
        <v>0.5</v>
      </c>
      <c r="V239">
        <v>1000</v>
      </c>
      <c r="W239">
        <v>2570</v>
      </c>
      <c r="X239">
        <v>1</v>
      </c>
      <c r="Y239">
        <v>2006</v>
      </c>
      <c r="Z239">
        <v>1</v>
      </c>
      <c r="AA239">
        <v>0.03</v>
      </c>
    </row>
    <row r="240" spans="1:27">
      <c r="A240">
        <v>1238</v>
      </c>
      <c r="B240" t="s">
        <v>4043</v>
      </c>
      <c r="C240">
        <v>120</v>
      </c>
      <c r="D240" t="s">
        <v>3823</v>
      </c>
      <c r="E240">
        <v>1</v>
      </c>
      <c r="F240">
        <v>8.5000000000000006E-2</v>
      </c>
      <c r="G240">
        <v>8001</v>
      </c>
      <c r="H240">
        <v>165</v>
      </c>
      <c r="I240">
        <v>1</v>
      </c>
      <c r="J240">
        <v>8000</v>
      </c>
      <c r="K240">
        <v>250</v>
      </c>
      <c r="L240">
        <v>1</v>
      </c>
      <c r="M240">
        <v>2007</v>
      </c>
      <c r="N240">
        <v>1</v>
      </c>
      <c r="O240">
        <v>0.05</v>
      </c>
      <c r="P240">
        <v>9000</v>
      </c>
      <c r="Q240">
        <v>59</v>
      </c>
      <c r="R240">
        <v>1</v>
      </c>
      <c r="S240" t="s">
        <v>3824</v>
      </c>
      <c r="T240">
        <v>8</v>
      </c>
      <c r="U240">
        <v>0.5</v>
      </c>
      <c r="V240">
        <v>1000</v>
      </c>
      <c r="W240">
        <v>2585</v>
      </c>
      <c r="X240">
        <v>1</v>
      </c>
      <c r="Y240">
        <v>2006</v>
      </c>
      <c r="Z240">
        <v>1</v>
      </c>
      <c r="AA240">
        <v>0.03</v>
      </c>
    </row>
    <row r="241" spans="1:27">
      <c r="A241">
        <v>1239</v>
      </c>
      <c r="B241" t="s">
        <v>4044</v>
      </c>
      <c r="C241">
        <v>120</v>
      </c>
      <c r="D241" t="s">
        <v>3823</v>
      </c>
      <c r="E241">
        <v>1</v>
      </c>
      <c r="F241">
        <v>8.5000000000000006E-2</v>
      </c>
      <c r="G241">
        <v>8001</v>
      </c>
      <c r="H241">
        <v>165</v>
      </c>
      <c r="I241">
        <v>1</v>
      </c>
      <c r="J241">
        <v>8000</v>
      </c>
      <c r="K241">
        <v>250</v>
      </c>
      <c r="L241">
        <v>1</v>
      </c>
      <c r="M241">
        <v>2007</v>
      </c>
      <c r="N241">
        <v>1</v>
      </c>
      <c r="O241">
        <v>0.05</v>
      </c>
      <c r="P241">
        <v>9000</v>
      </c>
      <c r="Q241">
        <v>59</v>
      </c>
      <c r="R241">
        <v>1</v>
      </c>
      <c r="S241" t="s">
        <v>3824</v>
      </c>
      <c r="T241">
        <v>8</v>
      </c>
      <c r="U241">
        <v>0.5</v>
      </c>
      <c r="V241">
        <v>1000</v>
      </c>
      <c r="W241">
        <v>2595</v>
      </c>
      <c r="X241">
        <v>1</v>
      </c>
      <c r="Y241">
        <v>2006</v>
      </c>
      <c r="Z241">
        <v>1</v>
      </c>
      <c r="AA241">
        <v>0.03</v>
      </c>
    </row>
    <row r="242" spans="1:27">
      <c r="A242">
        <v>1240</v>
      </c>
      <c r="B242" t="s">
        <v>4045</v>
      </c>
      <c r="C242">
        <v>121</v>
      </c>
      <c r="D242" t="s">
        <v>3823</v>
      </c>
      <c r="E242">
        <v>1</v>
      </c>
      <c r="F242">
        <v>8.5000000000000006E-2</v>
      </c>
      <c r="G242">
        <v>8001</v>
      </c>
      <c r="H242">
        <v>165</v>
      </c>
      <c r="I242">
        <v>1</v>
      </c>
      <c r="J242">
        <v>8000</v>
      </c>
      <c r="K242">
        <v>250</v>
      </c>
      <c r="L242">
        <v>1</v>
      </c>
      <c r="M242">
        <v>2007</v>
      </c>
      <c r="N242">
        <v>1</v>
      </c>
      <c r="O242">
        <v>0.05</v>
      </c>
      <c r="P242">
        <v>9000</v>
      </c>
      <c r="Q242">
        <v>59</v>
      </c>
      <c r="R242">
        <v>1</v>
      </c>
      <c r="S242" t="s">
        <v>3824</v>
      </c>
      <c r="T242">
        <v>8</v>
      </c>
      <c r="U242">
        <v>0.5</v>
      </c>
      <c r="V242">
        <v>1000</v>
      </c>
      <c r="W242">
        <v>2610</v>
      </c>
      <c r="X242">
        <v>1</v>
      </c>
      <c r="Y242">
        <v>2006</v>
      </c>
      <c r="Z242">
        <v>1</v>
      </c>
      <c r="AA242">
        <v>0.03</v>
      </c>
    </row>
    <row r="243" spans="1:27">
      <c r="A243">
        <v>1241</v>
      </c>
      <c r="B243" t="s">
        <v>4046</v>
      </c>
      <c r="C243">
        <v>121</v>
      </c>
      <c r="D243" t="s">
        <v>3823</v>
      </c>
      <c r="E243">
        <v>1</v>
      </c>
      <c r="F243">
        <v>8.5999999999999993E-2</v>
      </c>
      <c r="G243">
        <v>8001</v>
      </c>
      <c r="H243">
        <v>170</v>
      </c>
      <c r="I243">
        <v>1</v>
      </c>
      <c r="J243">
        <v>8000</v>
      </c>
      <c r="K243">
        <v>250</v>
      </c>
      <c r="L243">
        <v>1</v>
      </c>
      <c r="M243">
        <v>2007</v>
      </c>
      <c r="N243">
        <v>1</v>
      </c>
      <c r="O243">
        <v>0.05</v>
      </c>
      <c r="P243">
        <v>9000</v>
      </c>
      <c r="Q243">
        <v>60</v>
      </c>
      <c r="R243">
        <v>1</v>
      </c>
      <c r="S243" t="s">
        <v>3824</v>
      </c>
      <c r="T243">
        <v>8</v>
      </c>
      <c r="U243">
        <v>0.5</v>
      </c>
      <c r="V243">
        <v>1000</v>
      </c>
      <c r="W243">
        <v>2625</v>
      </c>
      <c r="X243">
        <v>1</v>
      </c>
      <c r="Y243">
        <v>2006</v>
      </c>
      <c r="Z243">
        <v>1</v>
      </c>
      <c r="AA243">
        <v>0.03</v>
      </c>
    </row>
    <row r="244" spans="1:27">
      <c r="A244">
        <v>1242</v>
      </c>
      <c r="B244" t="s">
        <v>4047</v>
      </c>
      <c r="C244">
        <v>122</v>
      </c>
      <c r="D244" t="s">
        <v>3823</v>
      </c>
      <c r="E244">
        <v>1</v>
      </c>
      <c r="F244">
        <v>8.5999999999999993E-2</v>
      </c>
      <c r="G244">
        <v>8001</v>
      </c>
      <c r="H244">
        <v>170</v>
      </c>
      <c r="I244">
        <v>1</v>
      </c>
      <c r="J244">
        <v>8000</v>
      </c>
      <c r="K244">
        <v>255</v>
      </c>
      <c r="L244">
        <v>1</v>
      </c>
      <c r="M244">
        <v>2007</v>
      </c>
      <c r="N244">
        <v>1</v>
      </c>
      <c r="O244">
        <v>0.05</v>
      </c>
      <c r="P244">
        <v>9000</v>
      </c>
      <c r="Q244">
        <v>60</v>
      </c>
      <c r="R244">
        <v>1</v>
      </c>
      <c r="S244" t="s">
        <v>3824</v>
      </c>
      <c r="T244">
        <v>8</v>
      </c>
      <c r="U244">
        <v>0.5</v>
      </c>
      <c r="V244">
        <v>1000</v>
      </c>
      <c r="W244">
        <v>2640</v>
      </c>
      <c r="X244">
        <v>1</v>
      </c>
      <c r="Y244">
        <v>2006</v>
      </c>
      <c r="Z244">
        <v>1</v>
      </c>
      <c r="AA244">
        <v>0.03</v>
      </c>
    </row>
    <row r="245" spans="1:27">
      <c r="A245">
        <v>1243</v>
      </c>
      <c r="B245" t="s">
        <v>4048</v>
      </c>
      <c r="C245">
        <v>122</v>
      </c>
      <c r="D245" t="s">
        <v>3823</v>
      </c>
      <c r="E245">
        <v>1</v>
      </c>
      <c r="F245">
        <v>8.5999999999999993E-2</v>
      </c>
      <c r="G245">
        <v>8001</v>
      </c>
      <c r="H245">
        <v>170</v>
      </c>
      <c r="I245">
        <v>1</v>
      </c>
      <c r="J245">
        <v>8000</v>
      </c>
      <c r="K245">
        <v>255</v>
      </c>
      <c r="L245">
        <v>1</v>
      </c>
      <c r="M245">
        <v>2007</v>
      </c>
      <c r="N245">
        <v>1</v>
      </c>
      <c r="O245">
        <v>0.05</v>
      </c>
      <c r="P245">
        <v>9000</v>
      </c>
      <c r="Q245">
        <v>60</v>
      </c>
      <c r="R245">
        <v>1</v>
      </c>
      <c r="S245" t="s">
        <v>3824</v>
      </c>
      <c r="T245">
        <v>8</v>
      </c>
      <c r="U245">
        <v>0.5</v>
      </c>
      <c r="V245">
        <v>1000</v>
      </c>
      <c r="W245">
        <v>2650</v>
      </c>
      <c r="X245">
        <v>1</v>
      </c>
      <c r="Y245">
        <v>2006</v>
      </c>
      <c r="Z245">
        <v>1</v>
      </c>
      <c r="AA245">
        <v>0.03</v>
      </c>
    </row>
    <row r="246" spans="1:27">
      <c r="A246">
        <v>1244</v>
      </c>
      <c r="B246" t="s">
        <v>4049</v>
      </c>
      <c r="C246">
        <v>123</v>
      </c>
      <c r="D246" t="s">
        <v>3823</v>
      </c>
      <c r="E246">
        <v>1</v>
      </c>
      <c r="F246">
        <v>8.5999999999999993E-2</v>
      </c>
      <c r="G246">
        <v>8001</v>
      </c>
      <c r="H246">
        <v>170</v>
      </c>
      <c r="I246">
        <v>1</v>
      </c>
      <c r="J246">
        <v>8000</v>
      </c>
      <c r="K246">
        <v>255</v>
      </c>
      <c r="L246">
        <v>1</v>
      </c>
      <c r="M246">
        <v>2007</v>
      </c>
      <c r="N246">
        <v>1</v>
      </c>
      <c r="O246">
        <v>0.05</v>
      </c>
      <c r="P246">
        <v>9000</v>
      </c>
      <c r="Q246">
        <v>61</v>
      </c>
      <c r="R246">
        <v>1</v>
      </c>
      <c r="S246" t="s">
        <v>3824</v>
      </c>
      <c r="T246">
        <v>9</v>
      </c>
      <c r="U246">
        <v>0.5</v>
      </c>
      <c r="V246">
        <v>1000</v>
      </c>
      <c r="W246">
        <v>2665</v>
      </c>
      <c r="X246">
        <v>1</v>
      </c>
      <c r="Y246">
        <v>2006</v>
      </c>
      <c r="Z246">
        <v>1</v>
      </c>
      <c r="AA246">
        <v>0.03</v>
      </c>
    </row>
    <row r="247" spans="1:27">
      <c r="A247">
        <v>1245</v>
      </c>
      <c r="B247" t="s">
        <v>4050</v>
      </c>
      <c r="C247">
        <v>123</v>
      </c>
      <c r="D247" t="s">
        <v>3823</v>
      </c>
      <c r="E247">
        <v>1</v>
      </c>
      <c r="F247">
        <v>8.6999999999999994E-2</v>
      </c>
      <c r="G247">
        <v>8001</v>
      </c>
      <c r="H247">
        <v>170</v>
      </c>
      <c r="I247">
        <v>1</v>
      </c>
      <c r="J247">
        <v>8000</v>
      </c>
      <c r="K247">
        <v>255</v>
      </c>
      <c r="L247">
        <v>1</v>
      </c>
      <c r="M247">
        <v>2007</v>
      </c>
      <c r="N247">
        <v>1</v>
      </c>
      <c r="O247">
        <v>0.05</v>
      </c>
      <c r="P247">
        <v>9000</v>
      </c>
      <c r="Q247">
        <v>61</v>
      </c>
      <c r="R247">
        <v>1</v>
      </c>
      <c r="S247" t="s">
        <v>3824</v>
      </c>
      <c r="T247">
        <v>9</v>
      </c>
      <c r="U247">
        <v>0.5</v>
      </c>
      <c r="V247">
        <v>1000</v>
      </c>
      <c r="W247">
        <v>2680</v>
      </c>
      <c r="X247">
        <v>1</v>
      </c>
      <c r="Y247">
        <v>2006</v>
      </c>
      <c r="Z247">
        <v>1</v>
      </c>
      <c r="AA247">
        <v>0.03</v>
      </c>
    </row>
    <row r="248" spans="1:27">
      <c r="A248">
        <v>1246</v>
      </c>
      <c r="B248" t="s">
        <v>4051</v>
      </c>
      <c r="C248">
        <v>124</v>
      </c>
      <c r="D248" t="s">
        <v>3823</v>
      </c>
      <c r="E248">
        <v>1</v>
      </c>
      <c r="F248">
        <v>8.6999999999999994E-2</v>
      </c>
      <c r="G248">
        <v>8001</v>
      </c>
      <c r="H248">
        <v>170</v>
      </c>
      <c r="I248">
        <v>1</v>
      </c>
      <c r="J248">
        <v>8000</v>
      </c>
      <c r="K248">
        <v>260</v>
      </c>
      <c r="L248">
        <v>1</v>
      </c>
      <c r="M248">
        <v>2007</v>
      </c>
      <c r="N248">
        <v>1</v>
      </c>
      <c r="O248">
        <v>0.05</v>
      </c>
      <c r="P248">
        <v>9000</v>
      </c>
      <c r="Q248">
        <v>61</v>
      </c>
      <c r="R248">
        <v>1</v>
      </c>
      <c r="S248" t="s">
        <v>3824</v>
      </c>
      <c r="T248">
        <v>9</v>
      </c>
      <c r="U248">
        <v>0.5</v>
      </c>
      <c r="V248">
        <v>1000</v>
      </c>
      <c r="W248">
        <v>2690</v>
      </c>
      <c r="X248">
        <v>1</v>
      </c>
      <c r="Y248">
        <v>2006</v>
      </c>
      <c r="Z248">
        <v>1</v>
      </c>
      <c r="AA248">
        <v>0.03</v>
      </c>
    </row>
    <row r="249" spans="1:27">
      <c r="A249">
        <v>1247</v>
      </c>
      <c r="B249" t="s">
        <v>4052</v>
      </c>
      <c r="C249">
        <v>124</v>
      </c>
      <c r="D249" t="s">
        <v>3823</v>
      </c>
      <c r="E249">
        <v>1</v>
      </c>
      <c r="F249">
        <v>8.6999999999999994E-2</v>
      </c>
      <c r="G249">
        <v>8001</v>
      </c>
      <c r="H249">
        <v>175</v>
      </c>
      <c r="I249">
        <v>1</v>
      </c>
      <c r="J249">
        <v>8000</v>
      </c>
      <c r="K249">
        <v>260</v>
      </c>
      <c r="L249">
        <v>1</v>
      </c>
      <c r="M249">
        <v>2007</v>
      </c>
      <c r="N249">
        <v>1</v>
      </c>
      <c r="O249">
        <v>0.05</v>
      </c>
      <c r="P249">
        <v>9000</v>
      </c>
      <c r="Q249">
        <v>62</v>
      </c>
      <c r="R249">
        <v>1</v>
      </c>
      <c r="S249" t="s">
        <v>3824</v>
      </c>
      <c r="T249">
        <v>9</v>
      </c>
      <c r="U249">
        <v>0.5</v>
      </c>
      <c r="V249">
        <v>1000</v>
      </c>
      <c r="W249">
        <v>2705</v>
      </c>
      <c r="X249">
        <v>1</v>
      </c>
      <c r="Y249">
        <v>2006</v>
      </c>
      <c r="Z249">
        <v>1</v>
      </c>
      <c r="AA249">
        <v>0.03</v>
      </c>
    </row>
    <row r="250" spans="1:27">
      <c r="A250">
        <v>1248</v>
      </c>
      <c r="B250" t="s">
        <v>4053</v>
      </c>
      <c r="C250">
        <v>125</v>
      </c>
      <c r="D250" t="s">
        <v>3823</v>
      </c>
      <c r="E250">
        <v>1</v>
      </c>
      <c r="F250">
        <v>8.6999999999999994E-2</v>
      </c>
      <c r="G250">
        <v>8001</v>
      </c>
      <c r="H250">
        <v>175</v>
      </c>
      <c r="I250">
        <v>1</v>
      </c>
      <c r="J250">
        <v>8000</v>
      </c>
      <c r="K250">
        <v>260</v>
      </c>
      <c r="L250">
        <v>1</v>
      </c>
      <c r="M250">
        <v>2007</v>
      </c>
      <c r="N250">
        <v>1</v>
      </c>
      <c r="O250">
        <v>0.05</v>
      </c>
      <c r="P250">
        <v>9000</v>
      </c>
      <c r="Q250">
        <v>62</v>
      </c>
      <c r="R250">
        <v>1</v>
      </c>
      <c r="S250" t="s">
        <v>3824</v>
      </c>
      <c r="T250">
        <v>9</v>
      </c>
      <c r="U250">
        <v>0.5</v>
      </c>
      <c r="V250">
        <v>1000</v>
      </c>
      <c r="W250">
        <v>2720</v>
      </c>
      <c r="X250">
        <v>1</v>
      </c>
      <c r="Y250">
        <v>2006</v>
      </c>
      <c r="Z250">
        <v>1</v>
      </c>
      <c r="AA250">
        <v>0.03</v>
      </c>
    </row>
    <row r="251" spans="1:27">
      <c r="A251">
        <v>1249</v>
      </c>
      <c r="B251" t="s">
        <v>4054</v>
      </c>
      <c r="C251">
        <v>125</v>
      </c>
      <c r="D251" t="s">
        <v>3823</v>
      </c>
      <c r="E251">
        <v>1</v>
      </c>
      <c r="F251">
        <v>8.6999999999999994E-2</v>
      </c>
      <c r="G251">
        <v>8001</v>
      </c>
      <c r="H251">
        <v>175</v>
      </c>
      <c r="I251">
        <v>1</v>
      </c>
      <c r="J251">
        <v>8000</v>
      </c>
      <c r="K251">
        <v>260</v>
      </c>
      <c r="L251">
        <v>1</v>
      </c>
      <c r="M251">
        <v>2007</v>
      </c>
      <c r="N251">
        <v>1</v>
      </c>
      <c r="O251">
        <v>0.05</v>
      </c>
      <c r="P251">
        <v>9000</v>
      </c>
      <c r="Q251">
        <v>62</v>
      </c>
      <c r="R251">
        <v>1</v>
      </c>
      <c r="S251" t="s">
        <v>3824</v>
      </c>
      <c r="T251">
        <v>9</v>
      </c>
      <c r="U251">
        <v>0.5</v>
      </c>
      <c r="V251">
        <v>1000</v>
      </c>
      <c r="W251">
        <v>2735</v>
      </c>
      <c r="X251">
        <v>1</v>
      </c>
      <c r="Y251">
        <v>2006</v>
      </c>
      <c r="Z251">
        <v>1</v>
      </c>
      <c r="AA251">
        <v>0.03</v>
      </c>
    </row>
    <row r="252" spans="1:27">
      <c r="A252">
        <v>1250</v>
      </c>
      <c r="B252" t="s">
        <v>4052</v>
      </c>
      <c r="C252">
        <v>126</v>
      </c>
      <c r="D252" t="s">
        <v>3823</v>
      </c>
      <c r="E252">
        <v>1</v>
      </c>
      <c r="F252">
        <v>8.7999999999999995E-2</v>
      </c>
      <c r="G252">
        <v>8001</v>
      </c>
      <c r="H252">
        <v>175</v>
      </c>
      <c r="I252">
        <v>1</v>
      </c>
      <c r="J252">
        <v>8000</v>
      </c>
      <c r="K252">
        <v>265</v>
      </c>
      <c r="L252">
        <v>1</v>
      </c>
      <c r="M252">
        <v>2007</v>
      </c>
      <c r="N252">
        <v>1</v>
      </c>
      <c r="O252">
        <v>0.05</v>
      </c>
      <c r="P252">
        <v>9000</v>
      </c>
      <c r="Q252">
        <v>63</v>
      </c>
      <c r="R252">
        <v>1</v>
      </c>
      <c r="S252" t="s">
        <v>3824</v>
      </c>
      <c r="T252">
        <v>9</v>
      </c>
      <c r="U252">
        <v>0.5</v>
      </c>
      <c r="V252">
        <v>1000</v>
      </c>
      <c r="W252">
        <v>2745</v>
      </c>
      <c r="X252">
        <v>1</v>
      </c>
      <c r="Y252">
        <v>2006</v>
      </c>
      <c r="Z252">
        <v>1</v>
      </c>
      <c r="AA252">
        <v>0.03</v>
      </c>
    </row>
    <row r="253" spans="1:27">
      <c r="A253">
        <v>1251</v>
      </c>
      <c r="B253" t="s">
        <v>4055</v>
      </c>
      <c r="C253">
        <v>126</v>
      </c>
      <c r="D253" t="s">
        <v>3823</v>
      </c>
      <c r="E253">
        <v>1</v>
      </c>
      <c r="F253">
        <v>8.7999999999999995E-2</v>
      </c>
      <c r="G253">
        <v>8001</v>
      </c>
      <c r="H253">
        <v>175</v>
      </c>
      <c r="I253">
        <v>1</v>
      </c>
      <c r="J253">
        <v>8000</v>
      </c>
      <c r="K253">
        <v>265</v>
      </c>
      <c r="L253">
        <v>1</v>
      </c>
      <c r="M253">
        <v>2007</v>
      </c>
      <c r="N253">
        <v>1</v>
      </c>
      <c r="O253">
        <v>0.05</v>
      </c>
      <c r="P253">
        <v>9000</v>
      </c>
      <c r="Q253">
        <v>63</v>
      </c>
      <c r="R253">
        <v>1</v>
      </c>
      <c r="S253" t="s">
        <v>3824</v>
      </c>
      <c r="T253">
        <v>9</v>
      </c>
      <c r="U253">
        <v>0.5</v>
      </c>
      <c r="V253">
        <v>1000</v>
      </c>
      <c r="W253">
        <v>2760</v>
      </c>
      <c r="X253">
        <v>1</v>
      </c>
      <c r="Y253">
        <v>2006</v>
      </c>
      <c r="Z253">
        <v>1</v>
      </c>
      <c r="AA253">
        <v>0.03</v>
      </c>
    </row>
    <row r="254" spans="1:27">
      <c r="A254">
        <v>1252</v>
      </c>
      <c r="B254" t="s">
        <v>4056</v>
      </c>
      <c r="C254">
        <v>127</v>
      </c>
      <c r="D254" t="s">
        <v>3823</v>
      </c>
      <c r="E254">
        <v>1</v>
      </c>
      <c r="F254">
        <v>8.7999999999999995E-2</v>
      </c>
      <c r="G254">
        <v>8001</v>
      </c>
      <c r="H254">
        <v>180</v>
      </c>
      <c r="I254">
        <v>1</v>
      </c>
      <c r="J254">
        <v>8000</v>
      </c>
      <c r="K254">
        <v>265</v>
      </c>
      <c r="L254">
        <v>1</v>
      </c>
      <c r="M254">
        <v>2007</v>
      </c>
      <c r="N254">
        <v>1</v>
      </c>
      <c r="O254">
        <v>0.05</v>
      </c>
      <c r="P254">
        <v>9000</v>
      </c>
      <c r="Q254">
        <v>63</v>
      </c>
      <c r="R254">
        <v>1</v>
      </c>
      <c r="S254" t="s">
        <v>3824</v>
      </c>
      <c r="T254">
        <v>9</v>
      </c>
      <c r="U254">
        <v>0.5</v>
      </c>
      <c r="V254">
        <v>1000</v>
      </c>
      <c r="W254">
        <v>2775</v>
      </c>
      <c r="X254">
        <v>1</v>
      </c>
      <c r="Y254">
        <v>2006</v>
      </c>
      <c r="Z254">
        <v>1</v>
      </c>
      <c r="AA254">
        <v>0.03</v>
      </c>
    </row>
    <row r="255" spans="1:27">
      <c r="A255">
        <v>1253</v>
      </c>
      <c r="B255" t="s">
        <v>4057</v>
      </c>
      <c r="C255">
        <v>127</v>
      </c>
      <c r="D255" t="s">
        <v>3823</v>
      </c>
      <c r="E255">
        <v>1</v>
      </c>
      <c r="F255">
        <v>8.7999999999999995E-2</v>
      </c>
      <c r="G255">
        <v>8001</v>
      </c>
      <c r="H255">
        <v>180</v>
      </c>
      <c r="I255">
        <v>1</v>
      </c>
      <c r="J255">
        <v>8000</v>
      </c>
      <c r="K255">
        <v>270</v>
      </c>
      <c r="L255">
        <v>1</v>
      </c>
      <c r="M255">
        <v>2007</v>
      </c>
      <c r="N255">
        <v>1</v>
      </c>
      <c r="O255">
        <v>0.05</v>
      </c>
      <c r="P255">
        <v>9000</v>
      </c>
      <c r="Q255">
        <v>64</v>
      </c>
      <c r="R255">
        <v>1</v>
      </c>
      <c r="S255" t="s">
        <v>3824</v>
      </c>
      <c r="T255">
        <v>9</v>
      </c>
      <c r="U255">
        <v>0.5</v>
      </c>
      <c r="V255">
        <v>1000</v>
      </c>
      <c r="W255">
        <v>2790</v>
      </c>
      <c r="X255">
        <v>1</v>
      </c>
      <c r="Y255">
        <v>2006</v>
      </c>
      <c r="Z255">
        <v>1</v>
      </c>
      <c r="AA255">
        <v>0.03</v>
      </c>
    </row>
    <row r="256" spans="1:27">
      <c r="A256">
        <v>1254</v>
      </c>
      <c r="B256" t="s">
        <v>4058</v>
      </c>
      <c r="C256">
        <v>128</v>
      </c>
      <c r="D256" t="s">
        <v>3823</v>
      </c>
      <c r="E256">
        <v>1</v>
      </c>
      <c r="F256">
        <v>8.8999999999999996E-2</v>
      </c>
      <c r="G256">
        <v>8001</v>
      </c>
      <c r="H256">
        <v>180</v>
      </c>
      <c r="I256">
        <v>1</v>
      </c>
      <c r="J256">
        <v>8000</v>
      </c>
      <c r="K256">
        <v>270</v>
      </c>
      <c r="L256">
        <v>1</v>
      </c>
      <c r="M256">
        <v>2007</v>
      </c>
      <c r="N256">
        <v>1</v>
      </c>
      <c r="O256">
        <v>0.05</v>
      </c>
      <c r="P256">
        <v>9000</v>
      </c>
      <c r="Q256">
        <v>64</v>
      </c>
      <c r="R256">
        <v>1</v>
      </c>
      <c r="S256" t="s">
        <v>3824</v>
      </c>
      <c r="T256">
        <v>9</v>
      </c>
      <c r="U256">
        <v>0.5</v>
      </c>
      <c r="V256">
        <v>1000</v>
      </c>
      <c r="W256">
        <v>2800</v>
      </c>
      <c r="X256">
        <v>1</v>
      </c>
      <c r="Y256">
        <v>2006</v>
      </c>
      <c r="Z256">
        <v>1</v>
      </c>
      <c r="AA256">
        <v>0.03</v>
      </c>
    </row>
    <row r="257" spans="1:27">
      <c r="A257">
        <v>1255</v>
      </c>
      <c r="B257" t="s">
        <v>4059</v>
      </c>
      <c r="C257">
        <v>128</v>
      </c>
      <c r="D257" t="s">
        <v>3823</v>
      </c>
      <c r="E257">
        <v>1</v>
      </c>
      <c r="F257">
        <v>8.8999999999999996E-2</v>
      </c>
      <c r="G257">
        <v>8001</v>
      </c>
      <c r="H257">
        <v>180</v>
      </c>
      <c r="I257">
        <v>1</v>
      </c>
      <c r="J257">
        <v>8000</v>
      </c>
      <c r="K257">
        <v>270</v>
      </c>
      <c r="L257">
        <v>1</v>
      </c>
      <c r="M257">
        <v>2007</v>
      </c>
      <c r="N257">
        <v>1</v>
      </c>
      <c r="O257">
        <v>0.05</v>
      </c>
      <c r="P257">
        <v>9000</v>
      </c>
      <c r="Q257">
        <v>65</v>
      </c>
      <c r="R257">
        <v>1</v>
      </c>
      <c r="S257" t="s">
        <v>3824</v>
      </c>
      <c r="T257">
        <v>9</v>
      </c>
      <c r="U257">
        <v>0.5</v>
      </c>
      <c r="V257">
        <v>1000</v>
      </c>
      <c r="W257">
        <v>2815</v>
      </c>
      <c r="X257">
        <v>1</v>
      </c>
      <c r="Y257">
        <v>2006</v>
      </c>
      <c r="Z257">
        <v>1</v>
      </c>
      <c r="AA257">
        <v>0.03</v>
      </c>
    </row>
    <row r="258" spans="1:27">
      <c r="A258">
        <v>1256</v>
      </c>
      <c r="B258" t="s">
        <v>4060</v>
      </c>
      <c r="C258">
        <v>129</v>
      </c>
      <c r="D258" t="s">
        <v>3823</v>
      </c>
      <c r="E258">
        <v>1</v>
      </c>
      <c r="F258">
        <v>8.8999999999999996E-2</v>
      </c>
      <c r="G258">
        <v>8001</v>
      </c>
      <c r="H258">
        <v>180</v>
      </c>
      <c r="I258">
        <v>1</v>
      </c>
      <c r="J258">
        <v>8000</v>
      </c>
      <c r="K258">
        <v>270</v>
      </c>
      <c r="L258">
        <v>1</v>
      </c>
      <c r="M258">
        <v>2007</v>
      </c>
      <c r="N258">
        <v>1</v>
      </c>
      <c r="O258">
        <v>0.05</v>
      </c>
      <c r="P258">
        <v>9000</v>
      </c>
      <c r="Q258">
        <v>65</v>
      </c>
      <c r="R258">
        <v>1</v>
      </c>
      <c r="S258" t="s">
        <v>3824</v>
      </c>
      <c r="T258">
        <v>9</v>
      </c>
      <c r="U258">
        <v>0.5</v>
      </c>
      <c r="V258">
        <v>1000</v>
      </c>
      <c r="W258">
        <v>2830</v>
      </c>
      <c r="X258">
        <v>1</v>
      </c>
      <c r="Y258">
        <v>2006</v>
      </c>
      <c r="Z258">
        <v>1</v>
      </c>
      <c r="AA258">
        <v>0.03</v>
      </c>
    </row>
    <row r="259" spans="1:27">
      <c r="A259">
        <v>1257</v>
      </c>
      <c r="B259" t="s">
        <v>4061</v>
      </c>
      <c r="C259">
        <v>129</v>
      </c>
      <c r="D259" t="s">
        <v>3823</v>
      </c>
      <c r="E259">
        <v>1</v>
      </c>
      <c r="F259">
        <v>8.8999999999999996E-2</v>
      </c>
      <c r="G259">
        <v>8001</v>
      </c>
      <c r="H259">
        <v>180</v>
      </c>
      <c r="I259">
        <v>1</v>
      </c>
      <c r="J259">
        <v>8000</v>
      </c>
      <c r="K259">
        <v>275</v>
      </c>
      <c r="L259">
        <v>1</v>
      </c>
      <c r="M259">
        <v>2007</v>
      </c>
      <c r="N259">
        <v>1</v>
      </c>
      <c r="O259">
        <v>0.05</v>
      </c>
      <c r="P259">
        <v>9000</v>
      </c>
      <c r="Q259">
        <v>65</v>
      </c>
      <c r="R259">
        <v>1</v>
      </c>
      <c r="S259" t="s">
        <v>3824</v>
      </c>
      <c r="T259">
        <v>9</v>
      </c>
      <c r="U259">
        <v>0.5</v>
      </c>
      <c r="V259">
        <v>1000</v>
      </c>
      <c r="W259">
        <v>2845</v>
      </c>
      <c r="X259">
        <v>1</v>
      </c>
      <c r="Y259">
        <v>2006</v>
      </c>
      <c r="Z259">
        <v>1</v>
      </c>
      <c r="AA259">
        <v>0.03</v>
      </c>
    </row>
    <row r="260" spans="1:27">
      <c r="A260">
        <v>1258</v>
      </c>
      <c r="B260" t="s">
        <v>4062</v>
      </c>
      <c r="C260">
        <v>130</v>
      </c>
      <c r="D260" t="s">
        <v>3823</v>
      </c>
      <c r="E260">
        <v>1</v>
      </c>
      <c r="F260">
        <v>0.09</v>
      </c>
      <c r="G260">
        <v>8001</v>
      </c>
      <c r="H260">
        <v>185</v>
      </c>
      <c r="I260">
        <v>1</v>
      </c>
      <c r="J260">
        <v>8000</v>
      </c>
      <c r="K260">
        <v>275</v>
      </c>
      <c r="L260">
        <v>1</v>
      </c>
      <c r="M260">
        <v>2007</v>
      </c>
      <c r="N260">
        <v>1</v>
      </c>
      <c r="O260">
        <v>0.05</v>
      </c>
      <c r="P260">
        <v>9000</v>
      </c>
      <c r="Q260">
        <v>66</v>
      </c>
      <c r="R260">
        <v>1</v>
      </c>
      <c r="S260" t="s">
        <v>3824</v>
      </c>
      <c r="T260">
        <v>9</v>
      </c>
      <c r="U260">
        <v>0.5</v>
      </c>
      <c r="V260">
        <v>1000</v>
      </c>
      <c r="W260">
        <v>2855</v>
      </c>
      <c r="X260">
        <v>1</v>
      </c>
      <c r="Y260">
        <v>2006</v>
      </c>
      <c r="Z260">
        <v>1</v>
      </c>
      <c r="AA260">
        <v>0.03</v>
      </c>
    </row>
    <row r="261" spans="1:27">
      <c r="A261">
        <v>1259</v>
      </c>
      <c r="B261" t="s">
        <v>4063</v>
      </c>
      <c r="C261">
        <v>130</v>
      </c>
      <c r="D261" t="s">
        <v>3823</v>
      </c>
      <c r="E261">
        <v>1</v>
      </c>
      <c r="F261">
        <v>0.09</v>
      </c>
      <c r="G261">
        <v>8001</v>
      </c>
      <c r="H261">
        <v>185</v>
      </c>
      <c r="I261">
        <v>1</v>
      </c>
      <c r="J261">
        <v>8000</v>
      </c>
      <c r="K261">
        <v>275</v>
      </c>
      <c r="L261">
        <v>1</v>
      </c>
      <c r="M261">
        <v>2007</v>
      </c>
      <c r="N261">
        <v>1</v>
      </c>
      <c r="O261">
        <v>0.05</v>
      </c>
      <c r="P261">
        <v>9000</v>
      </c>
      <c r="Q261">
        <v>66</v>
      </c>
      <c r="R261">
        <v>1</v>
      </c>
      <c r="S261" t="s">
        <v>3824</v>
      </c>
      <c r="T261">
        <v>9</v>
      </c>
      <c r="U261">
        <v>0.5</v>
      </c>
      <c r="V261">
        <v>1000</v>
      </c>
      <c r="W261">
        <v>2870</v>
      </c>
      <c r="X261">
        <v>1</v>
      </c>
      <c r="Y261">
        <v>2006</v>
      </c>
      <c r="Z261">
        <v>1</v>
      </c>
      <c r="AA261">
        <v>0.03</v>
      </c>
    </row>
    <row r="262" spans="1:27">
      <c r="A262">
        <v>1260</v>
      </c>
      <c r="B262" t="s">
        <v>4064</v>
      </c>
      <c r="C262">
        <v>131</v>
      </c>
      <c r="D262" t="s">
        <v>3823</v>
      </c>
      <c r="E262">
        <v>1</v>
      </c>
      <c r="F262">
        <v>0.09</v>
      </c>
      <c r="G262">
        <v>8001</v>
      </c>
      <c r="H262">
        <v>185</v>
      </c>
      <c r="I262">
        <v>1</v>
      </c>
      <c r="J262">
        <v>8000</v>
      </c>
      <c r="K262">
        <v>275</v>
      </c>
      <c r="L262">
        <v>1</v>
      </c>
      <c r="M262">
        <v>2007</v>
      </c>
      <c r="N262">
        <v>1</v>
      </c>
      <c r="O262">
        <v>0.05</v>
      </c>
      <c r="P262">
        <v>9000</v>
      </c>
      <c r="Q262">
        <v>66</v>
      </c>
      <c r="R262">
        <v>1</v>
      </c>
      <c r="S262" t="s">
        <v>3824</v>
      </c>
      <c r="T262">
        <v>9</v>
      </c>
      <c r="U262">
        <v>0.5</v>
      </c>
      <c r="V262">
        <v>1000</v>
      </c>
      <c r="W262">
        <v>2885</v>
      </c>
      <c r="X262">
        <v>1</v>
      </c>
      <c r="Y262">
        <v>2006</v>
      </c>
      <c r="Z262">
        <v>1</v>
      </c>
      <c r="AA262">
        <v>0.03</v>
      </c>
    </row>
    <row r="263" spans="1:27">
      <c r="A263">
        <v>1261</v>
      </c>
      <c r="B263" t="s">
        <v>4065</v>
      </c>
      <c r="C263">
        <v>131</v>
      </c>
      <c r="D263" t="s">
        <v>3823</v>
      </c>
      <c r="E263">
        <v>1</v>
      </c>
      <c r="F263">
        <v>0.09</v>
      </c>
      <c r="G263">
        <v>8001</v>
      </c>
      <c r="H263">
        <v>185</v>
      </c>
      <c r="I263">
        <v>1</v>
      </c>
      <c r="J263">
        <v>8000</v>
      </c>
      <c r="K263">
        <v>280</v>
      </c>
      <c r="L263">
        <v>1</v>
      </c>
      <c r="M263">
        <v>2007</v>
      </c>
      <c r="N263">
        <v>1</v>
      </c>
      <c r="O263">
        <v>0.05</v>
      </c>
      <c r="P263">
        <v>9000</v>
      </c>
      <c r="Q263">
        <v>67</v>
      </c>
      <c r="R263">
        <v>1</v>
      </c>
      <c r="S263" t="s">
        <v>3824</v>
      </c>
      <c r="T263">
        <v>9</v>
      </c>
      <c r="U263">
        <v>0.5</v>
      </c>
      <c r="V263">
        <v>1000</v>
      </c>
      <c r="W263">
        <v>2900</v>
      </c>
      <c r="X263">
        <v>1</v>
      </c>
      <c r="Y263">
        <v>2006</v>
      </c>
      <c r="Z263">
        <v>1</v>
      </c>
      <c r="AA263">
        <v>0.03</v>
      </c>
    </row>
    <row r="264" spans="1:27">
      <c r="A264">
        <v>1262</v>
      </c>
      <c r="B264" t="s">
        <v>4066</v>
      </c>
      <c r="C264">
        <v>132</v>
      </c>
      <c r="D264" t="s">
        <v>3823</v>
      </c>
      <c r="E264">
        <v>1</v>
      </c>
      <c r="F264">
        <v>9.0999999999999998E-2</v>
      </c>
      <c r="G264">
        <v>8001</v>
      </c>
      <c r="H264">
        <v>185</v>
      </c>
      <c r="I264">
        <v>1</v>
      </c>
      <c r="J264">
        <v>8000</v>
      </c>
      <c r="K264">
        <v>280</v>
      </c>
      <c r="L264">
        <v>1</v>
      </c>
      <c r="M264">
        <v>2007</v>
      </c>
      <c r="N264">
        <v>1</v>
      </c>
      <c r="O264">
        <v>0.05</v>
      </c>
      <c r="P264">
        <v>9000</v>
      </c>
      <c r="Q264">
        <v>67</v>
      </c>
      <c r="R264">
        <v>1</v>
      </c>
      <c r="S264" t="s">
        <v>3824</v>
      </c>
      <c r="T264">
        <v>9</v>
      </c>
      <c r="U264">
        <v>0.5</v>
      </c>
      <c r="V264">
        <v>1000</v>
      </c>
      <c r="W264">
        <v>2910</v>
      </c>
      <c r="X264">
        <v>1</v>
      </c>
      <c r="Y264">
        <v>2006</v>
      </c>
      <c r="Z264">
        <v>1</v>
      </c>
      <c r="AA264">
        <v>0.03</v>
      </c>
    </row>
    <row r="265" spans="1:27">
      <c r="A265">
        <v>1263</v>
      </c>
      <c r="B265" t="s">
        <v>4067</v>
      </c>
      <c r="C265">
        <v>132</v>
      </c>
      <c r="D265" t="s">
        <v>3823</v>
      </c>
      <c r="E265">
        <v>1</v>
      </c>
      <c r="F265">
        <v>9.0999999999999998E-2</v>
      </c>
      <c r="G265">
        <v>8001</v>
      </c>
      <c r="H265">
        <v>185</v>
      </c>
      <c r="I265">
        <v>1</v>
      </c>
      <c r="J265">
        <v>8000</v>
      </c>
      <c r="K265">
        <v>280</v>
      </c>
      <c r="L265">
        <v>1</v>
      </c>
      <c r="M265">
        <v>2007</v>
      </c>
      <c r="N265">
        <v>1</v>
      </c>
      <c r="O265">
        <v>0.05</v>
      </c>
      <c r="P265">
        <v>9000</v>
      </c>
      <c r="Q265">
        <v>67</v>
      </c>
      <c r="R265">
        <v>1</v>
      </c>
      <c r="S265" t="s">
        <v>3824</v>
      </c>
      <c r="T265">
        <v>9</v>
      </c>
      <c r="U265">
        <v>0.5</v>
      </c>
      <c r="V265">
        <v>1000</v>
      </c>
      <c r="W265">
        <v>2925</v>
      </c>
      <c r="X265">
        <v>1</v>
      </c>
      <c r="Y265">
        <v>2006</v>
      </c>
      <c r="Z265">
        <v>1</v>
      </c>
      <c r="AA265">
        <v>0.03</v>
      </c>
    </row>
    <row r="266" spans="1:27">
      <c r="A266">
        <v>1264</v>
      </c>
      <c r="B266" t="s">
        <v>4068</v>
      </c>
      <c r="C266">
        <v>133</v>
      </c>
      <c r="D266" t="s">
        <v>3823</v>
      </c>
      <c r="E266">
        <v>1</v>
      </c>
      <c r="F266">
        <v>9.0999999999999998E-2</v>
      </c>
      <c r="G266">
        <v>8001</v>
      </c>
      <c r="H266">
        <v>190</v>
      </c>
      <c r="I266">
        <v>1</v>
      </c>
      <c r="J266">
        <v>8000</v>
      </c>
      <c r="K266">
        <v>280</v>
      </c>
      <c r="L266">
        <v>1</v>
      </c>
      <c r="M266">
        <v>2007</v>
      </c>
      <c r="N266">
        <v>1</v>
      </c>
      <c r="O266">
        <v>0.05</v>
      </c>
      <c r="P266">
        <v>9000</v>
      </c>
      <c r="Q266">
        <v>68</v>
      </c>
      <c r="R266">
        <v>1</v>
      </c>
      <c r="S266" t="s">
        <v>3824</v>
      </c>
      <c r="T266">
        <v>9</v>
      </c>
      <c r="U266">
        <v>0.5</v>
      </c>
      <c r="V266">
        <v>1000</v>
      </c>
      <c r="W266">
        <v>2940</v>
      </c>
      <c r="X266">
        <v>1</v>
      </c>
      <c r="Y266">
        <v>2006</v>
      </c>
      <c r="Z266">
        <v>1</v>
      </c>
      <c r="AA266">
        <v>0.03</v>
      </c>
    </row>
    <row r="267" spans="1:27">
      <c r="A267">
        <v>1265</v>
      </c>
      <c r="B267" t="s">
        <v>4060</v>
      </c>
      <c r="C267">
        <v>133</v>
      </c>
      <c r="D267" t="s">
        <v>3823</v>
      </c>
      <c r="E267">
        <v>1</v>
      </c>
      <c r="F267">
        <v>9.0999999999999998E-2</v>
      </c>
      <c r="G267">
        <v>8001</v>
      </c>
      <c r="H267">
        <v>190</v>
      </c>
      <c r="I267">
        <v>1</v>
      </c>
      <c r="J267">
        <v>8000</v>
      </c>
      <c r="K267">
        <v>285</v>
      </c>
      <c r="L267">
        <v>1</v>
      </c>
      <c r="M267">
        <v>2007</v>
      </c>
      <c r="N267">
        <v>1</v>
      </c>
      <c r="O267">
        <v>0.05</v>
      </c>
      <c r="P267">
        <v>9000</v>
      </c>
      <c r="Q267">
        <v>68</v>
      </c>
      <c r="R267">
        <v>1</v>
      </c>
      <c r="S267" t="s">
        <v>3824</v>
      </c>
      <c r="T267">
        <v>9</v>
      </c>
      <c r="U267">
        <v>0.5</v>
      </c>
      <c r="V267">
        <v>1000</v>
      </c>
      <c r="W267">
        <v>2955</v>
      </c>
      <c r="X267">
        <v>1</v>
      </c>
      <c r="Y267">
        <v>2006</v>
      </c>
      <c r="Z267">
        <v>1</v>
      </c>
      <c r="AA267">
        <v>0.03</v>
      </c>
    </row>
    <row r="268" spans="1:27">
      <c r="A268">
        <v>1266</v>
      </c>
      <c r="B268" t="s">
        <v>4069</v>
      </c>
      <c r="C268">
        <v>134</v>
      </c>
      <c r="D268" t="s">
        <v>3823</v>
      </c>
      <c r="E268">
        <v>1</v>
      </c>
      <c r="F268">
        <v>9.1999999999999998E-2</v>
      </c>
      <c r="G268">
        <v>8001</v>
      </c>
      <c r="H268">
        <v>190</v>
      </c>
      <c r="I268">
        <v>1</v>
      </c>
      <c r="J268">
        <v>8000</v>
      </c>
      <c r="K268">
        <v>285</v>
      </c>
      <c r="L268">
        <v>1</v>
      </c>
      <c r="M268">
        <v>2007</v>
      </c>
      <c r="N268">
        <v>1</v>
      </c>
      <c r="O268">
        <v>0.05</v>
      </c>
      <c r="P268">
        <v>9000</v>
      </c>
      <c r="Q268">
        <v>68</v>
      </c>
      <c r="R268">
        <v>1</v>
      </c>
      <c r="S268" t="s">
        <v>3824</v>
      </c>
      <c r="T268">
        <v>9</v>
      </c>
      <c r="U268">
        <v>0.5</v>
      </c>
      <c r="V268">
        <v>1000</v>
      </c>
      <c r="W268">
        <v>2970</v>
      </c>
      <c r="X268">
        <v>1</v>
      </c>
      <c r="Y268">
        <v>2006</v>
      </c>
      <c r="Z268">
        <v>1</v>
      </c>
      <c r="AA268">
        <v>0.03</v>
      </c>
    </row>
    <row r="269" spans="1:27">
      <c r="A269">
        <v>1267</v>
      </c>
      <c r="B269" t="s">
        <v>4070</v>
      </c>
      <c r="C269">
        <v>134</v>
      </c>
      <c r="D269" t="s">
        <v>3823</v>
      </c>
      <c r="E269">
        <v>1</v>
      </c>
      <c r="F269">
        <v>9.1999999999999998E-2</v>
      </c>
      <c r="G269">
        <v>8001</v>
      </c>
      <c r="H269">
        <v>190</v>
      </c>
      <c r="I269">
        <v>1</v>
      </c>
      <c r="J269">
        <v>8000</v>
      </c>
      <c r="K269">
        <v>285</v>
      </c>
      <c r="L269">
        <v>1</v>
      </c>
      <c r="M269">
        <v>2007</v>
      </c>
      <c r="N269">
        <v>1</v>
      </c>
      <c r="O269">
        <v>0.05</v>
      </c>
      <c r="P269">
        <v>9000</v>
      </c>
      <c r="Q269">
        <v>69</v>
      </c>
      <c r="R269">
        <v>1</v>
      </c>
      <c r="S269" t="s">
        <v>3824</v>
      </c>
      <c r="T269">
        <v>10</v>
      </c>
      <c r="U269">
        <v>0.5</v>
      </c>
      <c r="V269">
        <v>1000</v>
      </c>
      <c r="W269">
        <v>2980</v>
      </c>
      <c r="X269">
        <v>1</v>
      </c>
      <c r="Y269">
        <v>2006</v>
      </c>
      <c r="Z269">
        <v>1</v>
      </c>
      <c r="AA269">
        <v>0.03</v>
      </c>
    </row>
    <row r="270" spans="1:27">
      <c r="A270">
        <v>1268</v>
      </c>
      <c r="B270" t="s">
        <v>4071</v>
      </c>
      <c r="C270">
        <v>135</v>
      </c>
      <c r="D270" t="s">
        <v>3823</v>
      </c>
      <c r="E270">
        <v>1</v>
      </c>
      <c r="F270">
        <v>9.1999999999999998E-2</v>
      </c>
      <c r="G270">
        <v>8001</v>
      </c>
      <c r="H270">
        <v>190</v>
      </c>
      <c r="I270">
        <v>1</v>
      </c>
      <c r="J270">
        <v>8000</v>
      </c>
      <c r="K270">
        <v>290</v>
      </c>
      <c r="L270">
        <v>1</v>
      </c>
      <c r="M270">
        <v>2007</v>
      </c>
      <c r="N270">
        <v>1</v>
      </c>
      <c r="O270">
        <v>0.05</v>
      </c>
      <c r="P270">
        <v>9000</v>
      </c>
      <c r="Q270">
        <v>69</v>
      </c>
      <c r="R270">
        <v>1</v>
      </c>
      <c r="S270" t="s">
        <v>3824</v>
      </c>
      <c r="T270">
        <v>10</v>
      </c>
      <c r="U270">
        <v>0.5</v>
      </c>
      <c r="V270">
        <v>1000</v>
      </c>
      <c r="W270">
        <v>2995</v>
      </c>
      <c r="X270">
        <v>1</v>
      </c>
      <c r="Y270">
        <v>2006</v>
      </c>
      <c r="Z270">
        <v>1</v>
      </c>
      <c r="AA270">
        <v>0.03</v>
      </c>
    </row>
    <row r="271" spans="1:27">
      <c r="A271">
        <v>1269</v>
      </c>
      <c r="B271" t="s">
        <v>4072</v>
      </c>
      <c r="C271">
        <v>135</v>
      </c>
      <c r="D271" t="s">
        <v>3823</v>
      </c>
      <c r="E271">
        <v>1</v>
      </c>
      <c r="F271">
        <v>9.1999999999999998E-2</v>
      </c>
      <c r="G271">
        <v>8001</v>
      </c>
      <c r="H271">
        <v>195</v>
      </c>
      <c r="I271">
        <v>1</v>
      </c>
      <c r="J271">
        <v>8000</v>
      </c>
      <c r="K271">
        <v>290</v>
      </c>
      <c r="L271">
        <v>1</v>
      </c>
      <c r="M271">
        <v>2007</v>
      </c>
      <c r="N271">
        <v>1</v>
      </c>
      <c r="O271">
        <v>0.05</v>
      </c>
      <c r="P271">
        <v>9000</v>
      </c>
      <c r="Q271">
        <v>69</v>
      </c>
      <c r="R271">
        <v>1</v>
      </c>
      <c r="S271" t="s">
        <v>3824</v>
      </c>
      <c r="T271">
        <v>10</v>
      </c>
      <c r="U271">
        <v>0.5</v>
      </c>
      <c r="V271">
        <v>1000</v>
      </c>
      <c r="W271">
        <v>3010</v>
      </c>
      <c r="X271">
        <v>1</v>
      </c>
      <c r="Y271">
        <v>2006</v>
      </c>
      <c r="Z271">
        <v>1</v>
      </c>
      <c r="AA271">
        <v>0.03</v>
      </c>
    </row>
    <row r="272" spans="1:27">
      <c r="A272">
        <v>1270</v>
      </c>
      <c r="B272" t="s">
        <v>4073</v>
      </c>
      <c r="C272">
        <v>136</v>
      </c>
      <c r="D272" t="s">
        <v>3823</v>
      </c>
      <c r="E272">
        <v>1</v>
      </c>
      <c r="F272">
        <v>9.2999999999999999E-2</v>
      </c>
      <c r="G272">
        <v>8001</v>
      </c>
      <c r="H272">
        <v>195</v>
      </c>
      <c r="I272">
        <v>1</v>
      </c>
      <c r="J272">
        <v>8000</v>
      </c>
      <c r="K272">
        <v>290</v>
      </c>
      <c r="L272">
        <v>1</v>
      </c>
      <c r="M272">
        <v>2007</v>
      </c>
      <c r="N272">
        <v>1</v>
      </c>
      <c r="O272">
        <v>0.05</v>
      </c>
      <c r="P272">
        <v>9000</v>
      </c>
      <c r="Q272">
        <v>70</v>
      </c>
      <c r="R272">
        <v>1</v>
      </c>
      <c r="S272" t="s">
        <v>3824</v>
      </c>
      <c r="T272">
        <v>10</v>
      </c>
      <c r="U272">
        <v>0.5</v>
      </c>
      <c r="V272">
        <v>1000</v>
      </c>
      <c r="W272">
        <v>3025</v>
      </c>
      <c r="X272">
        <v>1</v>
      </c>
      <c r="Y272">
        <v>2006</v>
      </c>
      <c r="Z272">
        <v>1</v>
      </c>
      <c r="AA272">
        <v>0.03</v>
      </c>
    </row>
    <row r="273" spans="1:27">
      <c r="A273">
        <v>1271</v>
      </c>
      <c r="B273" t="s">
        <v>4074</v>
      </c>
      <c r="C273">
        <v>136</v>
      </c>
      <c r="D273" t="s">
        <v>3823</v>
      </c>
      <c r="E273">
        <v>1</v>
      </c>
      <c r="F273">
        <v>9.2999999999999999E-2</v>
      </c>
      <c r="G273">
        <v>8001</v>
      </c>
      <c r="H273">
        <v>195</v>
      </c>
      <c r="I273">
        <v>1</v>
      </c>
      <c r="J273">
        <v>8000</v>
      </c>
      <c r="K273">
        <v>290</v>
      </c>
      <c r="L273">
        <v>1</v>
      </c>
      <c r="M273">
        <v>2007</v>
      </c>
      <c r="N273">
        <v>1</v>
      </c>
      <c r="O273">
        <v>0.05</v>
      </c>
      <c r="P273">
        <v>9000</v>
      </c>
      <c r="Q273">
        <v>70</v>
      </c>
      <c r="R273">
        <v>1</v>
      </c>
      <c r="S273" t="s">
        <v>3824</v>
      </c>
      <c r="T273">
        <v>10</v>
      </c>
      <c r="U273">
        <v>0.5</v>
      </c>
      <c r="V273">
        <v>1000</v>
      </c>
      <c r="W273">
        <v>3035</v>
      </c>
      <c r="X273">
        <v>1</v>
      </c>
      <c r="Y273">
        <v>2006</v>
      </c>
      <c r="Z273">
        <v>1</v>
      </c>
      <c r="AA273">
        <v>0.03</v>
      </c>
    </row>
    <row r="274" spans="1:27">
      <c r="A274">
        <v>1272</v>
      </c>
      <c r="B274" t="s">
        <v>4074</v>
      </c>
      <c r="C274">
        <v>137</v>
      </c>
      <c r="D274" t="s">
        <v>3823</v>
      </c>
      <c r="E274">
        <v>1</v>
      </c>
      <c r="F274">
        <v>9.2999999999999999E-2</v>
      </c>
      <c r="G274">
        <v>8001</v>
      </c>
      <c r="H274">
        <v>195</v>
      </c>
      <c r="I274">
        <v>1</v>
      </c>
      <c r="J274">
        <v>8000</v>
      </c>
      <c r="K274">
        <v>295</v>
      </c>
      <c r="L274">
        <v>1</v>
      </c>
      <c r="M274">
        <v>2007</v>
      </c>
      <c r="N274">
        <v>1</v>
      </c>
      <c r="O274">
        <v>0.05</v>
      </c>
      <c r="P274">
        <v>9000</v>
      </c>
      <c r="Q274">
        <v>70</v>
      </c>
      <c r="R274">
        <v>1</v>
      </c>
      <c r="S274" t="s">
        <v>3824</v>
      </c>
      <c r="T274">
        <v>10</v>
      </c>
      <c r="U274">
        <v>0.5</v>
      </c>
      <c r="V274">
        <v>1000</v>
      </c>
      <c r="W274">
        <v>3050</v>
      </c>
      <c r="X274">
        <v>1</v>
      </c>
      <c r="Y274">
        <v>2006</v>
      </c>
      <c r="Z274">
        <v>1</v>
      </c>
      <c r="AA274">
        <v>0.03</v>
      </c>
    </row>
    <row r="275" spans="1:27">
      <c r="A275">
        <v>1273</v>
      </c>
      <c r="B275" t="s">
        <v>4075</v>
      </c>
      <c r="C275">
        <v>137</v>
      </c>
      <c r="D275" t="s">
        <v>3823</v>
      </c>
      <c r="E275">
        <v>1</v>
      </c>
      <c r="F275">
        <v>9.2999999999999999E-2</v>
      </c>
      <c r="G275">
        <v>8001</v>
      </c>
      <c r="H275">
        <v>195</v>
      </c>
      <c r="I275">
        <v>1</v>
      </c>
      <c r="J275">
        <v>8000</v>
      </c>
      <c r="K275">
        <v>295</v>
      </c>
      <c r="L275">
        <v>1</v>
      </c>
      <c r="M275">
        <v>2007</v>
      </c>
      <c r="N275">
        <v>1</v>
      </c>
      <c r="O275">
        <v>0.05</v>
      </c>
      <c r="P275">
        <v>9000</v>
      </c>
      <c r="Q275">
        <v>71</v>
      </c>
      <c r="R275">
        <v>1</v>
      </c>
      <c r="S275" t="s">
        <v>3824</v>
      </c>
      <c r="T275">
        <v>10</v>
      </c>
      <c r="U275">
        <v>0.5</v>
      </c>
      <c r="V275">
        <v>1000</v>
      </c>
      <c r="W275">
        <v>3065</v>
      </c>
      <c r="X275">
        <v>1</v>
      </c>
      <c r="Y275">
        <v>2006</v>
      </c>
      <c r="Z275">
        <v>1</v>
      </c>
      <c r="AA275">
        <v>0.03</v>
      </c>
    </row>
    <row r="276" spans="1:27">
      <c r="A276">
        <v>1274</v>
      </c>
      <c r="B276" t="s">
        <v>4076</v>
      </c>
      <c r="C276">
        <v>138</v>
      </c>
      <c r="D276" t="s">
        <v>3823</v>
      </c>
      <c r="E276">
        <v>1</v>
      </c>
      <c r="F276">
        <v>9.4E-2</v>
      </c>
      <c r="G276">
        <v>8001</v>
      </c>
      <c r="H276">
        <v>195</v>
      </c>
      <c r="I276">
        <v>1</v>
      </c>
      <c r="J276">
        <v>8000</v>
      </c>
      <c r="K276">
        <v>295</v>
      </c>
      <c r="L276">
        <v>1</v>
      </c>
      <c r="M276">
        <v>2007</v>
      </c>
      <c r="N276">
        <v>1</v>
      </c>
      <c r="O276">
        <v>0.05</v>
      </c>
      <c r="P276">
        <v>9000</v>
      </c>
      <c r="Q276">
        <v>71</v>
      </c>
      <c r="R276">
        <v>1</v>
      </c>
      <c r="S276" t="s">
        <v>3824</v>
      </c>
      <c r="T276">
        <v>10</v>
      </c>
      <c r="U276">
        <v>0.5</v>
      </c>
      <c r="V276">
        <v>1000</v>
      </c>
      <c r="W276">
        <v>3080</v>
      </c>
      <c r="X276">
        <v>1</v>
      </c>
      <c r="Y276">
        <v>2006</v>
      </c>
      <c r="Z276">
        <v>1</v>
      </c>
      <c r="AA276">
        <v>0.03</v>
      </c>
    </row>
    <row r="277" spans="1:27">
      <c r="A277">
        <v>1275</v>
      </c>
      <c r="B277" t="s">
        <v>4077</v>
      </c>
      <c r="C277">
        <v>138</v>
      </c>
      <c r="D277" t="s">
        <v>3823</v>
      </c>
      <c r="E277">
        <v>1</v>
      </c>
      <c r="F277">
        <v>9.4E-2</v>
      </c>
      <c r="G277">
        <v>8001</v>
      </c>
      <c r="H277">
        <v>200</v>
      </c>
      <c r="I277">
        <v>1</v>
      </c>
      <c r="J277">
        <v>8000</v>
      </c>
      <c r="K277">
        <v>295</v>
      </c>
      <c r="L277">
        <v>1</v>
      </c>
      <c r="M277">
        <v>2007</v>
      </c>
      <c r="N277">
        <v>1</v>
      </c>
      <c r="O277">
        <v>0.05</v>
      </c>
      <c r="P277">
        <v>9000</v>
      </c>
      <c r="Q277">
        <v>71</v>
      </c>
      <c r="R277">
        <v>1</v>
      </c>
      <c r="S277" t="s">
        <v>3824</v>
      </c>
      <c r="T277">
        <v>10</v>
      </c>
      <c r="U277">
        <v>0.5</v>
      </c>
      <c r="V277">
        <v>1000</v>
      </c>
      <c r="W277">
        <v>3095</v>
      </c>
      <c r="X277">
        <v>1</v>
      </c>
      <c r="Y277">
        <v>2006</v>
      </c>
      <c r="Z277">
        <v>1</v>
      </c>
      <c r="AA277">
        <v>0.03</v>
      </c>
    </row>
    <row r="278" spans="1:27">
      <c r="A278">
        <v>1276</v>
      </c>
      <c r="B278" t="s">
        <v>4078</v>
      </c>
      <c r="C278">
        <v>139</v>
      </c>
      <c r="D278" t="s">
        <v>3823</v>
      </c>
      <c r="E278">
        <v>1</v>
      </c>
      <c r="F278">
        <v>9.4E-2</v>
      </c>
      <c r="G278">
        <v>8001</v>
      </c>
      <c r="H278">
        <v>200</v>
      </c>
      <c r="I278">
        <v>1</v>
      </c>
      <c r="J278">
        <v>8000</v>
      </c>
      <c r="K278">
        <v>300</v>
      </c>
      <c r="L278">
        <v>1</v>
      </c>
      <c r="M278">
        <v>2007</v>
      </c>
      <c r="N278">
        <v>1</v>
      </c>
      <c r="O278">
        <v>0.05</v>
      </c>
      <c r="P278">
        <v>9000</v>
      </c>
      <c r="Q278">
        <v>72</v>
      </c>
      <c r="R278">
        <v>1</v>
      </c>
      <c r="S278" t="s">
        <v>3824</v>
      </c>
      <c r="T278">
        <v>10</v>
      </c>
      <c r="U278">
        <v>0.5</v>
      </c>
      <c r="V278">
        <v>1000</v>
      </c>
      <c r="W278">
        <v>3105</v>
      </c>
      <c r="X278">
        <v>1</v>
      </c>
      <c r="Y278">
        <v>2006</v>
      </c>
      <c r="Z278">
        <v>1</v>
      </c>
      <c r="AA278">
        <v>0.03</v>
      </c>
    </row>
    <row r="279" spans="1:27">
      <c r="A279">
        <v>1277</v>
      </c>
      <c r="B279" t="s">
        <v>4079</v>
      </c>
      <c r="C279">
        <v>139</v>
      </c>
      <c r="D279" t="s">
        <v>3823</v>
      </c>
      <c r="E279">
        <v>1</v>
      </c>
      <c r="F279">
        <v>9.4E-2</v>
      </c>
      <c r="G279">
        <v>8001</v>
      </c>
      <c r="H279">
        <v>200</v>
      </c>
      <c r="I279">
        <v>1</v>
      </c>
      <c r="J279">
        <v>8000</v>
      </c>
      <c r="K279">
        <v>300</v>
      </c>
      <c r="L279">
        <v>1</v>
      </c>
      <c r="M279">
        <v>2007</v>
      </c>
      <c r="N279">
        <v>1</v>
      </c>
      <c r="O279">
        <v>0.05</v>
      </c>
      <c r="P279">
        <v>9000</v>
      </c>
      <c r="Q279">
        <v>72</v>
      </c>
      <c r="R279">
        <v>1</v>
      </c>
      <c r="S279" t="s">
        <v>3824</v>
      </c>
      <c r="T279">
        <v>10</v>
      </c>
      <c r="U279">
        <v>0.5</v>
      </c>
      <c r="V279">
        <v>1000</v>
      </c>
      <c r="W279">
        <v>3120</v>
      </c>
      <c r="X279">
        <v>1</v>
      </c>
      <c r="Y279">
        <v>2006</v>
      </c>
      <c r="Z279">
        <v>1</v>
      </c>
      <c r="AA279">
        <v>0.03</v>
      </c>
    </row>
    <row r="280" spans="1:27">
      <c r="A280">
        <v>1278</v>
      </c>
      <c r="B280" t="s">
        <v>4080</v>
      </c>
      <c r="C280">
        <v>140</v>
      </c>
      <c r="D280" t="s">
        <v>3823</v>
      </c>
      <c r="E280">
        <v>1</v>
      </c>
      <c r="F280">
        <v>9.5000000000000001E-2</v>
      </c>
      <c r="G280">
        <v>8001</v>
      </c>
      <c r="H280">
        <v>200</v>
      </c>
      <c r="I280">
        <v>1</v>
      </c>
      <c r="J280">
        <v>8000</v>
      </c>
      <c r="K280">
        <v>300</v>
      </c>
      <c r="L280">
        <v>1</v>
      </c>
      <c r="M280">
        <v>2007</v>
      </c>
      <c r="N280">
        <v>1</v>
      </c>
      <c r="O280">
        <v>0.05</v>
      </c>
      <c r="P280">
        <v>9000</v>
      </c>
      <c r="Q280">
        <v>72</v>
      </c>
      <c r="R280">
        <v>1</v>
      </c>
      <c r="S280" t="s">
        <v>3824</v>
      </c>
      <c r="T280">
        <v>10</v>
      </c>
      <c r="U280">
        <v>0.5</v>
      </c>
      <c r="V280">
        <v>1000</v>
      </c>
      <c r="W280">
        <v>3135</v>
      </c>
      <c r="X280">
        <v>1</v>
      </c>
      <c r="Y280">
        <v>2006</v>
      </c>
      <c r="Z280">
        <v>1</v>
      </c>
      <c r="AA280">
        <v>0.03</v>
      </c>
    </row>
    <row r="281" spans="1:27">
      <c r="A281">
        <v>1279</v>
      </c>
      <c r="B281" t="s">
        <v>4081</v>
      </c>
      <c r="C281">
        <v>140</v>
      </c>
      <c r="D281" t="s">
        <v>3823</v>
      </c>
      <c r="E281">
        <v>1</v>
      </c>
      <c r="F281">
        <v>9.5000000000000001E-2</v>
      </c>
      <c r="G281">
        <v>8001</v>
      </c>
      <c r="H281">
        <v>200</v>
      </c>
      <c r="I281">
        <v>1</v>
      </c>
      <c r="J281">
        <v>8000</v>
      </c>
      <c r="K281">
        <v>300</v>
      </c>
      <c r="L281">
        <v>1</v>
      </c>
      <c r="M281">
        <v>2007</v>
      </c>
      <c r="N281">
        <v>1</v>
      </c>
      <c r="O281">
        <v>0.05</v>
      </c>
      <c r="P281">
        <v>9000</v>
      </c>
      <c r="Q281">
        <v>73</v>
      </c>
      <c r="R281">
        <v>1</v>
      </c>
      <c r="S281" t="s">
        <v>3824</v>
      </c>
      <c r="T281">
        <v>10</v>
      </c>
      <c r="U281">
        <v>0.5</v>
      </c>
      <c r="V281">
        <v>1000</v>
      </c>
      <c r="W281">
        <v>3150</v>
      </c>
      <c r="X281">
        <v>1</v>
      </c>
      <c r="Y281">
        <v>2006</v>
      </c>
      <c r="Z281">
        <v>1</v>
      </c>
      <c r="AA281">
        <v>0.03</v>
      </c>
    </row>
    <row r="282" spans="1:27">
      <c r="A282">
        <v>1280</v>
      </c>
      <c r="B282" t="s">
        <v>4082</v>
      </c>
      <c r="C282">
        <v>141</v>
      </c>
      <c r="D282" t="s">
        <v>3823</v>
      </c>
      <c r="E282">
        <v>1</v>
      </c>
      <c r="F282">
        <v>9.5000000000000001E-2</v>
      </c>
      <c r="G282">
        <v>8001</v>
      </c>
      <c r="H282">
        <v>200</v>
      </c>
      <c r="I282">
        <v>1</v>
      </c>
      <c r="J282">
        <v>8000</v>
      </c>
      <c r="K282">
        <v>305</v>
      </c>
      <c r="L282">
        <v>1</v>
      </c>
      <c r="M282">
        <v>2007</v>
      </c>
      <c r="N282">
        <v>1</v>
      </c>
      <c r="O282">
        <v>0.05</v>
      </c>
      <c r="P282">
        <v>9000</v>
      </c>
      <c r="Q282">
        <v>73</v>
      </c>
      <c r="R282">
        <v>1</v>
      </c>
      <c r="S282" t="s">
        <v>3824</v>
      </c>
      <c r="T282">
        <v>10</v>
      </c>
      <c r="U282">
        <v>0.5</v>
      </c>
      <c r="V282">
        <v>1000</v>
      </c>
      <c r="W282">
        <v>3165</v>
      </c>
      <c r="X282">
        <v>1</v>
      </c>
      <c r="Y282">
        <v>2006</v>
      </c>
      <c r="Z282">
        <v>1</v>
      </c>
      <c r="AA282">
        <v>0.03</v>
      </c>
    </row>
    <row r="283" spans="1:27">
      <c r="A283">
        <v>1281</v>
      </c>
      <c r="B283" t="s">
        <v>4083</v>
      </c>
      <c r="C283">
        <v>141</v>
      </c>
      <c r="D283" t="s">
        <v>3823</v>
      </c>
      <c r="E283">
        <v>1</v>
      </c>
      <c r="F283">
        <v>9.5000000000000001E-2</v>
      </c>
      <c r="G283">
        <v>8001</v>
      </c>
      <c r="H283">
        <v>205</v>
      </c>
      <c r="I283">
        <v>1</v>
      </c>
      <c r="J283">
        <v>8000</v>
      </c>
      <c r="K283">
        <v>305</v>
      </c>
      <c r="L283">
        <v>1</v>
      </c>
      <c r="M283">
        <v>2007</v>
      </c>
      <c r="N283">
        <v>1</v>
      </c>
      <c r="O283">
        <v>0.05</v>
      </c>
      <c r="P283">
        <v>9000</v>
      </c>
      <c r="Q283">
        <v>74</v>
      </c>
      <c r="R283">
        <v>1</v>
      </c>
      <c r="S283" t="s">
        <v>3824</v>
      </c>
      <c r="T283">
        <v>10</v>
      </c>
      <c r="U283">
        <v>0.5</v>
      </c>
      <c r="V283">
        <v>1000</v>
      </c>
      <c r="W283">
        <v>3175</v>
      </c>
      <c r="X283">
        <v>1</v>
      </c>
      <c r="Y283">
        <v>2006</v>
      </c>
      <c r="Z283">
        <v>1</v>
      </c>
      <c r="AA283">
        <v>0.03</v>
      </c>
    </row>
    <row r="284" spans="1:27">
      <c r="A284">
        <v>1282</v>
      </c>
      <c r="B284" t="s">
        <v>4078</v>
      </c>
      <c r="C284">
        <v>142</v>
      </c>
      <c r="D284" t="s">
        <v>3823</v>
      </c>
      <c r="E284">
        <v>1</v>
      </c>
      <c r="F284">
        <v>9.6000000000000002E-2</v>
      </c>
      <c r="G284">
        <v>8001</v>
      </c>
      <c r="H284">
        <v>205</v>
      </c>
      <c r="I284">
        <v>1</v>
      </c>
      <c r="J284">
        <v>8000</v>
      </c>
      <c r="K284">
        <v>305</v>
      </c>
      <c r="L284">
        <v>1</v>
      </c>
      <c r="M284">
        <v>2007</v>
      </c>
      <c r="N284">
        <v>1</v>
      </c>
      <c r="O284">
        <v>0.05</v>
      </c>
      <c r="P284">
        <v>9000</v>
      </c>
      <c r="Q284">
        <v>74</v>
      </c>
      <c r="R284">
        <v>1</v>
      </c>
      <c r="S284" t="s">
        <v>3824</v>
      </c>
      <c r="T284">
        <v>10</v>
      </c>
      <c r="U284">
        <v>0.5</v>
      </c>
      <c r="V284">
        <v>1000</v>
      </c>
      <c r="W284">
        <v>3190</v>
      </c>
      <c r="X284">
        <v>1</v>
      </c>
      <c r="Y284">
        <v>2006</v>
      </c>
      <c r="Z284">
        <v>1</v>
      </c>
      <c r="AA284">
        <v>0.03</v>
      </c>
    </row>
    <row r="285" spans="1:27">
      <c r="A285">
        <v>1283</v>
      </c>
      <c r="B285" t="s">
        <v>4084</v>
      </c>
      <c r="C285">
        <v>142</v>
      </c>
      <c r="D285" t="s">
        <v>3823</v>
      </c>
      <c r="E285">
        <v>1</v>
      </c>
      <c r="F285">
        <v>9.6000000000000002E-2</v>
      </c>
      <c r="G285">
        <v>8001</v>
      </c>
      <c r="H285">
        <v>205</v>
      </c>
      <c r="I285">
        <v>1</v>
      </c>
      <c r="J285">
        <v>8000</v>
      </c>
      <c r="K285">
        <v>310</v>
      </c>
      <c r="L285">
        <v>1</v>
      </c>
      <c r="M285">
        <v>2007</v>
      </c>
      <c r="N285">
        <v>1</v>
      </c>
      <c r="O285">
        <v>0.05</v>
      </c>
      <c r="P285">
        <v>9000</v>
      </c>
      <c r="Q285">
        <v>74</v>
      </c>
      <c r="R285">
        <v>1</v>
      </c>
      <c r="S285" t="s">
        <v>3824</v>
      </c>
      <c r="T285">
        <v>10</v>
      </c>
      <c r="U285">
        <v>0.5</v>
      </c>
      <c r="V285">
        <v>1000</v>
      </c>
      <c r="W285">
        <v>3205</v>
      </c>
      <c r="X285">
        <v>1</v>
      </c>
      <c r="Y285">
        <v>2006</v>
      </c>
      <c r="Z285">
        <v>1</v>
      </c>
      <c r="AA285">
        <v>0.03</v>
      </c>
    </row>
    <row r="286" spans="1:27">
      <c r="A286">
        <v>1284</v>
      </c>
      <c r="B286" t="s">
        <v>4076</v>
      </c>
      <c r="C286">
        <v>143</v>
      </c>
      <c r="D286" t="s">
        <v>3823</v>
      </c>
      <c r="E286">
        <v>1</v>
      </c>
      <c r="F286">
        <v>9.6000000000000002E-2</v>
      </c>
      <c r="G286">
        <v>8001</v>
      </c>
      <c r="H286">
        <v>205</v>
      </c>
      <c r="I286">
        <v>1</v>
      </c>
      <c r="J286">
        <v>8000</v>
      </c>
      <c r="K286">
        <v>310</v>
      </c>
      <c r="L286">
        <v>1</v>
      </c>
      <c r="M286">
        <v>2007</v>
      </c>
      <c r="N286">
        <v>1</v>
      </c>
      <c r="O286">
        <v>0.05</v>
      </c>
      <c r="P286">
        <v>9000</v>
      </c>
      <c r="Q286">
        <v>75</v>
      </c>
      <c r="R286">
        <v>1</v>
      </c>
      <c r="S286" t="s">
        <v>3824</v>
      </c>
      <c r="T286">
        <v>10</v>
      </c>
      <c r="U286">
        <v>0.5</v>
      </c>
      <c r="V286">
        <v>1000</v>
      </c>
      <c r="W286">
        <v>3220</v>
      </c>
      <c r="X286">
        <v>1</v>
      </c>
      <c r="Y286">
        <v>2006</v>
      </c>
      <c r="Z286">
        <v>1</v>
      </c>
      <c r="AA286">
        <v>0.03</v>
      </c>
    </row>
    <row r="287" spans="1:27">
      <c r="A287">
        <v>1285</v>
      </c>
      <c r="B287" t="s">
        <v>4085</v>
      </c>
      <c r="C287">
        <v>143</v>
      </c>
      <c r="D287" t="s">
        <v>3823</v>
      </c>
      <c r="E287">
        <v>1</v>
      </c>
      <c r="F287">
        <v>9.6000000000000002E-2</v>
      </c>
      <c r="G287">
        <v>8001</v>
      </c>
      <c r="H287">
        <v>205</v>
      </c>
      <c r="I287">
        <v>1</v>
      </c>
      <c r="J287">
        <v>8000</v>
      </c>
      <c r="K287">
        <v>310</v>
      </c>
      <c r="L287">
        <v>1</v>
      </c>
      <c r="M287">
        <v>2007</v>
      </c>
      <c r="N287">
        <v>1</v>
      </c>
      <c r="O287">
        <v>0.05</v>
      </c>
      <c r="P287">
        <v>9000</v>
      </c>
      <c r="Q287">
        <v>75</v>
      </c>
      <c r="R287">
        <v>1</v>
      </c>
      <c r="S287" t="s">
        <v>3824</v>
      </c>
      <c r="T287">
        <v>10</v>
      </c>
      <c r="U287">
        <v>0.5</v>
      </c>
      <c r="V287">
        <v>1000</v>
      </c>
      <c r="W287">
        <v>3235</v>
      </c>
      <c r="X287">
        <v>1</v>
      </c>
      <c r="Y287">
        <v>2006</v>
      </c>
      <c r="Z287">
        <v>1</v>
      </c>
      <c r="AA287">
        <v>0.03</v>
      </c>
    </row>
    <row r="288" spans="1:27">
      <c r="A288">
        <v>1286</v>
      </c>
      <c r="B288" t="s">
        <v>4086</v>
      </c>
      <c r="C288">
        <v>144</v>
      </c>
      <c r="D288" t="s">
        <v>3823</v>
      </c>
      <c r="E288">
        <v>1</v>
      </c>
      <c r="F288">
        <v>9.7000000000000003E-2</v>
      </c>
      <c r="G288">
        <v>8001</v>
      </c>
      <c r="H288">
        <v>210</v>
      </c>
      <c r="I288">
        <v>1</v>
      </c>
      <c r="J288">
        <v>8000</v>
      </c>
      <c r="K288">
        <v>310</v>
      </c>
      <c r="L288">
        <v>1</v>
      </c>
      <c r="M288">
        <v>2007</v>
      </c>
      <c r="N288">
        <v>1</v>
      </c>
      <c r="O288">
        <v>0.05</v>
      </c>
      <c r="P288">
        <v>9000</v>
      </c>
      <c r="Q288">
        <v>75</v>
      </c>
      <c r="R288">
        <v>1</v>
      </c>
      <c r="S288" t="s">
        <v>3824</v>
      </c>
      <c r="T288">
        <v>10</v>
      </c>
      <c r="U288">
        <v>0.5</v>
      </c>
      <c r="V288">
        <v>1000</v>
      </c>
      <c r="W288">
        <v>3245</v>
      </c>
      <c r="X288">
        <v>1</v>
      </c>
      <c r="Y288">
        <v>2006</v>
      </c>
      <c r="Z288">
        <v>1</v>
      </c>
      <c r="AA288">
        <v>0.03</v>
      </c>
    </row>
    <row r="289" spans="1:27">
      <c r="A289">
        <v>1287</v>
      </c>
      <c r="B289" t="s">
        <v>4087</v>
      </c>
      <c r="C289">
        <v>144</v>
      </c>
      <c r="D289" t="s">
        <v>3823</v>
      </c>
      <c r="E289">
        <v>1</v>
      </c>
      <c r="F289">
        <v>9.7000000000000003E-2</v>
      </c>
      <c r="G289">
        <v>8001</v>
      </c>
      <c r="H289">
        <v>210</v>
      </c>
      <c r="I289">
        <v>1</v>
      </c>
      <c r="J289">
        <v>8000</v>
      </c>
      <c r="K289">
        <v>315</v>
      </c>
      <c r="L289">
        <v>1</v>
      </c>
      <c r="M289">
        <v>2007</v>
      </c>
      <c r="N289">
        <v>1</v>
      </c>
      <c r="O289">
        <v>0.05</v>
      </c>
      <c r="P289">
        <v>9000</v>
      </c>
      <c r="Q289">
        <v>76</v>
      </c>
      <c r="R289">
        <v>1</v>
      </c>
      <c r="S289" t="s">
        <v>3824</v>
      </c>
      <c r="T289">
        <v>10</v>
      </c>
      <c r="U289">
        <v>0.5</v>
      </c>
      <c r="V289">
        <v>1000</v>
      </c>
      <c r="W289">
        <v>3260</v>
      </c>
      <c r="X289">
        <v>1</v>
      </c>
      <c r="Y289">
        <v>2006</v>
      </c>
      <c r="Z289">
        <v>1</v>
      </c>
      <c r="AA289">
        <v>0.03</v>
      </c>
    </row>
    <row r="290" spans="1:27">
      <c r="A290">
        <v>1288</v>
      </c>
      <c r="B290" t="s">
        <v>4088</v>
      </c>
      <c r="C290">
        <v>145</v>
      </c>
      <c r="D290" t="s">
        <v>3823</v>
      </c>
      <c r="E290">
        <v>1</v>
      </c>
      <c r="F290">
        <v>9.7000000000000003E-2</v>
      </c>
      <c r="G290">
        <v>8001</v>
      </c>
      <c r="H290">
        <v>210</v>
      </c>
      <c r="I290">
        <v>1</v>
      </c>
      <c r="J290">
        <v>8000</v>
      </c>
      <c r="K290">
        <v>315</v>
      </c>
      <c r="L290">
        <v>1</v>
      </c>
      <c r="M290">
        <v>2007</v>
      </c>
      <c r="N290">
        <v>1</v>
      </c>
      <c r="O290">
        <v>0.05</v>
      </c>
      <c r="P290">
        <v>9000</v>
      </c>
      <c r="Q290">
        <v>76</v>
      </c>
      <c r="R290">
        <v>1</v>
      </c>
      <c r="S290" t="s">
        <v>3824</v>
      </c>
      <c r="T290">
        <v>10</v>
      </c>
      <c r="U290">
        <v>0.5</v>
      </c>
      <c r="V290">
        <v>1000</v>
      </c>
      <c r="W290">
        <v>3275</v>
      </c>
      <c r="X290">
        <v>1</v>
      </c>
      <c r="Y290">
        <v>2006</v>
      </c>
      <c r="Z290">
        <v>1</v>
      </c>
      <c r="AA290">
        <v>0.03</v>
      </c>
    </row>
    <row r="291" spans="1:27">
      <c r="A291">
        <v>1289</v>
      </c>
      <c r="B291" t="s">
        <v>4089</v>
      </c>
      <c r="C291">
        <v>145</v>
      </c>
      <c r="D291" t="s">
        <v>3823</v>
      </c>
      <c r="E291">
        <v>1</v>
      </c>
      <c r="F291">
        <v>9.7000000000000003E-2</v>
      </c>
      <c r="G291">
        <v>8001</v>
      </c>
      <c r="H291">
        <v>210</v>
      </c>
      <c r="I291">
        <v>1</v>
      </c>
      <c r="J291">
        <v>8000</v>
      </c>
      <c r="K291">
        <v>315</v>
      </c>
      <c r="L291">
        <v>1</v>
      </c>
      <c r="M291">
        <v>2007</v>
      </c>
      <c r="N291">
        <v>1</v>
      </c>
      <c r="O291">
        <v>0.05</v>
      </c>
      <c r="P291">
        <v>9000</v>
      </c>
      <c r="Q291">
        <v>76</v>
      </c>
      <c r="R291">
        <v>1</v>
      </c>
      <c r="S291" t="s">
        <v>3824</v>
      </c>
      <c r="T291">
        <v>11</v>
      </c>
      <c r="U291">
        <v>0.5</v>
      </c>
      <c r="V291">
        <v>1000</v>
      </c>
      <c r="W291">
        <v>3290</v>
      </c>
      <c r="X291">
        <v>1</v>
      </c>
      <c r="Y291">
        <v>2006</v>
      </c>
      <c r="Z291">
        <v>1</v>
      </c>
      <c r="AA291">
        <v>0.03</v>
      </c>
    </row>
    <row r="292" spans="1:27">
      <c r="A292">
        <v>1290</v>
      </c>
      <c r="B292" t="s">
        <v>4090</v>
      </c>
      <c r="C292">
        <v>146</v>
      </c>
      <c r="D292" t="s">
        <v>3823</v>
      </c>
      <c r="E292">
        <v>1</v>
      </c>
      <c r="F292">
        <v>9.8000000000000004E-2</v>
      </c>
      <c r="G292">
        <v>8001</v>
      </c>
      <c r="H292">
        <v>210</v>
      </c>
      <c r="I292">
        <v>1</v>
      </c>
      <c r="J292">
        <v>8000</v>
      </c>
      <c r="K292">
        <v>315</v>
      </c>
      <c r="L292">
        <v>1</v>
      </c>
      <c r="M292">
        <v>2007</v>
      </c>
      <c r="N292">
        <v>1</v>
      </c>
      <c r="O292">
        <v>0.05</v>
      </c>
      <c r="P292">
        <v>9000</v>
      </c>
      <c r="Q292">
        <v>77</v>
      </c>
      <c r="R292">
        <v>1</v>
      </c>
      <c r="S292" t="s">
        <v>3824</v>
      </c>
      <c r="T292">
        <v>11</v>
      </c>
      <c r="U292">
        <v>0.5</v>
      </c>
      <c r="V292">
        <v>1000</v>
      </c>
      <c r="W292">
        <v>3305</v>
      </c>
      <c r="X292">
        <v>1</v>
      </c>
      <c r="Y292">
        <v>2006</v>
      </c>
      <c r="Z292">
        <v>1</v>
      </c>
      <c r="AA292">
        <v>0.03</v>
      </c>
    </row>
    <row r="293" spans="1:27">
      <c r="A293">
        <v>1291</v>
      </c>
      <c r="B293" t="s">
        <v>4091</v>
      </c>
      <c r="C293">
        <v>146</v>
      </c>
      <c r="D293" t="s">
        <v>3823</v>
      </c>
      <c r="E293">
        <v>1</v>
      </c>
      <c r="F293">
        <v>9.8000000000000004E-2</v>
      </c>
      <c r="G293">
        <v>8001</v>
      </c>
      <c r="H293">
        <v>210</v>
      </c>
      <c r="I293">
        <v>1</v>
      </c>
      <c r="J293">
        <v>8000</v>
      </c>
      <c r="K293">
        <v>320</v>
      </c>
      <c r="L293">
        <v>1</v>
      </c>
      <c r="M293">
        <v>2007</v>
      </c>
      <c r="N293">
        <v>1</v>
      </c>
      <c r="O293">
        <v>0.05</v>
      </c>
      <c r="P293">
        <v>9000</v>
      </c>
      <c r="Q293">
        <v>77</v>
      </c>
      <c r="R293">
        <v>1</v>
      </c>
      <c r="S293" t="s">
        <v>3824</v>
      </c>
      <c r="T293">
        <v>11</v>
      </c>
      <c r="U293">
        <v>0.5</v>
      </c>
      <c r="V293">
        <v>1000</v>
      </c>
      <c r="W293">
        <v>3320</v>
      </c>
      <c r="X293">
        <v>1</v>
      </c>
      <c r="Y293">
        <v>2006</v>
      </c>
      <c r="Z293">
        <v>1</v>
      </c>
      <c r="AA293">
        <v>0.03</v>
      </c>
    </row>
    <row r="294" spans="1:27">
      <c r="A294">
        <v>1292</v>
      </c>
      <c r="B294" t="s">
        <v>4092</v>
      </c>
      <c r="C294">
        <v>147</v>
      </c>
      <c r="D294" t="s">
        <v>3823</v>
      </c>
      <c r="E294">
        <v>1</v>
      </c>
      <c r="F294">
        <v>9.8000000000000004E-2</v>
      </c>
      <c r="G294">
        <v>8001</v>
      </c>
      <c r="H294">
        <v>215</v>
      </c>
      <c r="I294">
        <v>1</v>
      </c>
      <c r="J294">
        <v>8000</v>
      </c>
      <c r="K294">
        <v>320</v>
      </c>
      <c r="L294">
        <v>1</v>
      </c>
      <c r="M294">
        <v>2007</v>
      </c>
      <c r="N294">
        <v>1</v>
      </c>
      <c r="O294">
        <v>0.05</v>
      </c>
      <c r="P294">
        <v>9000</v>
      </c>
      <c r="Q294">
        <v>77</v>
      </c>
      <c r="R294">
        <v>1</v>
      </c>
      <c r="S294" t="s">
        <v>3824</v>
      </c>
      <c r="T294">
        <v>11</v>
      </c>
      <c r="U294">
        <v>0.5</v>
      </c>
      <c r="V294">
        <v>1000</v>
      </c>
      <c r="W294">
        <v>3330</v>
      </c>
      <c r="X294">
        <v>1</v>
      </c>
      <c r="Y294">
        <v>2006</v>
      </c>
      <c r="Z294">
        <v>1</v>
      </c>
      <c r="AA294">
        <v>0.03</v>
      </c>
    </row>
    <row r="295" spans="1:27">
      <c r="A295">
        <v>1293</v>
      </c>
      <c r="B295" t="s">
        <v>4093</v>
      </c>
      <c r="C295">
        <v>147</v>
      </c>
      <c r="D295" t="s">
        <v>3823</v>
      </c>
      <c r="E295">
        <v>1</v>
      </c>
      <c r="F295">
        <v>9.8000000000000004E-2</v>
      </c>
      <c r="G295">
        <v>8001</v>
      </c>
      <c r="H295">
        <v>215</v>
      </c>
      <c r="I295">
        <v>1</v>
      </c>
      <c r="J295">
        <v>8000</v>
      </c>
      <c r="K295">
        <v>320</v>
      </c>
      <c r="L295">
        <v>1</v>
      </c>
      <c r="M295">
        <v>2007</v>
      </c>
      <c r="N295">
        <v>1</v>
      </c>
      <c r="O295">
        <v>0.05</v>
      </c>
      <c r="P295">
        <v>9000</v>
      </c>
      <c r="Q295">
        <v>78</v>
      </c>
      <c r="R295">
        <v>1</v>
      </c>
      <c r="S295" t="s">
        <v>3824</v>
      </c>
      <c r="T295">
        <v>11</v>
      </c>
      <c r="U295">
        <v>0.5</v>
      </c>
      <c r="V295">
        <v>1000</v>
      </c>
      <c r="W295">
        <v>3345</v>
      </c>
      <c r="X295">
        <v>1</v>
      </c>
      <c r="Y295">
        <v>2006</v>
      </c>
      <c r="Z295">
        <v>1</v>
      </c>
      <c r="AA295">
        <v>0.03</v>
      </c>
    </row>
    <row r="296" spans="1:27">
      <c r="A296">
        <v>1294</v>
      </c>
      <c r="B296" t="s">
        <v>4094</v>
      </c>
      <c r="C296">
        <v>148</v>
      </c>
      <c r="D296" t="s">
        <v>3823</v>
      </c>
      <c r="E296">
        <v>1</v>
      </c>
      <c r="F296">
        <v>9.9000000000000005E-2</v>
      </c>
      <c r="G296">
        <v>8001</v>
      </c>
      <c r="H296">
        <v>215</v>
      </c>
      <c r="I296">
        <v>1</v>
      </c>
      <c r="J296">
        <v>8000</v>
      </c>
      <c r="K296">
        <v>325</v>
      </c>
      <c r="L296">
        <v>1</v>
      </c>
      <c r="M296">
        <v>2007</v>
      </c>
      <c r="N296">
        <v>1</v>
      </c>
      <c r="O296">
        <v>0.05</v>
      </c>
      <c r="P296">
        <v>9000</v>
      </c>
      <c r="Q296">
        <v>78</v>
      </c>
      <c r="R296">
        <v>1</v>
      </c>
      <c r="S296" t="s">
        <v>3824</v>
      </c>
      <c r="T296">
        <v>11</v>
      </c>
      <c r="U296">
        <v>0.5</v>
      </c>
      <c r="V296">
        <v>1000</v>
      </c>
      <c r="W296">
        <v>3360</v>
      </c>
      <c r="X296">
        <v>1</v>
      </c>
      <c r="Y296">
        <v>2006</v>
      </c>
      <c r="Z296">
        <v>1</v>
      </c>
      <c r="AA296">
        <v>0.03</v>
      </c>
    </row>
    <row r="297" spans="1:27">
      <c r="A297">
        <v>1295</v>
      </c>
      <c r="B297" t="s">
        <v>4095</v>
      </c>
      <c r="C297">
        <v>148</v>
      </c>
      <c r="D297" t="s">
        <v>3823</v>
      </c>
      <c r="E297">
        <v>1</v>
      </c>
      <c r="F297">
        <v>9.9000000000000005E-2</v>
      </c>
      <c r="G297">
        <v>8001</v>
      </c>
      <c r="H297">
        <v>215</v>
      </c>
      <c r="I297">
        <v>1</v>
      </c>
      <c r="J297">
        <v>8000</v>
      </c>
      <c r="K297">
        <v>325</v>
      </c>
      <c r="L297">
        <v>1</v>
      </c>
      <c r="M297">
        <v>2007</v>
      </c>
      <c r="N297">
        <v>1</v>
      </c>
      <c r="O297">
        <v>0.05</v>
      </c>
      <c r="P297">
        <v>9000</v>
      </c>
      <c r="Q297">
        <v>78</v>
      </c>
      <c r="R297">
        <v>1</v>
      </c>
      <c r="S297" t="s">
        <v>3824</v>
      </c>
      <c r="T297">
        <v>11</v>
      </c>
      <c r="U297">
        <v>0.5</v>
      </c>
      <c r="V297">
        <v>1000</v>
      </c>
      <c r="W297">
        <v>3375</v>
      </c>
      <c r="X297">
        <v>1</v>
      </c>
      <c r="Y297">
        <v>2006</v>
      </c>
      <c r="Z297">
        <v>1</v>
      </c>
      <c r="AA297">
        <v>0.03</v>
      </c>
    </row>
    <row r="298" spans="1:27">
      <c r="A298">
        <v>1296</v>
      </c>
      <c r="B298" t="s">
        <v>4096</v>
      </c>
      <c r="C298">
        <v>149</v>
      </c>
      <c r="D298" t="s">
        <v>3823</v>
      </c>
      <c r="E298">
        <v>1</v>
      </c>
      <c r="F298">
        <v>9.9000000000000005E-2</v>
      </c>
      <c r="G298">
        <v>8001</v>
      </c>
      <c r="H298">
        <v>215</v>
      </c>
      <c r="I298">
        <v>1</v>
      </c>
      <c r="J298">
        <v>8000</v>
      </c>
      <c r="K298">
        <v>325</v>
      </c>
      <c r="L298">
        <v>1</v>
      </c>
      <c r="M298">
        <v>2007</v>
      </c>
      <c r="N298">
        <v>1</v>
      </c>
      <c r="O298">
        <v>0.05</v>
      </c>
      <c r="P298">
        <v>9000</v>
      </c>
      <c r="Q298">
        <v>79</v>
      </c>
      <c r="R298">
        <v>1</v>
      </c>
      <c r="S298" t="s">
        <v>3824</v>
      </c>
      <c r="T298">
        <v>11</v>
      </c>
      <c r="U298">
        <v>0.5</v>
      </c>
      <c r="V298">
        <v>1000</v>
      </c>
      <c r="W298">
        <v>3390</v>
      </c>
      <c r="X298">
        <v>1</v>
      </c>
      <c r="Y298">
        <v>2006</v>
      </c>
      <c r="Z298">
        <v>1</v>
      </c>
      <c r="AA298">
        <v>0.03</v>
      </c>
    </row>
    <row r="299" spans="1:27">
      <c r="A299">
        <v>1297</v>
      </c>
      <c r="B299" t="s">
        <v>4097</v>
      </c>
      <c r="C299">
        <v>149</v>
      </c>
      <c r="D299" t="s">
        <v>3823</v>
      </c>
      <c r="E299">
        <v>1</v>
      </c>
      <c r="F299">
        <v>9.9000000000000005E-2</v>
      </c>
      <c r="G299">
        <v>8001</v>
      </c>
      <c r="H299">
        <v>220</v>
      </c>
      <c r="I299">
        <v>1</v>
      </c>
      <c r="J299">
        <v>8000</v>
      </c>
      <c r="K299">
        <v>325</v>
      </c>
      <c r="L299">
        <v>1</v>
      </c>
      <c r="M299">
        <v>2007</v>
      </c>
      <c r="N299">
        <v>1</v>
      </c>
      <c r="O299">
        <v>0.05</v>
      </c>
      <c r="P299">
        <v>9000</v>
      </c>
      <c r="Q299">
        <v>79</v>
      </c>
      <c r="R299">
        <v>1</v>
      </c>
      <c r="S299" t="s">
        <v>3824</v>
      </c>
      <c r="T299">
        <v>11</v>
      </c>
      <c r="U299">
        <v>0.5</v>
      </c>
      <c r="V299">
        <v>1000</v>
      </c>
      <c r="W299">
        <v>3400</v>
      </c>
      <c r="X299">
        <v>1</v>
      </c>
      <c r="Y299">
        <v>2006</v>
      </c>
      <c r="Z299">
        <v>1</v>
      </c>
      <c r="AA299">
        <v>0.03</v>
      </c>
    </row>
    <row r="300" spans="1:27">
      <c r="A300">
        <v>1298</v>
      </c>
      <c r="B300" t="s">
        <v>4098</v>
      </c>
      <c r="C300">
        <v>150</v>
      </c>
      <c r="D300" t="s">
        <v>3823</v>
      </c>
      <c r="E300">
        <v>1</v>
      </c>
      <c r="F300">
        <v>0.1</v>
      </c>
      <c r="G300">
        <v>8001</v>
      </c>
      <c r="H300">
        <v>220</v>
      </c>
      <c r="I300">
        <v>1</v>
      </c>
      <c r="J300">
        <v>8000</v>
      </c>
      <c r="K300">
        <v>330</v>
      </c>
      <c r="L300">
        <v>1</v>
      </c>
      <c r="M300">
        <v>2007</v>
      </c>
      <c r="N300">
        <v>1</v>
      </c>
      <c r="O300">
        <v>0.05</v>
      </c>
      <c r="P300">
        <v>9000</v>
      </c>
      <c r="Q300">
        <v>79</v>
      </c>
      <c r="R300">
        <v>1</v>
      </c>
      <c r="S300" t="s">
        <v>3824</v>
      </c>
      <c r="T300">
        <v>11</v>
      </c>
      <c r="U300">
        <v>0.5</v>
      </c>
      <c r="V300">
        <v>1000</v>
      </c>
      <c r="W300">
        <v>3415</v>
      </c>
      <c r="X300">
        <v>1</v>
      </c>
      <c r="Y300">
        <v>2006</v>
      </c>
      <c r="Z300">
        <v>1</v>
      </c>
      <c r="AA300">
        <v>0.03</v>
      </c>
    </row>
    <row r="301" spans="1:27">
      <c r="A301">
        <v>1299</v>
      </c>
      <c r="B301" t="s">
        <v>4099</v>
      </c>
      <c r="C301">
        <v>150</v>
      </c>
      <c r="D301" t="s">
        <v>3823</v>
      </c>
      <c r="E301">
        <v>1</v>
      </c>
      <c r="F301">
        <v>0.1</v>
      </c>
      <c r="G301">
        <v>8001</v>
      </c>
      <c r="H301">
        <v>220</v>
      </c>
      <c r="I301">
        <v>1</v>
      </c>
      <c r="J301">
        <v>8000</v>
      </c>
      <c r="K301">
        <v>330</v>
      </c>
      <c r="L301">
        <v>1</v>
      </c>
      <c r="M301">
        <v>2007</v>
      </c>
      <c r="N301">
        <v>1</v>
      </c>
      <c r="O301">
        <v>0.05</v>
      </c>
      <c r="P301">
        <v>9000</v>
      </c>
      <c r="Q301">
        <v>80</v>
      </c>
      <c r="R301">
        <v>1</v>
      </c>
      <c r="S301" t="s">
        <v>3824</v>
      </c>
      <c r="T301">
        <v>11</v>
      </c>
      <c r="U301">
        <v>0.5</v>
      </c>
      <c r="V301">
        <v>1000</v>
      </c>
      <c r="W301">
        <v>3430</v>
      </c>
      <c r="X301">
        <v>1</v>
      </c>
      <c r="Y301">
        <v>2006</v>
      </c>
      <c r="Z301">
        <v>1</v>
      </c>
      <c r="AA301">
        <v>0.03</v>
      </c>
    </row>
    <row r="302" spans="1:27">
      <c r="A302">
        <v>1300</v>
      </c>
      <c r="B302" t="s">
        <v>4079</v>
      </c>
      <c r="C302">
        <v>150</v>
      </c>
      <c r="D302" t="s">
        <v>3823</v>
      </c>
      <c r="E302">
        <v>1</v>
      </c>
      <c r="F302">
        <v>0.1</v>
      </c>
      <c r="G302">
        <v>8001</v>
      </c>
      <c r="H302">
        <v>220</v>
      </c>
      <c r="I302">
        <v>1</v>
      </c>
      <c r="J302">
        <v>8000</v>
      </c>
      <c r="K302">
        <v>330</v>
      </c>
      <c r="L302">
        <v>1</v>
      </c>
      <c r="M302">
        <v>2007</v>
      </c>
      <c r="N302">
        <v>1</v>
      </c>
      <c r="O302">
        <v>0.05</v>
      </c>
      <c r="P302">
        <v>9000</v>
      </c>
      <c r="Q302">
        <v>80</v>
      </c>
      <c r="R302">
        <v>1</v>
      </c>
      <c r="S302" t="s">
        <v>3824</v>
      </c>
      <c r="T302">
        <v>11</v>
      </c>
      <c r="U302">
        <v>0.5</v>
      </c>
      <c r="V302">
        <v>1000</v>
      </c>
      <c r="W302">
        <v>3445</v>
      </c>
      <c r="X302">
        <v>1</v>
      </c>
      <c r="Y302">
        <v>2006</v>
      </c>
      <c r="Z302">
        <v>1</v>
      </c>
      <c r="AA302">
        <v>0.03</v>
      </c>
    </row>
    <row r="303" spans="1:27">
      <c r="A303">
        <v>1301</v>
      </c>
      <c r="B303" t="s">
        <v>4100</v>
      </c>
      <c r="C303">
        <v>150</v>
      </c>
      <c r="D303" t="s">
        <v>3823</v>
      </c>
      <c r="E303">
        <v>1</v>
      </c>
      <c r="F303">
        <v>0.1</v>
      </c>
      <c r="G303">
        <v>8001</v>
      </c>
      <c r="H303">
        <v>220</v>
      </c>
      <c r="I303">
        <v>1</v>
      </c>
      <c r="J303">
        <v>8000</v>
      </c>
      <c r="K303">
        <v>330</v>
      </c>
      <c r="L303">
        <v>1</v>
      </c>
      <c r="M303">
        <v>2007</v>
      </c>
      <c r="N303">
        <v>1</v>
      </c>
      <c r="O303">
        <v>0.05</v>
      </c>
      <c r="P303">
        <v>9000</v>
      </c>
      <c r="Q303">
        <v>81</v>
      </c>
      <c r="R303">
        <v>1</v>
      </c>
      <c r="S303" t="s">
        <v>3824</v>
      </c>
      <c r="T303">
        <v>11</v>
      </c>
      <c r="U303">
        <v>0.5</v>
      </c>
      <c r="V303">
        <v>1000</v>
      </c>
      <c r="W303">
        <v>3460</v>
      </c>
      <c r="X303">
        <v>1</v>
      </c>
      <c r="Y303">
        <v>2006</v>
      </c>
      <c r="Z303">
        <v>1</v>
      </c>
      <c r="AA303">
        <v>0.03</v>
      </c>
    </row>
    <row r="304" spans="1:27">
      <c r="A304">
        <v>1302</v>
      </c>
      <c r="B304" t="s">
        <v>4101</v>
      </c>
      <c r="C304">
        <v>150</v>
      </c>
      <c r="D304" t="s">
        <v>3823</v>
      </c>
      <c r="E304">
        <v>1</v>
      </c>
      <c r="F304">
        <v>0.10100000000000001</v>
      </c>
      <c r="G304">
        <v>8001</v>
      </c>
      <c r="H304">
        <v>220</v>
      </c>
      <c r="I304">
        <v>1</v>
      </c>
      <c r="J304">
        <v>8000</v>
      </c>
      <c r="K304">
        <v>335</v>
      </c>
      <c r="L304">
        <v>1</v>
      </c>
      <c r="M304">
        <v>2007</v>
      </c>
      <c r="N304">
        <v>1</v>
      </c>
      <c r="O304">
        <v>0.05</v>
      </c>
      <c r="P304">
        <v>9000</v>
      </c>
      <c r="Q304">
        <v>81</v>
      </c>
      <c r="R304">
        <v>1</v>
      </c>
      <c r="S304" t="s">
        <v>3824</v>
      </c>
      <c r="T304">
        <v>11</v>
      </c>
      <c r="U304">
        <v>0.5</v>
      </c>
      <c r="V304">
        <v>1000</v>
      </c>
      <c r="W304">
        <v>3475</v>
      </c>
      <c r="X304">
        <v>1</v>
      </c>
      <c r="Y304">
        <v>2006</v>
      </c>
      <c r="Z304">
        <v>1</v>
      </c>
      <c r="AA304">
        <v>0.03</v>
      </c>
    </row>
    <row r="305" spans="1:27">
      <c r="A305">
        <v>1303</v>
      </c>
      <c r="B305" t="s">
        <v>4102</v>
      </c>
      <c r="C305">
        <v>150</v>
      </c>
      <c r="D305" t="s">
        <v>3823</v>
      </c>
      <c r="E305">
        <v>1</v>
      </c>
      <c r="F305">
        <v>0.10100000000000001</v>
      </c>
      <c r="G305">
        <v>8001</v>
      </c>
      <c r="H305">
        <v>225</v>
      </c>
      <c r="I305">
        <v>1</v>
      </c>
      <c r="J305">
        <v>8000</v>
      </c>
      <c r="K305">
        <v>335</v>
      </c>
      <c r="L305">
        <v>1</v>
      </c>
      <c r="M305">
        <v>2007</v>
      </c>
      <c r="N305">
        <v>1</v>
      </c>
      <c r="O305">
        <v>0.05</v>
      </c>
      <c r="P305">
        <v>9000</v>
      </c>
      <c r="Q305">
        <v>81</v>
      </c>
      <c r="R305">
        <v>1</v>
      </c>
      <c r="S305" t="s">
        <v>3824</v>
      </c>
      <c r="T305">
        <v>11</v>
      </c>
      <c r="U305">
        <v>0.5</v>
      </c>
      <c r="V305">
        <v>1000</v>
      </c>
      <c r="W305">
        <v>3485</v>
      </c>
      <c r="X305">
        <v>1</v>
      </c>
      <c r="Y305">
        <v>2006</v>
      </c>
      <c r="Z305">
        <v>1</v>
      </c>
      <c r="AA305">
        <v>0.03</v>
      </c>
    </row>
    <row r="306" spans="1:27">
      <c r="A306">
        <v>1304</v>
      </c>
      <c r="B306" t="s">
        <v>4103</v>
      </c>
      <c r="C306">
        <v>150</v>
      </c>
      <c r="D306" t="s">
        <v>3823</v>
      </c>
      <c r="E306">
        <v>1</v>
      </c>
      <c r="F306">
        <v>0.10100000000000001</v>
      </c>
      <c r="G306">
        <v>8001</v>
      </c>
      <c r="H306">
        <v>225</v>
      </c>
      <c r="I306">
        <v>1</v>
      </c>
      <c r="J306">
        <v>8000</v>
      </c>
      <c r="K306">
        <v>335</v>
      </c>
      <c r="L306">
        <v>1</v>
      </c>
      <c r="M306">
        <v>2007</v>
      </c>
      <c r="N306">
        <v>1</v>
      </c>
      <c r="O306">
        <v>0.05</v>
      </c>
      <c r="P306">
        <v>9000</v>
      </c>
      <c r="Q306">
        <v>82</v>
      </c>
      <c r="R306">
        <v>1</v>
      </c>
      <c r="S306" t="s">
        <v>3824</v>
      </c>
      <c r="T306">
        <v>11</v>
      </c>
      <c r="U306">
        <v>0.5</v>
      </c>
      <c r="V306">
        <v>1000</v>
      </c>
      <c r="W306">
        <v>3500</v>
      </c>
      <c r="X306">
        <v>1</v>
      </c>
      <c r="Y306">
        <v>2006</v>
      </c>
      <c r="Z306">
        <v>1</v>
      </c>
      <c r="AA306">
        <v>0.03</v>
      </c>
    </row>
    <row r="307" spans="1:27">
      <c r="A307">
        <v>1305</v>
      </c>
      <c r="B307" t="s">
        <v>4104</v>
      </c>
      <c r="C307">
        <v>150</v>
      </c>
      <c r="D307" t="s">
        <v>3823</v>
      </c>
      <c r="E307">
        <v>1</v>
      </c>
      <c r="F307">
        <v>0.10100000000000001</v>
      </c>
      <c r="G307">
        <v>8001</v>
      </c>
      <c r="H307">
        <v>225</v>
      </c>
      <c r="I307">
        <v>1</v>
      </c>
      <c r="J307">
        <v>8000</v>
      </c>
      <c r="K307">
        <v>335</v>
      </c>
      <c r="L307">
        <v>1</v>
      </c>
      <c r="M307">
        <v>2007</v>
      </c>
      <c r="N307">
        <v>1</v>
      </c>
      <c r="O307">
        <v>0.05</v>
      </c>
      <c r="P307">
        <v>9000</v>
      </c>
      <c r="Q307">
        <v>82</v>
      </c>
      <c r="R307">
        <v>1</v>
      </c>
      <c r="S307" t="s">
        <v>3824</v>
      </c>
      <c r="T307">
        <v>11</v>
      </c>
      <c r="U307">
        <v>0.5</v>
      </c>
      <c r="V307">
        <v>1000</v>
      </c>
      <c r="W307">
        <v>3515</v>
      </c>
      <c r="X307">
        <v>1</v>
      </c>
      <c r="Y307">
        <v>2006</v>
      </c>
      <c r="Z307">
        <v>1</v>
      </c>
      <c r="AA307">
        <v>0.03</v>
      </c>
    </row>
    <row r="308" spans="1:27">
      <c r="A308">
        <v>1306</v>
      </c>
      <c r="B308" t="s">
        <v>4105</v>
      </c>
      <c r="C308">
        <v>150</v>
      </c>
      <c r="D308" t="s">
        <v>3823</v>
      </c>
      <c r="E308">
        <v>1</v>
      </c>
      <c r="F308">
        <v>0.10199999999999999</v>
      </c>
      <c r="G308">
        <v>8001</v>
      </c>
      <c r="H308">
        <v>225</v>
      </c>
      <c r="I308">
        <v>1</v>
      </c>
      <c r="J308">
        <v>8000</v>
      </c>
      <c r="K308">
        <v>340</v>
      </c>
      <c r="L308">
        <v>1</v>
      </c>
      <c r="M308">
        <v>2007</v>
      </c>
      <c r="N308">
        <v>1</v>
      </c>
      <c r="O308">
        <v>0.05</v>
      </c>
      <c r="P308">
        <v>9000</v>
      </c>
      <c r="Q308">
        <v>82</v>
      </c>
      <c r="R308">
        <v>1</v>
      </c>
      <c r="S308" t="s">
        <v>3824</v>
      </c>
      <c r="T308">
        <v>11</v>
      </c>
      <c r="U308">
        <v>0.5</v>
      </c>
      <c r="V308">
        <v>1000</v>
      </c>
      <c r="W308">
        <v>3530</v>
      </c>
      <c r="X308">
        <v>1</v>
      </c>
      <c r="Y308">
        <v>2006</v>
      </c>
      <c r="Z308">
        <v>1</v>
      </c>
      <c r="AA308">
        <v>0.03</v>
      </c>
    </row>
    <row r="309" spans="1:27">
      <c r="A309">
        <v>1307</v>
      </c>
      <c r="B309" t="s">
        <v>4106</v>
      </c>
      <c r="C309">
        <v>150</v>
      </c>
      <c r="D309" t="s">
        <v>3823</v>
      </c>
      <c r="E309">
        <v>1</v>
      </c>
      <c r="F309">
        <v>0.10199999999999999</v>
      </c>
      <c r="G309">
        <v>8001</v>
      </c>
      <c r="H309">
        <v>225</v>
      </c>
      <c r="I309">
        <v>1</v>
      </c>
      <c r="J309">
        <v>8000</v>
      </c>
      <c r="K309">
        <v>340</v>
      </c>
      <c r="L309">
        <v>1</v>
      </c>
      <c r="M309">
        <v>2007</v>
      </c>
      <c r="N309">
        <v>1</v>
      </c>
      <c r="O309">
        <v>0.05</v>
      </c>
      <c r="P309">
        <v>9000</v>
      </c>
      <c r="Q309">
        <v>83</v>
      </c>
      <c r="R309">
        <v>1</v>
      </c>
      <c r="S309" t="s">
        <v>3824</v>
      </c>
      <c r="T309">
        <v>11</v>
      </c>
      <c r="U309">
        <v>0.5</v>
      </c>
      <c r="V309">
        <v>1000</v>
      </c>
      <c r="W309">
        <v>3545</v>
      </c>
      <c r="X309">
        <v>1</v>
      </c>
      <c r="Y309">
        <v>2006</v>
      </c>
      <c r="Z309">
        <v>1</v>
      </c>
      <c r="AA309">
        <v>0.03</v>
      </c>
    </row>
    <row r="310" spans="1:27">
      <c r="A310">
        <v>1308</v>
      </c>
      <c r="B310" t="s">
        <v>4083</v>
      </c>
      <c r="C310">
        <v>150</v>
      </c>
      <c r="D310" t="s">
        <v>3823</v>
      </c>
      <c r="E310">
        <v>1</v>
      </c>
      <c r="F310">
        <v>0.10199999999999999</v>
      </c>
      <c r="G310">
        <v>8001</v>
      </c>
      <c r="H310">
        <v>230</v>
      </c>
      <c r="I310">
        <v>1</v>
      </c>
      <c r="J310">
        <v>8000</v>
      </c>
      <c r="K310">
        <v>340</v>
      </c>
      <c r="L310">
        <v>1</v>
      </c>
      <c r="M310">
        <v>2007</v>
      </c>
      <c r="N310">
        <v>1</v>
      </c>
      <c r="O310">
        <v>0.05</v>
      </c>
      <c r="P310">
        <v>9000</v>
      </c>
      <c r="Q310">
        <v>83</v>
      </c>
      <c r="R310">
        <v>1</v>
      </c>
      <c r="S310" t="s">
        <v>3824</v>
      </c>
      <c r="T310">
        <v>11</v>
      </c>
      <c r="U310">
        <v>0.5</v>
      </c>
      <c r="V310">
        <v>1000</v>
      </c>
      <c r="W310">
        <v>3555</v>
      </c>
      <c r="X310">
        <v>1</v>
      </c>
      <c r="Y310">
        <v>2006</v>
      </c>
      <c r="Z310">
        <v>1</v>
      </c>
      <c r="AA310">
        <v>0.03</v>
      </c>
    </row>
    <row r="311" spans="1:27">
      <c r="A311">
        <v>1309</v>
      </c>
      <c r="B311" t="s">
        <v>4107</v>
      </c>
      <c r="C311">
        <v>150</v>
      </c>
      <c r="D311" t="s">
        <v>3823</v>
      </c>
      <c r="E311">
        <v>1</v>
      </c>
      <c r="F311">
        <v>0.10199999999999999</v>
      </c>
      <c r="G311">
        <v>8001</v>
      </c>
      <c r="H311">
        <v>230</v>
      </c>
      <c r="I311">
        <v>1</v>
      </c>
      <c r="J311">
        <v>8000</v>
      </c>
      <c r="K311">
        <v>345</v>
      </c>
      <c r="L311">
        <v>1</v>
      </c>
      <c r="M311">
        <v>2007</v>
      </c>
      <c r="N311">
        <v>1</v>
      </c>
      <c r="O311">
        <v>0.05</v>
      </c>
      <c r="P311">
        <v>9000</v>
      </c>
      <c r="Q311">
        <v>83</v>
      </c>
      <c r="R311">
        <v>1</v>
      </c>
      <c r="S311" t="s">
        <v>3824</v>
      </c>
      <c r="T311">
        <v>11</v>
      </c>
      <c r="U311">
        <v>0.5</v>
      </c>
      <c r="V311">
        <v>1000</v>
      </c>
      <c r="W311">
        <v>3570</v>
      </c>
      <c r="X311">
        <v>1</v>
      </c>
      <c r="Y311">
        <v>2006</v>
      </c>
      <c r="Z311">
        <v>1</v>
      </c>
      <c r="AA311">
        <v>0.03</v>
      </c>
    </row>
    <row r="312" spans="1:27">
      <c r="A312">
        <v>1310</v>
      </c>
      <c r="B312" t="s">
        <v>4108</v>
      </c>
      <c r="C312">
        <v>150</v>
      </c>
      <c r="D312" t="s">
        <v>3823</v>
      </c>
      <c r="E312">
        <v>1</v>
      </c>
      <c r="F312">
        <v>0.10299999999999999</v>
      </c>
      <c r="G312">
        <v>8001</v>
      </c>
      <c r="H312">
        <v>230</v>
      </c>
      <c r="I312">
        <v>1</v>
      </c>
      <c r="J312">
        <v>8000</v>
      </c>
      <c r="K312">
        <v>345</v>
      </c>
      <c r="L312">
        <v>1</v>
      </c>
      <c r="M312">
        <v>2007</v>
      </c>
      <c r="N312">
        <v>1</v>
      </c>
      <c r="O312">
        <v>0.05</v>
      </c>
      <c r="P312">
        <v>9000</v>
      </c>
      <c r="Q312">
        <v>84</v>
      </c>
      <c r="R312">
        <v>1</v>
      </c>
      <c r="S312" t="s">
        <v>3824</v>
      </c>
      <c r="T312">
        <v>11</v>
      </c>
      <c r="U312">
        <v>0.5</v>
      </c>
      <c r="V312">
        <v>1000</v>
      </c>
      <c r="W312">
        <v>3585</v>
      </c>
      <c r="X312">
        <v>1</v>
      </c>
      <c r="Y312">
        <v>2006</v>
      </c>
      <c r="Z312">
        <v>1</v>
      </c>
      <c r="AA312">
        <v>0.03</v>
      </c>
    </row>
    <row r="313" spans="1:27">
      <c r="A313">
        <v>1311</v>
      </c>
      <c r="B313" t="s">
        <v>4109</v>
      </c>
      <c r="C313">
        <v>150</v>
      </c>
      <c r="D313" t="s">
        <v>3823</v>
      </c>
      <c r="E313">
        <v>1</v>
      </c>
      <c r="F313">
        <v>0.10299999999999999</v>
      </c>
      <c r="G313">
        <v>8001</v>
      </c>
      <c r="H313">
        <v>230</v>
      </c>
      <c r="I313">
        <v>1</v>
      </c>
      <c r="J313">
        <v>8000</v>
      </c>
      <c r="K313">
        <v>345</v>
      </c>
      <c r="L313">
        <v>1</v>
      </c>
      <c r="M313">
        <v>2007</v>
      </c>
      <c r="N313">
        <v>1</v>
      </c>
      <c r="O313">
        <v>0.05</v>
      </c>
      <c r="P313">
        <v>9000</v>
      </c>
      <c r="Q313">
        <v>84</v>
      </c>
      <c r="R313">
        <v>1</v>
      </c>
      <c r="S313" t="s">
        <v>3824</v>
      </c>
      <c r="T313">
        <v>12</v>
      </c>
      <c r="U313">
        <v>0.5</v>
      </c>
      <c r="V313">
        <v>1000</v>
      </c>
      <c r="W313">
        <v>3600</v>
      </c>
      <c r="X313">
        <v>1</v>
      </c>
      <c r="Y313">
        <v>2006</v>
      </c>
      <c r="Z313">
        <v>1</v>
      </c>
      <c r="AA313">
        <v>0.03</v>
      </c>
    </row>
    <row r="314" spans="1:27">
      <c r="A314">
        <v>1312</v>
      </c>
      <c r="B314" t="s">
        <v>4110</v>
      </c>
      <c r="C314">
        <v>150</v>
      </c>
      <c r="D314" t="s">
        <v>3823</v>
      </c>
      <c r="E314">
        <v>1</v>
      </c>
      <c r="F314">
        <v>0.10299999999999999</v>
      </c>
      <c r="G314">
        <v>8001</v>
      </c>
      <c r="H314">
        <v>230</v>
      </c>
      <c r="I314">
        <v>1</v>
      </c>
      <c r="J314">
        <v>8000</v>
      </c>
      <c r="K314">
        <v>345</v>
      </c>
      <c r="L314">
        <v>1</v>
      </c>
      <c r="M314">
        <v>2007</v>
      </c>
      <c r="N314">
        <v>1</v>
      </c>
      <c r="O314">
        <v>0.05</v>
      </c>
      <c r="P314">
        <v>9000</v>
      </c>
      <c r="Q314">
        <v>84</v>
      </c>
      <c r="R314">
        <v>1</v>
      </c>
      <c r="S314" t="s">
        <v>3824</v>
      </c>
      <c r="T314">
        <v>12</v>
      </c>
      <c r="U314">
        <v>0.5</v>
      </c>
      <c r="V314">
        <v>1000</v>
      </c>
      <c r="W314">
        <v>3615</v>
      </c>
      <c r="X314">
        <v>1</v>
      </c>
      <c r="Y314">
        <v>2006</v>
      </c>
      <c r="Z314">
        <v>1</v>
      </c>
      <c r="AA314">
        <v>0.03</v>
      </c>
    </row>
    <row r="315" spans="1:27">
      <c r="A315">
        <v>1313</v>
      </c>
      <c r="B315" t="s">
        <v>4111</v>
      </c>
      <c r="C315">
        <v>150</v>
      </c>
      <c r="D315" t="s">
        <v>3823</v>
      </c>
      <c r="E315">
        <v>1</v>
      </c>
      <c r="F315">
        <v>0.10299999999999999</v>
      </c>
      <c r="G315">
        <v>8001</v>
      </c>
      <c r="H315">
        <v>230</v>
      </c>
      <c r="I315">
        <v>1</v>
      </c>
      <c r="J315">
        <v>8000</v>
      </c>
      <c r="K315">
        <v>350</v>
      </c>
      <c r="L315">
        <v>1</v>
      </c>
      <c r="M315">
        <v>2007</v>
      </c>
      <c r="N315">
        <v>1</v>
      </c>
      <c r="O315">
        <v>0.05</v>
      </c>
      <c r="P315">
        <v>9000</v>
      </c>
      <c r="Q315">
        <v>85</v>
      </c>
      <c r="R315">
        <v>1</v>
      </c>
      <c r="S315" t="s">
        <v>3824</v>
      </c>
      <c r="T315">
        <v>12</v>
      </c>
      <c r="U315">
        <v>0.5</v>
      </c>
      <c r="V315">
        <v>1000</v>
      </c>
      <c r="W315">
        <v>3630</v>
      </c>
      <c r="X315">
        <v>1</v>
      </c>
      <c r="Y315">
        <v>2006</v>
      </c>
      <c r="Z315">
        <v>1</v>
      </c>
      <c r="AA315">
        <v>0.03</v>
      </c>
    </row>
    <row r="316" spans="1:27">
      <c r="A316">
        <v>1314</v>
      </c>
      <c r="B316" t="s">
        <v>4112</v>
      </c>
      <c r="C316">
        <v>150</v>
      </c>
      <c r="D316" t="s">
        <v>3823</v>
      </c>
      <c r="E316">
        <v>1</v>
      </c>
      <c r="F316">
        <v>0.104</v>
      </c>
      <c r="G316">
        <v>8001</v>
      </c>
      <c r="H316">
        <v>235</v>
      </c>
      <c r="I316">
        <v>1</v>
      </c>
      <c r="J316">
        <v>8000</v>
      </c>
      <c r="K316">
        <v>350</v>
      </c>
      <c r="L316">
        <v>1</v>
      </c>
      <c r="M316">
        <v>2007</v>
      </c>
      <c r="N316">
        <v>1</v>
      </c>
      <c r="O316">
        <v>0.05</v>
      </c>
      <c r="P316">
        <v>9000</v>
      </c>
      <c r="Q316">
        <v>85</v>
      </c>
      <c r="R316">
        <v>1</v>
      </c>
      <c r="S316" t="s">
        <v>3824</v>
      </c>
      <c r="T316">
        <v>12</v>
      </c>
      <c r="U316">
        <v>0.5</v>
      </c>
      <c r="V316">
        <v>1000</v>
      </c>
      <c r="W316">
        <v>3640</v>
      </c>
      <c r="X316">
        <v>1</v>
      </c>
      <c r="Y316">
        <v>2006</v>
      </c>
      <c r="Z316">
        <v>1</v>
      </c>
      <c r="AA316">
        <v>0.03</v>
      </c>
    </row>
    <row r="317" spans="1:27">
      <c r="A317">
        <v>1315</v>
      </c>
      <c r="B317" t="s">
        <v>4113</v>
      </c>
      <c r="C317">
        <v>150</v>
      </c>
      <c r="D317" t="s">
        <v>3823</v>
      </c>
      <c r="E317">
        <v>1</v>
      </c>
      <c r="F317">
        <v>0.104</v>
      </c>
      <c r="G317">
        <v>8001</v>
      </c>
      <c r="H317">
        <v>235</v>
      </c>
      <c r="I317">
        <v>1</v>
      </c>
      <c r="J317">
        <v>8000</v>
      </c>
      <c r="K317">
        <v>350</v>
      </c>
      <c r="L317">
        <v>1</v>
      </c>
      <c r="M317">
        <v>2007</v>
      </c>
      <c r="N317">
        <v>1</v>
      </c>
      <c r="O317">
        <v>0.05</v>
      </c>
      <c r="P317">
        <v>9000</v>
      </c>
      <c r="Q317">
        <v>85</v>
      </c>
      <c r="R317">
        <v>1</v>
      </c>
      <c r="S317" t="s">
        <v>3824</v>
      </c>
      <c r="T317">
        <v>12</v>
      </c>
      <c r="U317">
        <v>0.5</v>
      </c>
      <c r="V317">
        <v>1000</v>
      </c>
      <c r="W317">
        <v>3655</v>
      </c>
      <c r="X317">
        <v>1</v>
      </c>
      <c r="Y317">
        <v>2006</v>
      </c>
      <c r="Z317">
        <v>1</v>
      </c>
      <c r="AA317">
        <v>0.03</v>
      </c>
    </row>
    <row r="318" spans="1:27">
      <c r="A318">
        <v>1316</v>
      </c>
      <c r="B318" t="s">
        <v>4114</v>
      </c>
      <c r="C318">
        <v>150</v>
      </c>
      <c r="D318" t="s">
        <v>3823</v>
      </c>
      <c r="E318">
        <v>1</v>
      </c>
      <c r="F318">
        <v>0.104</v>
      </c>
      <c r="G318">
        <v>8001</v>
      </c>
      <c r="H318">
        <v>235</v>
      </c>
      <c r="I318">
        <v>1</v>
      </c>
      <c r="J318">
        <v>8000</v>
      </c>
      <c r="K318">
        <v>350</v>
      </c>
      <c r="L318">
        <v>1</v>
      </c>
      <c r="M318">
        <v>2007</v>
      </c>
      <c r="N318">
        <v>1</v>
      </c>
      <c r="O318">
        <v>0.05</v>
      </c>
      <c r="P318">
        <v>9000</v>
      </c>
      <c r="Q318">
        <v>86</v>
      </c>
      <c r="R318">
        <v>1</v>
      </c>
      <c r="S318" t="s">
        <v>3824</v>
      </c>
      <c r="T318">
        <v>12</v>
      </c>
      <c r="U318">
        <v>0.5</v>
      </c>
      <c r="V318">
        <v>1000</v>
      </c>
      <c r="W318">
        <v>3670</v>
      </c>
      <c r="X318">
        <v>1</v>
      </c>
      <c r="Y318">
        <v>2006</v>
      </c>
      <c r="Z318">
        <v>1</v>
      </c>
      <c r="AA318">
        <v>0.03</v>
      </c>
    </row>
    <row r="319" spans="1:27">
      <c r="A319">
        <v>1317</v>
      </c>
      <c r="B319" t="s">
        <v>4115</v>
      </c>
      <c r="C319">
        <v>150</v>
      </c>
      <c r="D319" t="s">
        <v>3823</v>
      </c>
      <c r="E319">
        <v>1</v>
      </c>
      <c r="F319">
        <v>0.104</v>
      </c>
      <c r="G319">
        <v>8001</v>
      </c>
      <c r="H319">
        <v>235</v>
      </c>
      <c r="I319">
        <v>1</v>
      </c>
      <c r="J319">
        <v>8000</v>
      </c>
      <c r="K319">
        <v>355</v>
      </c>
      <c r="L319">
        <v>1</v>
      </c>
      <c r="M319">
        <v>2007</v>
      </c>
      <c r="N319">
        <v>1</v>
      </c>
      <c r="O319">
        <v>0.05</v>
      </c>
      <c r="P319">
        <v>9000</v>
      </c>
      <c r="Q319">
        <v>86</v>
      </c>
      <c r="R319">
        <v>1</v>
      </c>
      <c r="S319" t="s">
        <v>3824</v>
      </c>
      <c r="T319">
        <v>12</v>
      </c>
      <c r="U319">
        <v>0.5</v>
      </c>
      <c r="V319">
        <v>1000</v>
      </c>
      <c r="W319">
        <v>3685</v>
      </c>
      <c r="X319">
        <v>1</v>
      </c>
      <c r="Y319">
        <v>2006</v>
      </c>
      <c r="Z319">
        <v>1</v>
      </c>
      <c r="AA319">
        <v>0.03</v>
      </c>
    </row>
    <row r="320" spans="1:27">
      <c r="A320">
        <v>1318</v>
      </c>
      <c r="B320" t="s">
        <v>4109</v>
      </c>
      <c r="C320">
        <v>150</v>
      </c>
      <c r="D320" t="s">
        <v>3823</v>
      </c>
      <c r="E320">
        <v>1</v>
      </c>
      <c r="F320">
        <v>0.105</v>
      </c>
      <c r="G320">
        <v>8001</v>
      </c>
      <c r="H320">
        <v>235</v>
      </c>
      <c r="I320">
        <v>1</v>
      </c>
      <c r="J320">
        <v>8000</v>
      </c>
      <c r="K320">
        <v>355</v>
      </c>
      <c r="L320">
        <v>1</v>
      </c>
      <c r="M320">
        <v>2007</v>
      </c>
      <c r="N320">
        <v>1</v>
      </c>
      <c r="O320">
        <v>0.05</v>
      </c>
      <c r="P320">
        <v>9000</v>
      </c>
      <c r="Q320">
        <v>86</v>
      </c>
      <c r="R320">
        <v>1</v>
      </c>
      <c r="S320" t="s">
        <v>3824</v>
      </c>
      <c r="T320">
        <v>12</v>
      </c>
      <c r="U320">
        <v>0.5</v>
      </c>
      <c r="V320">
        <v>1000</v>
      </c>
      <c r="W320">
        <v>3700</v>
      </c>
      <c r="X320">
        <v>1</v>
      </c>
      <c r="Y320">
        <v>2006</v>
      </c>
      <c r="Z320">
        <v>1</v>
      </c>
      <c r="AA320">
        <v>0.03</v>
      </c>
    </row>
    <row r="321" spans="1:27">
      <c r="A321">
        <v>1319</v>
      </c>
      <c r="B321" t="s">
        <v>4116</v>
      </c>
      <c r="C321">
        <v>150</v>
      </c>
      <c r="D321" t="s">
        <v>3823</v>
      </c>
      <c r="E321">
        <v>1</v>
      </c>
      <c r="F321">
        <v>0.105</v>
      </c>
      <c r="G321">
        <v>8001</v>
      </c>
      <c r="H321">
        <v>240</v>
      </c>
      <c r="I321">
        <v>1</v>
      </c>
      <c r="J321">
        <v>8000</v>
      </c>
      <c r="K321">
        <v>355</v>
      </c>
      <c r="L321">
        <v>1</v>
      </c>
      <c r="M321">
        <v>2007</v>
      </c>
      <c r="N321">
        <v>1</v>
      </c>
      <c r="O321">
        <v>0.05</v>
      </c>
      <c r="P321">
        <v>9000</v>
      </c>
      <c r="Q321">
        <v>87</v>
      </c>
      <c r="R321">
        <v>1</v>
      </c>
      <c r="S321" t="s">
        <v>3824</v>
      </c>
      <c r="T321">
        <v>12</v>
      </c>
      <c r="U321">
        <v>0.5</v>
      </c>
      <c r="V321">
        <v>1000</v>
      </c>
      <c r="W321">
        <v>3710</v>
      </c>
      <c r="X321">
        <v>1</v>
      </c>
      <c r="Y321">
        <v>2006</v>
      </c>
      <c r="Z321">
        <v>1</v>
      </c>
      <c r="AA321">
        <v>0.03</v>
      </c>
    </row>
    <row r="322" spans="1:27">
      <c r="A322">
        <v>1320</v>
      </c>
      <c r="B322" t="s">
        <v>4117</v>
      </c>
      <c r="C322">
        <v>150</v>
      </c>
      <c r="D322" t="s">
        <v>3823</v>
      </c>
      <c r="E322">
        <v>1</v>
      </c>
      <c r="F322">
        <v>0.105</v>
      </c>
      <c r="G322">
        <v>8001</v>
      </c>
      <c r="H322">
        <v>240</v>
      </c>
      <c r="I322">
        <v>1</v>
      </c>
      <c r="J322">
        <v>8000</v>
      </c>
      <c r="K322">
        <v>360</v>
      </c>
      <c r="L322">
        <v>1</v>
      </c>
      <c r="M322">
        <v>2007</v>
      </c>
      <c r="N322">
        <v>1</v>
      </c>
      <c r="O322">
        <v>0.05</v>
      </c>
      <c r="P322">
        <v>9000</v>
      </c>
      <c r="Q322">
        <v>87</v>
      </c>
      <c r="R322">
        <v>1</v>
      </c>
      <c r="S322" t="s">
        <v>3824</v>
      </c>
      <c r="T322">
        <v>12</v>
      </c>
      <c r="U322">
        <v>0.5</v>
      </c>
      <c r="V322">
        <v>1000</v>
      </c>
      <c r="W322">
        <v>3725</v>
      </c>
      <c r="X322">
        <v>1</v>
      </c>
      <c r="Y322">
        <v>2006</v>
      </c>
      <c r="Z322">
        <v>1</v>
      </c>
      <c r="AA322">
        <v>0.03</v>
      </c>
    </row>
    <row r="323" spans="1:27">
      <c r="A323">
        <v>1321</v>
      </c>
      <c r="B323" t="s">
        <v>4118</v>
      </c>
      <c r="C323">
        <v>150</v>
      </c>
      <c r="D323" t="s">
        <v>3823</v>
      </c>
      <c r="E323">
        <v>1</v>
      </c>
      <c r="F323">
        <v>0.105</v>
      </c>
      <c r="G323">
        <v>8001</v>
      </c>
      <c r="H323">
        <v>240</v>
      </c>
      <c r="I323">
        <v>1</v>
      </c>
      <c r="J323">
        <v>8000</v>
      </c>
      <c r="K323">
        <v>360</v>
      </c>
      <c r="L323">
        <v>1</v>
      </c>
      <c r="M323">
        <v>2007</v>
      </c>
      <c r="N323">
        <v>1</v>
      </c>
      <c r="O323">
        <v>0.05</v>
      </c>
      <c r="P323">
        <v>9000</v>
      </c>
      <c r="Q323">
        <v>88</v>
      </c>
      <c r="R323">
        <v>1</v>
      </c>
      <c r="S323" t="s">
        <v>3824</v>
      </c>
      <c r="T323">
        <v>12</v>
      </c>
      <c r="U323">
        <v>0.5</v>
      </c>
      <c r="V323">
        <v>1000</v>
      </c>
      <c r="W323">
        <v>3740</v>
      </c>
      <c r="X323">
        <v>1</v>
      </c>
      <c r="Y323">
        <v>2006</v>
      </c>
      <c r="Z323">
        <v>1</v>
      </c>
      <c r="AA323">
        <v>0.03</v>
      </c>
    </row>
    <row r="324" spans="1:27">
      <c r="A324">
        <v>1322</v>
      </c>
      <c r="B324" t="s">
        <v>4119</v>
      </c>
      <c r="C324">
        <v>150</v>
      </c>
      <c r="D324" t="s">
        <v>3823</v>
      </c>
      <c r="E324">
        <v>1</v>
      </c>
      <c r="F324">
        <v>0.106</v>
      </c>
      <c r="G324">
        <v>8001</v>
      </c>
      <c r="H324">
        <v>240</v>
      </c>
      <c r="I324">
        <v>1</v>
      </c>
      <c r="J324">
        <v>8000</v>
      </c>
      <c r="K324">
        <v>360</v>
      </c>
      <c r="L324">
        <v>1</v>
      </c>
      <c r="M324">
        <v>2007</v>
      </c>
      <c r="N324">
        <v>1</v>
      </c>
      <c r="O324">
        <v>0.05</v>
      </c>
      <c r="P324">
        <v>9000</v>
      </c>
      <c r="Q324">
        <v>88</v>
      </c>
      <c r="R324">
        <v>1</v>
      </c>
      <c r="S324" t="s">
        <v>3824</v>
      </c>
      <c r="T324">
        <v>12</v>
      </c>
      <c r="U324">
        <v>0.5</v>
      </c>
      <c r="V324">
        <v>1000</v>
      </c>
      <c r="W324">
        <v>3755</v>
      </c>
      <c r="X324">
        <v>1</v>
      </c>
      <c r="Y324">
        <v>2006</v>
      </c>
      <c r="Z324">
        <v>1</v>
      </c>
      <c r="AA324">
        <v>0.03</v>
      </c>
    </row>
    <row r="325" spans="1:27">
      <c r="A325">
        <v>1323</v>
      </c>
      <c r="B325" t="s">
        <v>4120</v>
      </c>
      <c r="C325">
        <v>150</v>
      </c>
      <c r="D325" t="s">
        <v>3823</v>
      </c>
      <c r="E325">
        <v>1</v>
      </c>
      <c r="F325">
        <v>0.106</v>
      </c>
      <c r="G325">
        <v>8001</v>
      </c>
      <c r="H325">
        <v>240</v>
      </c>
      <c r="I325">
        <v>1</v>
      </c>
      <c r="J325">
        <v>8000</v>
      </c>
      <c r="K325">
        <v>360</v>
      </c>
      <c r="L325">
        <v>1</v>
      </c>
      <c r="M325">
        <v>2007</v>
      </c>
      <c r="N325">
        <v>1</v>
      </c>
      <c r="O325">
        <v>0.05</v>
      </c>
      <c r="P325">
        <v>9000</v>
      </c>
      <c r="Q325">
        <v>88</v>
      </c>
      <c r="R325">
        <v>1</v>
      </c>
      <c r="S325" t="s">
        <v>3824</v>
      </c>
      <c r="T325">
        <v>12</v>
      </c>
      <c r="U325">
        <v>0.5</v>
      </c>
      <c r="V325">
        <v>1000</v>
      </c>
      <c r="W325">
        <v>3770</v>
      </c>
      <c r="X325">
        <v>1</v>
      </c>
      <c r="Y325">
        <v>2006</v>
      </c>
      <c r="Z325">
        <v>1</v>
      </c>
      <c r="AA325">
        <v>0.03</v>
      </c>
    </row>
    <row r="326" spans="1:27">
      <c r="A326">
        <v>1324</v>
      </c>
      <c r="B326" t="s">
        <v>4121</v>
      </c>
      <c r="C326">
        <v>150</v>
      </c>
      <c r="D326" t="s">
        <v>3823</v>
      </c>
      <c r="E326">
        <v>1</v>
      </c>
      <c r="F326">
        <v>0.106</v>
      </c>
      <c r="G326">
        <v>8001</v>
      </c>
      <c r="H326">
        <v>240</v>
      </c>
      <c r="I326">
        <v>1</v>
      </c>
      <c r="J326">
        <v>8000</v>
      </c>
      <c r="K326">
        <v>365</v>
      </c>
      <c r="L326">
        <v>1</v>
      </c>
      <c r="M326">
        <v>2007</v>
      </c>
      <c r="N326">
        <v>1</v>
      </c>
      <c r="O326">
        <v>0.05</v>
      </c>
      <c r="P326">
        <v>9000</v>
      </c>
      <c r="Q326">
        <v>89</v>
      </c>
      <c r="R326">
        <v>1</v>
      </c>
      <c r="S326" t="s">
        <v>3824</v>
      </c>
      <c r="T326">
        <v>12</v>
      </c>
      <c r="U326">
        <v>0.5</v>
      </c>
      <c r="V326">
        <v>1000</v>
      </c>
      <c r="W326">
        <v>3780</v>
      </c>
      <c r="X326">
        <v>1</v>
      </c>
      <c r="Y326">
        <v>2006</v>
      </c>
      <c r="Z326">
        <v>1</v>
      </c>
      <c r="AA326">
        <v>0.03</v>
      </c>
    </row>
    <row r="327" spans="1:27">
      <c r="A327">
        <v>1325</v>
      </c>
      <c r="B327" t="s">
        <v>4122</v>
      </c>
      <c r="C327">
        <v>150</v>
      </c>
      <c r="D327" t="s">
        <v>3823</v>
      </c>
      <c r="E327">
        <v>1</v>
      </c>
      <c r="F327">
        <v>0.106</v>
      </c>
      <c r="G327">
        <v>8001</v>
      </c>
      <c r="H327">
        <v>245</v>
      </c>
      <c r="I327">
        <v>1</v>
      </c>
      <c r="J327">
        <v>8000</v>
      </c>
      <c r="K327">
        <v>365</v>
      </c>
      <c r="L327">
        <v>1</v>
      </c>
      <c r="M327">
        <v>2007</v>
      </c>
      <c r="N327">
        <v>1</v>
      </c>
      <c r="O327">
        <v>0.05</v>
      </c>
      <c r="P327">
        <v>9000</v>
      </c>
      <c r="Q327">
        <v>89</v>
      </c>
      <c r="R327">
        <v>1</v>
      </c>
      <c r="S327" t="s">
        <v>3824</v>
      </c>
      <c r="T327">
        <v>12</v>
      </c>
      <c r="U327">
        <v>0.5</v>
      </c>
      <c r="V327">
        <v>1000</v>
      </c>
      <c r="W327">
        <v>3795</v>
      </c>
      <c r="X327">
        <v>1</v>
      </c>
      <c r="Y327">
        <v>2006</v>
      </c>
      <c r="Z327">
        <v>1</v>
      </c>
      <c r="AA327">
        <v>0.03</v>
      </c>
    </row>
    <row r="328" spans="1:27">
      <c r="A328">
        <v>1326</v>
      </c>
      <c r="B328" t="s">
        <v>4123</v>
      </c>
      <c r="C328">
        <v>150</v>
      </c>
      <c r="D328" t="s">
        <v>3823</v>
      </c>
      <c r="E328">
        <v>1</v>
      </c>
      <c r="F328">
        <v>0.107</v>
      </c>
      <c r="G328">
        <v>8001</v>
      </c>
      <c r="H328">
        <v>245</v>
      </c>
      <c r="I328">
        <v>1</v>
      </c>
      <c r="J328">
        <v>8000</v>
      </c>
      <c r="K328">
        <v>365</v>
      </c>
      <c r="L328">
        <v>1</v>
      </c>
      <c r="M328">
        <v>2007</v>
      </c>
      <c r="N328">
        <v>1</v>
      </c>
      <c r="O328">
        <v>0.05</v>
      </c>
      <c r="P328">
        <v>9000</v>
      </c>
      <c r="Q328">
        <v>89</v>
      </c>
      <c r="R328">
        <v>1</v>
      </c>
      <c r="S328" t="s">
        <v>3824</v>
      </c>
      <c r="T328">
        <v>12</v>
      </c>
      <c r="U328">
        <v>0.5</v>
      </c>
      <c r="V328">
        <v>1000</v>
      </c>
      <c r="W328">
        <v>3810</v>
      </c>
      <c r="X328">
        <v>1</v>
      </c>
      <c r="Y328">
        <v>2006</v>
      </c>
      <c r="Z328">
        <v>1</v>
      </c>
      <c r="AA328">
        <v>0.03</v>
      </c>
    </row>
    <row r="329" spans="1:27">
      <c r="A329">
        <v>1327</v>
      </c>
      <c r="B329" t="s">
        <v>4124</v>
      </c>
      <c r="C329">
        <v>150</v>
      </c>
      <c r="D329" t="s">
        <v>3823</v>
      </c>
      <c r="E329">
        <v>1</v>
      </c>
      <c r="F329">
        <v>0.107</v>
      </c>
      <c r="G329">
        <v>8001</v>
      </c>
      <c r="H329">
        <v>245</v>
      </c>
      <c r="I329">
        <v>1</v>
      </c>
      <c r="J329">
        <v>8000</v>
      </c>
      <c r="K329">
        <v>365</v>
      </c>
      <c r="L329">
        <v>1</v>
      </c>
      <c r="M329">
        <v>2007</v>
      </c>
      <c r="N329">
        <v>1</v>
      </c>
      <c r="O329">
        <v>0.05</v>
      </c>
      <c r="P329">
        <v>9000</v>
      </c>
      <c r="Q329">
        <v>90</v>
      </c>
      <c r="R329">
        <v>1</v>
      </c>
      <c r="S329" t="s">
        <v>3824</v>
      </c>
      <c r="T329">
        <v>12</v>
      </c>
      <c r="U329">
        <v>0.5</v>
      </c>
      <c r="V329">
        <v>1000</v>
      </c>
      <c r="W329">
        <v>3825</v>
      </c>
      <c r="X329">
        <v>1</v>
      </c>
      <c r="Y329">
        <v>2006</v>
      </c>
      <c r="Z329">
        <v>1</v>
      </c>
      <c r="AA329">
        <v>0.03</v>
      </c>
    </row>
    <row r="330" spans="1:27">
      <c r="A330">
        <v>1328</v>
      </c>
      <c r="B330" t="s">
        <v>4125</v>
      </c>
      <c r="C330">
        <v>150</v>
      </c>
      <c r="D330" t="s">
        <v>3823</v>
      </c>
      <c r="E330">
        <v>1</v>
      </c>
      <c r="F330">
        <v>0.107</v>
      </c>
      <c r="G330">
        <v>8001</v>
      </c>
      <c r="H330">
        <v>245</v>
      </c>
      <c r="I330">
        <v>1</v>
      </c>
      <c r="J330">
        <v>8000</v>
      </c>
      <c r="K330">
        <v>370</v>
      </c>
      <c r="L330">
        <v>1</v>
      </c>
      <c r="M330">
        <v>2007</v>
      </c>
      <c r="N330">
        <v>1</v>
      </c>
      <c r="O330">
        <v>0.05</v>
      </c>
      <c r="P330">
        <v>9000</v>
      </c>
      <c r="Q330">
        <v>90</v>
      </c>
      <c r="R330">
        <v>1</v>
      </c>
      <c r="S330" t="s">
        <v>3824</v>
      </c>
      <c r="T330">
        <v>12</v>
      </c>
      <c r="U330">
        <v>0.5</v>
      </c>
      <c r="V330">
        <v>1000</v>
      </c>
      <c r="W330">
        <v>3840</v>
      </c>
      <c r="X330">
        <v>1</v>
      </c>
      <c r="Y330">
        <v>2006</v>
      </c>
      <c r="Z330">
        <v>1</v>
      </c>
      <c r="AA330">
        <v>0.03</v>
      </c>
    </row>
    <row r="331" spans="1:27">
      <c r="A331">
        <v>1329</v>
      </c>
      <c r="B331" t="s">
        <v>4126</v>
      </c>
      <c r="C331">
        <v>150</v>
      </c>
      <c r="D331" t="s">
        <v>3823</v>
      </c>
      <c r="E331">
        <v>1</v>
      </c>
      <c r="F331">
        <v>0.107</v>
      </c>
      <c r="G331">
        <v>8001</v>
      </c>
      <c r="H331">
        <v>245</v>
      </c>
      <c r="I331">
        <v>1</v>
      </c>
      <c r="J331">
        <v>8000</v>
      </c>
      <c r="K331">
        <v>370</v>
      </c>
      <c r="L331">
        <v>1</v>
      </c>
      <c r="M331">
        <v>2007</v>
      </c>
      <c r="N331">
        <v>1</v>
      </c>
      <c r="O331">
        <v>0.05</v>
      </c>
      <c r="P331">
        <v>9000</v>
      </c>
      <c r="Q331">
        <v>90</v>
      </c>
      <c r="R331">
        <v>1</v>
      </c>
      <c r="S331" t="s">
        <v>3824</v>
      </c>
      <c r="T331">
        <v>12</v>
      </c>
      <c r="U331">
        <v>0.5</v>
      </c>
      <c r="V331">
        <v>1000</v>
      </c>
      <c r="W331">
        <v>3850</v>
      </c>
      <c r="X331">
        <v>1</v>
      </c>
      <c r="Y331">
        <v>2006</v>
      </c>
      <c r="Z331">
        <v>1</v>
      </c>
      <c r="AA331">
        <v>0.03</v>
      </c>
    </row>
    <row r="332" spans="1:27">
      <c r="A332">
        <v>1330</v>
      </c>
      <c r="B332" t="s">
        <v>4127</v>
      </c>
      <c r="C332">
        <v>150</v>
      </c>
      <c r="D332" t="s">
        <v>3823</v>
      </c>
      <c r="E332">
        <v>1</v>
      </c>
      <c r="F332">
        <v>0.108</v>
      </c>
      <c r="G332">
        <v>8001</v>
      </c>
      <c r="H332">
        <v>245</v>
      </c>
      <c r="I332">
        <v>1</v>
      </c>
      <c r="J332">
        <v>8000</v>
      </c>
      <c r="K332">
        <v>370</v>
      </c>
      <c r="L332">
        <v>1</v>
      </c>
      <c r="M332">
        <v>2007</v>
      </c>
      <c r="N332">
        <v>1</v>
      </c>
      <c r="O332">
        <v>0.05</v>
      </c>
      <c r="P332">
        <v>9000</v>
      </c>
      <c r="Q332">
        <v>91</v>
      </c>
      <c r="R332">
        <v>1</v>
      </c>
      <c r="S332" t="s">
        <v>3824</v>
      </c>
      <c r="T332">
        <v>12</v>
      </c>
      <c r="U332">
        <v>0.5</v>
      </c>
      <c r="V332">
        <v>1000</v>
      </c>
      <c r="W332">
        <v>3865</v>
      </c>
      <c r="X332">
        <v>1</v>
      </c>
      <c r="Y332">
        <v>2006</v>
      </c>
      <c r="Z332">
        <v>1</v>
      </c>
      <c r="AA332">
        <v>0.03</v>
      </c>
    </row>
    <row r="333" spans="1:27">
      <c r="A333">
        <v>1331</v>
      </c>
      <c r="B333" t="s">
        <v>4128</v>
      </c>
      <c r="C333">
        <v>150</v>
      </c>
      <c r="D333" t="s">
        <v>3823</v>
      </c>
      <c r="E333">
        <v>1</v>
      </c>
      <c r="F333">
        <v>0.108</v>
      </c>
      <c r="G333">
        <v>8001</v>
      </c>
      <c r="H333">
        <v>250</v>
      </c>
      <c r="I333">
        <v>1</v>
      </c>
      <c r="J333">
        <v>8000</v>
      </c>
      <c r="K333">
        <v>370</v>
      </c>
      <c r="L333">
        <v>1</v>
      </c>
      <c r="M333">
        <v>2007</v>
      </c>
      <c r="N333">
        <v>1</v>
      </c>
      <c r="O333">
        <v>0.05</v>
      </c>
      <c r="P333">
        <v>9000</v>
      </c>
      <c r="Q333">
        <v>91</v>
      </c>
      <c r="R333">
        <v>1</v>
      </c>
      <c r="S333" t="s">
        <v>3824</v>
      </c>
      <c r="T333">
        <v>12</v>
      </c>
      <c r="U333">
        <v>0.5</v>
      </c>
      <c r="V333">
        <v>1000</v>
      </c>
      <c r="W333">
        <v>3880</v>
      </c>
      <c r="X333">
        <v>1</v>
      </c>
      <c r="Y333">
        <v>2006</v>
      </c>
      <c r="Z333">
        <v>1</v>
      </c>
      <c r="AA333">
        <v>0.03</v>
      </c>
    </row>
    <row r="334" spans="1:27">
      <c r="A334">
        <v>1332</v>
      </c>
      <c r="B334" t="s">
        <v>4129</v>
      </c>
      <c r="C334">
        <v>150</v>
      </c>
      <c r="D334" t="s">
        <v>3823</v>
      </c>
      <c r="E334">
        <v>1</v>
      </c>
      <c r="F334">
        <v>0.108</v>
      </c>
      <c r="G334">
        <v>8001</v>
      </c>
      <c r="H334">
        <v>250</v>
      </c>
      <c r="I334">
        <v>1</v>
      </c>
      <c r="J334">
        <v>8000</v>
      </c>
      <c r="K334">
        <v>375</v>
      </c>
      <c r="L334">
        <v>1</v>
      </c>
      <c r="M334">
        <v>2007</v>
      </c>
      <c r="N334">
        <v>1</v>
      </c>
      <c r="O334">
        <v>0.05</v>
      </c>
      <c r="P334">
        <v>9000</v>
      </c>
      <c r="Q334">
        <v>91</v>
      </c>
      <c r="R334">
        <v>1</v>
      </c>
      <c r="S334" t="s">
        <v>3824</v>
      </c>
      <c r="T334">
        <v>12</v>
      </c>
      <c r="U334">
        <v>0.5</v>
      </c>
      <c r="V334">
        <v>1000</v>
      </c>
      <c r="W334">
        <v>3895</v>
      </c>
      <c r="X334">
        <v>1</v>
      </c>
      <c r="Y334">
        <v>2006</v>
      </c>
      <c r="Z334">
        <v>1</v>
      </c>
      <c r="AA334">
        <v>0.03</v>
      </c>
    </row>
    <row r="335" spans="1:27">
      <c r="A335">
        <v>1333</v>
      </c>
      <c r="B335" t="s">
        <v>4130</v>
      </c>
      <c r="C335">
        <v>150</v>
      </c>
      <c r="D335" t="s">
        <v>3823</v>
      </c>
      <c r="E335">
        <v>1</v>
      </c>
      <c r="F335">
        <v>0.108</v>
      </c>
      <c r="G335">
        <v>8001</v>
      </c>
      <c r="H335">
        <v>250</v>
      </c>
      <c r="I335">
        <v>1</v>
      </c>
      <c r="J335">
        <v>8000</v>
      </c>
      <c r="K335">
        <v>375</v>
      </c>
      <c r="L335">
        <v>1</v>
      </c>
      <c r="M335">
        <v>2007</v>
      </c>
      <c r="N335">
        <v>1</v>
      </c>
      <c r="O335">
        <v>0.05</v>
      </c>
      <c r="P335">
        <v>9000</v>
      </c>
      <c r="Q335">
        <v>92</v>
      </c>
      <c r="R335">
        <v>1</v>
      </c>
      <c r="S335" t="s">
        <v>3824</v>
      </c>
      <c r="T335">
        <v>13</v>
      </c>
      <c r="U335">
        <v>0.5</v>
      </c>
      <c r="V335">
        <v>1000</v>
      </c>
      <c r="W335">
        <v>3905</v>
      </c>
      <c r="X335">
        <v>1</v>
      </c>
      <c r="Y335">
        <v>2006</v>
      </c>
      <c r="Z335">
        <v>1</v>
      </c>
      <c r="AA335">
        <v>0.03</v>
      </c>
    </row>
    <row r="336" spans="1:27">
      <c r="A336">
        <v>1334</v>
      </c>
      <c r="B336" t="s">
        <v>4131</v>
      </c>
      <c r="C336">
        <v>150</v>
      </c>
      <c r="D336" t="s">
        <v>3823</v>
      </c>
      <c r="E336">
        <v>1</v>
      </c>
      <c r="F336">
        <v>0.109</v>
      </c>
      <c r="G336">
        <v>8001</v>
      </c>
      <c r="H336">
        <v>250</v>
      </c>
      <c r="I336">
        <v>1</v>
      </c>
      <c r="J336">
        <v>8000</v>
      </c>
      <c r="K336">
        <v>375</v>
      </c>
      <c r="L336">
        <v>1</v>
      </c>
      <c r="M336">
        <v>2007</v>
      </c>
      <c r="N336">
        <v>1</v>
      </c>
      <c r="O336">
        <v>0.05</v>
      </c>
      <c r="P336">
        <v>9000</v>
      </c>
      <c r="Q336">
        <v>92</v>
      </c>
      <c r="R336">
        <v>1</v>
      </c>
      <c r="S336" t="s">
        <v>3824</v>
      </c>
      <c r="T336">
        <v>13</v>
      </c>
      <c r="U336">
        <v>0.5</v>
      </c>
      <c r="V336">
        <v>1000</v>
      </c>
      <c r="W336">
        <v>3920</v>
      </c>
      <c r="X336">
        <v>1</v>
      </c>
      <c r="Y336">
        <v>2006</v>
      </c>
      <c r="Z336">
        <v>1</v>
      </c>
      <c r="AA336">
        <v>0.03</v>
      </c>
    </row>
    <row r="337" spans="1:27">
      <c r="A337">
        <v>1335</v>
      </c>
      <c r="B337" t="s">
        <v>4132</v>
      </c>
      <c r="C337">
        <v>150</v>
      </c>
      <c r="D337" t="s">
        <v>3823</v>
      </c>
      <c r="E337">
        <v>1</v>
      </c>
      <c r="F337">
        <v>0.109</v>
      </c>
      <c r="G337">
        <v>8001</v>
      </c>
      <c r="H337">
        <v>250</v>
      </c>
      <c r="I337">
        <v>1</v>
      </c>
      <c r="J337">
        <v>8000</v>
      </c>
      <c r="K337">
        <v>380</v>
      </c>
      <c r="L337">
        <v>1</v>
      </c>
      <c r="M337">
        <v>2007</v>
      </c>
      <c r="N337">
        <v>1</v>
      </c>
      <c r="O337">
        <v>0.05</v>
      </c>
      <c r="P337">
        <v>9000</v>
      </c>
      <c r="Q337">
        <v>92</v>
      </c>
      <c r="R337">
        <v>1</v>
      </c>
      <c r="S337" t="s">
        <v>3824</v>
      </c>
      <c r="T337">
        <v>13</v>
      </c>
      <c r="U337">
        <v>0.5</v>
      </c>
      <c r="V337">
        <v>1000</v>
      </c>
      <c r="W337">
        <v>3935</v>
      </c>
      <c r="X337">
        <v>1</v>
      </c>
      <c r="Y337">
        <v>2006</v>
      </c>
      <c r="Z337">
        <v>1</v>
      </c>
      <c r="AA337">
        <v>0.03</v>
      </c>
    </row>
    <row r="338" spans="1:27">
      <c r="A338">
        <v>1336</v>
      </c>
      <c r="B338" t="s">
        <v>4133</v>
      </c>
      <c r="C338">
        <v>150</v>
      </c>
      <c r="D338" t="s">
        <v>3823</v>
      </c>
      <c r="E338">
        <v>1</v>
      </c>
      <c r="F338">
        <v>0.109</v>
      </c>
      <c r="G338">
        <v>8001</v>
      </c>
      <c r="H338">
        <v>255</v>
      </c>
      <c r="I338">
        <v>1</v>
      </c>
      <c r="J338">
        <v>8000</v>
      </c>
      <c r="K338">
        <v>380</v>
      </c>
      <c r="L338">
        <v>1</v>
      </c>
      <c r="M338">
        <v>2007</v>
      </c>
      <c r="N338">
        <v>1</v>
      </c>
      <c r="O338">
        <v>0.05</v>
      </c>
      <c r="P338">
        <v>9000</v>
      </c>
      <c r="Q338">
        <v>93</v>
      </c>
      <c r="R338">
        <v>1</v>
      </c>
      <c r="S338" t="s">
        <v>3824</v>
      </c>
      <c r="T338">
        <v>13</v>
      </c>
      <c r="U338">
        <v>0.5</v>
      </c>
      <c r="V338">
        <v>1000</v>
      </c>
      <c r="W338">
        <v>3950</v>
      </c>
      <c r="X338">
        <v>1</v>
      </c>
      <c r="Y338">
        <v>2006</v>
      </c>
      <c r="Z338">
        <v>1</v>
      </c>
      <c r="AA338">
        <v>0.03</v>
      </c>
    </row>
    <row r="339" spans="1:27">
      <c r="A339">
        <v>1337</v>
      </c>
      <c r="B339" t="s">
        <v>4134</v>
      </c>
      <c r="C339">
        <v>150</v>
      </c>
      <c r="D339" t="s">
        <v>3823</v>
      </c>
      <c r="E339">
        <v>1</v>
      </c>
      <c r="F339">
        <v>0.109</v>
      </c>
      <c r="G339">
        <v>8001</v>
      </c>
      <c r="H339">
        <v>255</v>
      </c>
      <c r="I339">
        <v>1</v>
      </c>
      <c r="J339">
        <v>8000</v>
      </c>
      <c r="K339">
        <v>380</v>
      </c>
      <c r="L339">
        <v>1</v>
      </c>
      <c r="M339">
        <v>2007</v>
      </c>
      <c r="N339">
        <v>1</v>
      </c>
      <c r="O339">
        <v>0.05</v>
      </c>
      <c r="P339">
        <v>9000</v>
      </c>
      <c r="Q339">
        <v>93</v>
      </c>
      <c r="R339">
        <v>1</v>
      </c>
      <c r="S339" t="s">
        <v>3824</v>
      </c>
      <c r="T339">
        <v>13</v>
      </c>
      <c r="U339">
        <v>0.5</v>
      </c>
      <c r="V339">
        <v>1000</v>
      </c>
      <c r="W339">
        <v>3965</v>
      </c>
      <c r="X339">
        <v>1</v>
      </c>
      <c r="Y339">
        <v>2006</v>
      </c>
      <c r="Z339">
        <v>1</v>
      </c>
      <c r="AA339">
        <v>0.03</v>
      </c>
    </row>
    <row r="340" spans="1:27">
      <c r="A340">
        <v>1338</v>
      </c>
      <c r="B340" t="s">
        <v>4135</v>
      </c>
      <c r="C340">
        <v>150</v>
      </c>
      <c r="D340" t="s">
        <v>3823</v>
      </c>
      <c r="E340">
        <v>1</v>
      </c>
      <c r="F340">
        <v>0.11</v>
      </c>
      <c r="G340">
        <v>8001</v>
      </c>
      <c r="H340">
        <v>255</v>
      </c>
      <c r="I340">
        <v>1</v>
      </c>
      <c r="J340">
        <v>8000</v>
      </c>
      <c r="K340">
        <v>380</v>
      </c>
      <c r="L340">
        <v>1</v>
      </c>
      <c r="M340">
        <v>2007</v>
      </c>
      <c r="N340">
        <v>1</v>
      </c>
      <c r="O340">
        <v>0.05</v>
      </c>
      <c r="P340">
        <v>9000</v>
      </c>
      <c r="Q340">
        <v>93</v>
      </c>
      <c r="R340">
        <v>1</v>
      </c>
      <c r="S340" t="s">
        <v>3824</v>
      </c>
      <c r="T340">
        <v>13</v>
      </c>
      <c r="U340">
        <v>0.5</v>
      </c>
      <c r="V340">
        <v>1000</v>
      </c>
      <c r="W340">
        <v>3975</v>
      </c>
      <c r="X340">
        <v>1</v>
      </c>
      <c r="Y340">
        <v>2006</v>
      </c>
      <c r="Z340">
        <v>1</v>
      </c>
      <c r="AA340">
        <v>0.03</v>
      </c>
    </row>
    <row r="341" spans="1:27">
      <c r="A341">
        <v>1339</v>
      </c>
      <c r="B341" t="s">
        <v>4136</v>
      </c>
      <c r="C341">
        <v>150</v>
      </c>
      <c r="D341" t="s">
        <v>3823</v>
      </c>
      <c r="E341">
        <v>1</v>
      </c>
      <c r="F341">
        <v>0.11</v>
      </c>
      <c r="G341">
        <v>8001</v>
      </c>
      <c r="H341">
        <v>255</v>
      </c>
      <c r="I341">
        <v>1</v>
      </c>
      <c r="J341">
        <v>8000</v>
      </c>
      <c r="K341">
        <v>385</v>
      </c>
      <c r="L341">
        <v>1</v>
      </c>
      <c r="M341">
        <v>2007</v>
      </c>
      <c r="N341">
        <v>1</v>
      </c>
      <c r="O341">
        <v>0.05</v>
      </c>
      <c r="P341">
        <v>9000</v>
      </c>
      <c r="Q341">
        <v>94</v>
      </c>
      <c r="R341">
        <v>1</v>
      </c>
      <c r="S341" t="s">
        <v>3824</v>
      </c>
      <c r="T341">
        <v>13</v>
      </c>
      <c r="U341">
        <v>0.5</v>
      </c>
      <c r="V341">
        <v>1000</v>
      </c>
      <c r="W341">
        <v>3990</v>
      </c>
      <c r="X341">
        <v>1</v>
      </c>
      <c r="Y341">
        <v>2006</v>
      </c>
      <c r="Z341">
        <v>1</v>
      </c>
      <c r="AA341">
        <v>0.03</v>
      </c>
    </row>
    <row r="342" spans="1:27">
      <c r="A342">
        <v>1340</v>
      </c>
      <c r="B342" t="s">
        <v>4137</v>
      </c>
      <c r="C342">
        <v>150</v>
      </c>
      <c r="D342" t="s">
        <v>3823</v>
      </c>
      <c r="E342">
        <v>1</v>
      </c>
      <c r="F342">
        <v>0.11</v>
      </c>
      <c r="G342">
        <v>8001</v>
      </c>
      <c r="H342">
        <v>255</v>
      </c>
      <c r="I342">
        <v>1</v>
      </c>
      <c r="J342">
        <v>8000</v>
      </c>
      <c r="K342">
        <v>385</v>
      </c>
      <c r="L342">
        <v>1</v>
      </c>
      <c r="M342">
        <v>2007</v>
      </c>
      <c r="N342">
        <v>1</v>
      </c>
      <c r="O342">
        <v>0.05</v>
      </c>
      <c r="P342">
        <v>9000</v>
      </c>
      <c r="Q342">
        <v>94</v>
      </c>
      <c r="R342">
        <v>1</v>
      </c>
      <c r="S342" t="s">
        <v>3824</v>
      </c>
      <c r="T342">
        <v>13</v>
      </c>
      <c r="U342">
        <v>0.5</v>
      </c>
      <c r="V342">
        <v>1000</v>
      </c>
      <c r="W342">
        <v>4005</v>
      </c>
      <c r="X342">
        <v>1</v>
      </c>
      <c r="Y342">
        <v>2006</v>
      </c>
      <c r="Z342">
        <v>1</v>
      </c>
      <c r="AA342">
        <v>0.03</v>
      </c>
    </row>
    <row r="343" spans="1:27">
      <c r="A343">
        <v>1341</v>
      </c>
      <c r="B343" t="s">
        <v>4138</v>
      </c>
      <c r="C343">
        <v>150</v>
      </c>
      <c r="D343" t="s">
        <v>3823</v>
      </c>
      <c r="E343">
        <v>1</v>
      </c>
      <c r="F343">
        <v>0.11</v>
      </c>
      <c r="G343">
        <v>8001</v>
      </c>
      <c r="H343">
        <v>255</v>
      </c>
      <c r="I343">
        <v>1</v>
      </c>
      <c r="J343">
        <v>8000</v>
      </c>
      <c r="K343">
        <v>385</v>
      </c>
      <c r="L343">
        <v>1</v>
      </c>
      <c r="M343">
        <v>2007</v>
      </c>
      <c r="N343">
        <v>1</v>
      </c>
      <c r="O343">
        <v>0.05</v>
      </c>
      <c r="P343">
        <v>9000</v>
      </c>
      <c r="Q343">
        <v>94</v>
      </c>
      <c r="R343">
        <v>1</v>
      </c>
      <c r="S343" t="s">
        <v>3824</v>
      </c>
      <c r="T343">
        <v>13</v>
      </c>
      <c r="U343">
        <v>0.5</v>
      </c>
      <c r="V343">
        <v>1000</v>
      </c>
      <c r="W343">
        <v>4020</v>
      </c>
      <c r="X343">
        <v>1</v>
      </c>
      <c r="Y343">
        <v>2006</v>
      </c>
      <c r="Z343">
        <v>1</v>
      </c>
      <c r="AA343">
        <v>0.03</v>
      </c>
    </row>
    <row r="344" spans="1:27">
      <c r="A344">
        <v>1342</v>
      </c>
      <c r="B344" t="s">
        <v>4139</v>
      </c>
      <c r="C344">
        <v>150</v>
      </c>
      <c r="D344" t="s">
        <v>3823</v>
      </c>
      <c r="E344">
        <v>1</v>
      </c>
      <c r="F344">
        <v>0.111</v>
      </c>
      <c r="G344">
        <v>8001</v>
      </c>
      <c r="H344">
        <v>260</v>
      </c>
      <c r="I344">
        <v>1</v>
      </c>
      <c r="J344">
        <v>8000</v>
      </c>
      <c r="K344">
        <v>385</v>
      </c>
      <c r="L344">
        <v>1</v>
      </c>
      <c r="M344">
        <v>2007</v>
      </c>
      <c r="N344">
        <v>1</v>
      </c>
      <c r="O344">
        <v>0.05</v>
      </c>
      <c r="P344">
        <v>9000</v>
      </c>
      <c r="Q344">
        <v>95</v>
      </c>
      <c r="R344">
        <v>1</v>
      </c>
      <c r="S344" t="s">
        <v>3824</v>
      </c>
      <c r="T344">
        <v>13</v>
      </c>
      <c r="U344">
        <v>0.5</v>
      </c>
      <c r="V344">
        <v>1000</v>
      </c>
      <c r="W344">
        <v>4030</v>
      </c>
      <c r="X344">
        <v>1</v>
      </c>
      <c r="Y344">
        <v>2006</v>
      </c>
      <c r="Z344">
        <v>1</v>
      </c>
      <c r="AA344">
        <v>0.03</v>
      </c>
    </row>
    <row r="345" spans="1:27">
      <c r="A345">
        <v>1343</v>
      </c>
      <c r="B345" t="s">
        <v>4140</v>
      </c>
      <c r="C345">
        <v>150</v>
      </c>
      <c r="D345" t="s">
        <v>3823</v>
      </c>
      <c r="E345">
        <v>1</v>
      </c>
      <c r="F345">
        <v>0.111</v>
      </c>
      <c r="G345">
        <v>8001</v>
      </c>
      <c r="H345">
        <v>260</v>
      </c>
      <c r="I345">
        <v>1</v>
      </c>
      <c r="J345">
        <v>8000</v>
      </c>
      <c r="K345">
        <v>390</v>
      </c>
      <c r="L345">
        <v>1</v>
      </c>
      <c r="M345">
        <v>2007</v>
      </c>
      <c r="N345">
        <v>1</v>
      </c>
      <c r="O345">
        <v>0.05</v>
      </c>
      <c r="P345">
        <v>9000</v>
      </c>
      <c r="Q345">
        <v>95</v>
      </c>
      <c r="R345">
        <v>1</v>
      </c>
      <c r="S345" t="s">
        <v>3824</v>
      </c>
      <c r="T345">
        <v>13</v>
      </c>
      <c r="U345">
        <v>0.5</v>
      </c>
      <c r="V345">
        <v>1000</v>
      </c>
      <c r="W345">
        <v>4045</v>
      </c>
      <c r="X345">
        <v>1</v>
      </c>
      <c r="Y345">
        <v>2006</v>
      </c>
      <c r="Z345">
        <v>1</v>
      </c>
      <c r="AA345">
        <v>0.03</v>
      </c>
    </row>
    <row r="346" spans="1:27">
      <c r="A346">
        <v>1344</v>
      </c>
      <c r="B346" t="s">
        <v>4141</v>
      </c>
      <c r="C346">
        <v>150</v>
      </c>
      <c r="D346" t="s">
        <v>3823</v>
      </c>
      <c r="E346">
        <v>1</v>
      </c>
      <c r="F346">
        <v>0.111</v>
      </c>
      <c r="G346">
        <v>8001</v>
      </c>
      <c r="H346">
        <v>260</v>
      </c>
      <c r="I346">
        <v>1</v>
      </c>
      <c r="J346">
        <v>8000</v>
      </c>
      <c r="K346">
        <v>390</v>
      </c>
      <c r="L346">
        <v>1</v>
      </c>
      <c r="M346">
        <v>2007</v>
      </c>
      <c r="N346">
        <v>1</v>
      </c>
      <c r="O346">
        <v>0.05</v>
      </c>
      <c r="P346">
        <v>9000</v>
      </c>
      <c r="Q346">
        <v>95</v>
      </c>
      <c r="R346">
        <v>1</v>
      </c>
      <c r="S346" t="s">
        <v>3824</v>
      </c>
      <c r="T346">
        <v>13</v>
      </c>
      <c r="U346">
        <v>0.5</v>
      </c>
      <c r="V346">
        <v>1000</v>
      </c>
      <c r="W346">
        <v>4060</v>
      </c>
      <c r="X346">
        <v>1</v>
      </c>
      <c r="Y346">
        <v>2006</v>
      </c>
      <c r="Z346">
        <v>1</v>
      </c>
      <c r="AA346">
        <v>0.03</v>
      </c>
    </row>
    <row r="347" spans="1:27">
      <c r="A347">
        <v>1345</v>
      </c>
      <c r="B347" t="s">
        <v>4142</v>
      </c>
      <c r="C347">
        <v>150</v>
      </c>
      <c r="D347" t="s">
        <v>3823</v>
      </c>
      <c r="E347">
        <v>1</v>
      </c>
      <c r="F347">
        <v>0.111</v>
      </c>
      <c r="G347">
        <v>8001</v>
      </c>
      <c r="H347">
        <v>260</v>
      </c>
      <c r="I347">
        <v>1</v>
      </c>
      <c r="J347">
        <v>8000</v>
      </c>
      <c r="K347">
        <v>390</v>
      </c>
      <c r="L347">
        <v>1</v>
      </c>
      <c r="M347">
        <v>2007</v>
      </c>
      <c r="N347">
        <v>1</v>
      </c>
      <c r="O347">
        <v>0.05</v>
      </c>
      <c r="P347">
        <v>9000</v>
      </c>
      <c r="Q347">
        <v>96</v>
      </c>
      <c r="R347">
        <v>1</v>
      </c>
      <c r="S347" t="s">
        <v>3824</v>
      </c>
      <c r="T347">
        <v>13</v>
      </c>
      <c r="U347">
        <v>0.5</v>
      </c>
      <c r="V347">
        <v>1000</v>
      </c>
      <c r="W347">
        <v>4075</v>
      </c>
      <c r="X347">
        <v>1</v>
      </c>
      <c r="Y347">
        <v>2006</v>
      </c>
      <c r="Z347">
        <v>1</v>
      </c>
      <c r="AA347">
        <v>0.03</v>
      </c>
    </row>
    <row r="348" spans="1:27">
      <c r="A348">
        <v>1346</v>
      </c>
      <c r="B348" t="s">
        <v>4116</v>
      </c>
      <c r="C348">
        <v>150</v>
      </c>
      <c r="D348" t="s">
        <v>3823</v>
      </c>
      <c r="E348">
        <v>1</v>
      </c>
      <c r="F348">
        <v>0.112</v>
      </c>
      <c r="G348">
        <v>8001</v>
      </c>
      <c r="H348">
        <v>260</v>
      </c>
      <c r="I348">
        <v>1</v>
      </c>
      <c r="J348">
        <v>8000</v>
      </c>
      <c r="K348">
        <v>390</v>
      </c>
      <c r="L348">
        <v>1</v>
      </c>
      <c r="M348">
        <v>2007</v>
      </c>
      <c r="N348">
        <v>1</v>
      </c>
      <c r="O348">
        <v>0.05</v>
      </c>
      <c r="P348">
        <v>9000</v>
      </c>
      <c r="Q348">
        <v>96</v>
      </c>
      <c r="R348">
        <v>1</v>
      </c>
      <c r="S348" t="s">
        <v>3824</v>
      </c>
      <c r="T348">
        <v>13</v>
      </c>
      <c r="U348">
        <v>0.5</v>
      </c>
      <c r="V348">
        <v>1000</v>
      </c>
      <c r="W348">
        <v>4085</v>
      </c>
      <c r="X348">
        <v>1</v>
      </c>
      <c r="Y348">
        <v>2006</v>
      </c>
      <c r="Z348">
        <v>1</v>
      </c>
      <c r="AA348">
        <v>0.03</v>
      </c>
    </row>
    <row r="349" spans="1:27">
      <c r="A349">
        <v>1347</v>
      </c>
      <c r="B349" t="s">
        <v>4143</v>
      </c>
      <c r="C349">
        <v>150</v>
      </c>
      <c r="D349" t="s">
        <v>3823</v>
      </c>
      <c r="E349">
        <v>1</v>
      </c>
      <c r="F349">
        <v>0.112</v>
      </c>
      <c r="G349">
        <v>8001</v>
      </c>
      <c r="H349">
        <v>260</v>
      </c>
      <c r="I349">
        <v>1</v>
      </c>
      <c r="J349">
        <v>8000</v>
      </c>
      <c r="K349">
        <v>395</v>
      </c>
      <c r="L349">
        <v>1</v>
      </c>
      <c r="M349">
        <v>2007</v>
      </c>
      <c r="N349">
        <v>1</v>
      </c>
      <c r="O349">
        <v>0.05</v>
      </c>
      <c r="P349">
        <v>9000</v>
      </c>
      <c r="Q349">
        <v>97</v>
      </c>
      <c r="R349">
        <v>1</v>
      </c>
      <c r="S349" t="s">
        <v>3824</v>
      </c>
      <c r="T349">
        <v>13</v>
      </c>
      <c r="U349">
        <v>0.5</v>
      </c>
      <c r="V349">
        <v>1000</v>
      </c>
      <c r="W349">
        <v>4100</v>
      </c>
      <c r="X349">
        <v>1</v>
      </c>
      <c r="Y349">
        <v>2006</v>
      </c>
      <c r="Z349">
        <v>1</v>
      </c>
      <c r="AA349">
        <v>0.03</v>
      </c>
    </row>
    <row r="350" spans="1:27">
      <c r="A350">
        <v>1348</v>
      </c>
      <c r="B350" t="s">
        <v>4144</v>
      </c>
      <c r="C350">
        <v>150</v>
      </c>
      <c r="D350" t="s">
        <v>3823</v>
      </c>
      <c r="E350">
        <v>1</v>
      </c>
      <c r="F350">
        <v>0.112</v>
      </c>
      <c r="G350">
        <v>8001</v>
      </c>
      <c r="H350">
        <v>265</v>
      </c>
      <c r="I350">
        <v>1</v>
      </c>
      <c r="J350">
        <v>8000</v>
      </c>
      <c r="K350">
        <v>395</v>
      </c>
      <c r="L350">
        <v>1</v>
      </c>
      <c r="M350">
        <v>2007</v>
      </c>
      <c r="N350">
        <v>1</v>
      </c>
      <c r="O350">
        <v>0.05</v>
      </c>
      <c r="P350">
        <v>9000</v>
      </c>
      <c r="Q350">
        <v>97</v>
      </c>
      <c r="R350">
        <v>1</v>
      </c>
      <c r="S350" t="s">
        <v>3824</v>
      </c>
      <c r="T350">
        <v>13</v>
      </c>
      <c r="U350">
        <v>0.5</v>
      </c>
      <c r="V350">
        <v>1000</v>
      </c>
      <c r="W350">
        <v>4115</v>
      </c>
      <c r="X350">
        <v>1</v>
      </c>
      <c r="Y350">
        <v>2006</v>
      </c>
      <c r="Z350">
        <v>1</v>
      </c>
      <c r="AA350">
        <v>0.03</v>
      </c>
    </row>
    <row r="351" spans="1:27">
      <c r="A351">
        <v>1349</v>
      </c>
      <c r="B351" t="s">
        <v>4145</v>
      </c>
      <c r="C351">
        <v>150</v>
      </c>
      <c r="D351" t="s">
        <v>3823</v>
      </c>
      <c r="E351">
        <v>1</v>
      </c>
      <c r="F351">
        <v>0.112</v>
      </c>
      <c r="G351">
        <v>8001</v>
      </c>
      <c r="H351">
        <v>265</v>
      </c>
      <c r="I351">
        <v>1</v>
      </c>
      <c r="J351">
        <v>8000</v>
      </c>
      <c r="K351">
        <v>395</v>
      </c>
      <c r="L351">
        <v>1</v>
      </c>
      <c r="M351">
        <v>2007</v>
      </c>
      <c r="N351">
        <v>1</v>
      </c>
      <c r="O351">
        <v>0.05</v>
      </c>
      <c r="P351">
        <v>9000</v>
      </c>
      <c r="Q351">
        <v>97</v>
      </c>
      <c r="R351">
        <v>1</v>
      </c>
      <c r="S351" t="s">
        <v>3824</v>
      </c>
      <c r="T351">
        <v>13</v>
      </c>
      <c r="U351">
        <v>0.5</v>
      </c>
      <c r="V351">
        <v>1000</v>
      </c>
      <c r="W351">
        <v>4130</v>
      </c>
      <c r="X351">
        <v>1</v>
      </c>
      <c r="Y351">
        <v>2006</v>
      </c>
      <c r="Z351">
        <v>1</v>
      </c>
      <c r="AA351">
        <v>0.03</v>
      </c>
    </row>
    <row r="352" spans="1:27">
      <c r="A352">
        <v>1350</v>
      </c>
      <c r="B352" t="s">
        <v>4146</v>
      </c>
      <c r="C352">
        <v>150</v>
      </c>
      <c r="D352" t="s">
        <v>3823</v>
      </c>
      <c r="E352">
        <v>1</v>
      </c>
      <c r="F352">
        <v>0.113</v>
      </c>
      <c r="G352">
        <v>8001</v>
      </c>
      <c r="H352">
        <v>265</v>
      </c>
      <c r="I352">
        <v>1</v>
      </c>
      <c r="J352">
        <v>8000</v>
      </c>
      <c r="K352">
        <v>400</v>
      </c>
      <c r="L352">
        <v>1</v>
      </c>
      <c r="M352">
        <v>2007</v>
      </c>
      <c r="N352">
        <v>1</v>
      </c>
      <c r="O352">
        <v>0.05</v>
      </c>
      <c r="P352">
        <v>9000</v>
      </c>
      <c r="Q352">
        <v>98</v>
      </c>
      <c r="R352">
        <v>1</v>
      </c>
      <c r="S352" t="s">
        <v>3824</v>
      </c>
      <c r="T352">
        <v>13</v>
      </c>
      <c r="U352">
        <v>0.5</v>
      </c>
      <c r="V352">
        <v>1000</v>
      </c>
      <c r="W352">
        <v>4140</v>
      </c>
      <c r="X352">
        <v>1</v>
      </c>
      <c r="Y352">
        <v>2006</v>
      </c>
      <c r="Z352">
        <v>1</v>
      </c>
      <c r="AA352">
        <v>0.03</v>
      </c>
    </row>
    <row r="353" spans="1:27">
      <c r="A353">
        <v>1351</v>
      </c>
      <c r="B353" t="s">
        <v>4147</v>
      </c>
      <c r="C353">
        <v>150</v>
      </c>
      <c r="D353" t="s">
        <v>3823</v>
      </c>
      <c r="E353">
        <v>1</v>
      </c>
      <c r="F353">
        <v>0.113</v>
      </c>
      <c r="G353">
        <v>8001</v>
      </c>
      <c r="H353">
        <v>265</v>
      </c>
      <c r="I353">
        <v>1</v>
      </c>
      <c r="J353">
        <v>8000</v>
      </c>
      <c r="K353">
        <v>400</v>
      </c>
      <c r="L353">
        <v>1</v>
      </c>
      <c r="M353">
        <v>2007</v>
      </c>
      <c r="N353">
        <v>1</v>
      </c>
      <c r="O353">
        <v>0.05</v>
      </c>
      <c r="P353">
        <v>9000</v>
      </c>
      <c r="Q353">
        <v>98</v>
      </c>
      <c r="R353">
        <v>1</v>
      </c>
      <c r="S353" t="s">
        <v>3824</v>
      </c>
      <c r="T353">
        <v>13</v>
      </c>
      <c r="U353">
        <v>0.5</v>
      </c>
      <c r="V353">
        <v>1000</v>
      </c>
      <c r="W353">
        <v>4155</v>
      </c>
      <c r="X353">
        <v>1</v>
      </c>
      <c r="Y353">
        <v>2006</v>
      </c>
      <c r="Z353">
        <v>1</v>
      </c>
      <c r="AA353">
        <v>0.03</v>
      </c>
    </row>
    <row r="354" spans="1:27">
      <c r="A354">
        <v>1352</v>
      </c>
      <c r="B354" t="s">
        <v>4148</v>
      </c>
      <c r="C354">
        <v>150</v>
      </c>
      <c r="D354" t="s">
        <v>3823</v>
      </c>
      <c r="E354">
        <v>1</v>
      </c>
      <c r="F354">
        <v>0.113</v>
      </c>
      <c r="G354">
        <v>8001</v>
      </c>
      <c r="H354">
        <v>265</v>
      </c>
      <c r="I354">
        <v>1</v>
      </c>
      <c r="J354">
        <v>8000</v>
      </c>
      <c r="K354">
        <v>400</v>
      </c>
      <c r="L354">
        <v>1</v>
      </c>
      <c r="M354">
        <v>2007</v>
      </c>
      <c r="N354">
        <v>1</v>
      </c>
      <c r="O354">
        <v>0.05</v>
      </c>
      <c r="P354">
        <v>9000</v>
      </c>
      <c r="Q354">
        <v>98</v>
      </c>
      <c r="R354">
        <v>1</v>
      </c>
      <c r="S354" t="s">
        <v>3824</v>
      </c>
      <c r="T354">
        <v>13</v>
      </c>
      <c r="U354">
        <v>0.5</v>
      </c>
      <c r="V354">
        <v>1000</v>
      </c>
      <c r="W354">
        <v>4170</v>
      </c>
      <c r="X354">
        <v>1</v>
      </c>
      <c r="Y354">
        <v>2006</v>
      </c>
      <c r="Z354">
        <v>1</v>
      </c>
      <c r="AA354">
        <v>0.03</v>
      </c>
    </row>
    <row r="355" spans="1:27">
      <c r="A355">
        <v>1353</v>
      </c>
      <c r="B355" t="s">
        <v>4149</v>
      </c>
      <c r="C355">
        <v>150</v>
      </c>
      <c r="D355" t="s">
        <v>3823</v>
      </c>
      <c r="E355">
        <v>1</v>
      </c>
      <c r="F355">
        <v>0.113</v>
      </c>
      <c r="G355">
        <v>8001</v>
      </c>
      <c r="H355">
        <v>270</v>
      </c>
      <c r="I355">
        <v>1</v>
      </c>
      <c r="J355">
        <v>8000</v>
      </c>
      <c r="K355">
        <v>400</v>
      </c>
      <c r="L355">
        <v>1</v>
      </c>
      <c r="M355">
        <v>2007</v>
      </c>
      <c r="N355">
        <v>1</v>
      </c>
      <c r="O355">
        <v>0.05</v>
      </c>
      <c r="P355">
        <v>9000</v>
      </c>
      <c r="Q355">
        <v>99</v>
      </c>
      <c r="R355">
        <v>1</v>
      </c>
      <c r="S355" t="s">
        <v>3824</v>
      </c>
      <c r="T355">
        <v>13</v>
      </c>
      <c r="U355">
        <v>0.5</v>
      </c>
      <c r="V355">
        <v>1000</v>
      </c>
      <c r="W355">
        <v>4185</v>
      </c>
      <c r="X355">
        <v>1</v>
      </c>
      <c r="Y355">
        <v>2006</v>
      </c>
      <c r="Z355">
        <v>1</v>
      </c>
      <c r="AA355">
        <v>0.03</v>
      </c>
    </row>
    <row r="356" spans="1:27">
      <c r="A356">
        <v>1354</v>
      </c>
      <c r="B356" t="s">
        <v>4146</v>
      </c>
      <c r="C356">
        <v>150</v>
      </c>
      <c r="D356" t="s">
        <v>3823</v>
      </c>
      <c r="E356">
        <v>1</v>
      </c>
      <c r="F356">
        <v>0.113</v>
      </c>
      <c r="G356">
        <v>8001</v>
      </c>
      <c r="H356">
        <v>270</v>
      </c>
      <c r="I356">
        <v>1</v>
      </c>
      <c r="J356">
        <v>8000</v>
      </c>
      <c r="K356">
        <v>405</v>
      </c>
      <c r="L356">
        <v>1</v>
      </c>
      <c r="M356">
        <v>2007</v>
      </c>
      <c r="N356">
        <v>1</v>
      </c>
      <c r="O356">
        <v>0.05</v>
      </c>
      <c r="P356">
        <v>9000</v>
      </c>
      <c r="Q356">
        <v>99</v>
      </c>
      <c r="R356">
        <v>1</v>
      </c>
      <c r="S356" t="s">
        <v>3824</v>
      </c>
      <c r="T356">
        <v>13</v>
      </c>
      <c r="U356">
        <v>0.5</v>
      </c>
      <c r="V356">
        <v>1000</v>
      </c>
      <c r="W356">
        <v>4195</v>
      </c>
      <c r="X356">
        <v>1</v>
      </c>
      <c r="Y356">
        <v>2006</v>
      </c>
      <c r="Z356">
        <v>1</v>
      </c>
      <c r="AA356">
        <v>0.03</v>
      </c>
    </row>
    <row r="357" spans="1:27">
      <c r="A357">
        <v>1355</v>
      </c>
      <c r="B357" t="s">
        <v>4150</v>
      </c>
      <c r="C357">
        <v>150</v>
      </c>
      <c r="D357" t="s">
        <v>3823</v>
      </c>
      <c r="E357">
        <v>1</v>
      </c>
      <c r="F357">
        <v>0.114</v>
      </c>
      <c r="G357">
        <v>8001</v>
      </c>
      <c r="H357">
        <v>270</v>
      </c>
      <c r="I357">
        <v>1</v>
      </c>
      <c r="J357">
        <v>8000</v>
      </c>
      <c r="K357">
        <v>405</v>
      </c>
      <c r="L357">
        <v>1</v>
      </c>
      <c r="M357">
        <v>2007</v>
      </c>
      <c r="N357">
        <v>1</v>
      </c>
      <c r="O357">
        <v>0.05</v>
      </c>
      <c r="P357">
        <v>9000</v>
      </c>
      <c r="Q357">
        <v>99</v>
      </c>
      <c r="R357">
        <v>1</v>
      </c>
      <c r="S357" t="s">
        <v>3824</v>
      </c>
      <c r="T357">
        <v>13</v>
      </c>
      <c r="U357">
        <v>0.5</v>
      </c>
      <c r="V357">
        <v>1000</v>
      </c>
      <c r="W357">
        <v>4210</v>
      </c>
      <c r="X357">
        <v>1</v>
      </c>
      <c r="Y357">
        <v>2006</v>
      </c>
      <c r="Z357">
        <v>1</v>
      </c>
      <c r="AA357">
        <v>0.03</v>
      </c>
    </row>
    <row r="358" spans="1:27">
      <c r="A358">
        <v>1356</v>
      </c>
      <c r="B358" t="s">
        <v>4150</v>
      </c>
      <c r="C358">
        <v>150</v>
      </c>
      <c r="D358" t="s">
        <v>3823</v>
      </c>
      <c r="E358">
        <v>1</v>
      </c>
      <c r="F358">
        <v>0.114</v>
      </c>
      <c r="G358">
        <v>8001</v>
      </c>
      <c r="H358">
        <v>270</v>
      </c>
      <c r="I358">
        <v>1</v>
      </c>
      <c r="J358">
        <v>8000</v>
      </c>
      <c r="K358">
        <v>405</v>
      </c>
      <c r="L358">
        <v>1</v>
      </c>
      <c r="M358">
        <v>2007</v>
      </c>
      <c r="N358">
        <v>1</v>
      </c>
      <c r="O358">
        <v>0.05</v>
      </c>
      <c r="P358">
        <v>9000</v>
      </c>
      <c r="Q358">
        <v>100</v>
      </c>
      <c r="R358">
        <v>1</v>
      </c>
      <c r="S358" t="s">
        <v>3824</v>
      </c>
      <c r="T358">
        <v>14</v>
      </c>
      <c r="U358">
        <v>0.5</v>
      </c>
      <c r="V358">
        <v>1000</v>
      </c>
      <c r="W358">
        <v>4225</v>
      </c>
      <c r="X358">
        <v>1</v>
      </c>
      <c r="Y358">
        <v>2006</v>
      </c>
      <c r="Z358">
        <v>1</v>
      </c>
      <c r="AA358">
        <v>0.03</v>
      </c>
    </row>
    <row r="359" spans="1:27">
      <c r="A359">
        <v>1357</v>
      </c>
      <c r="B359" t="s">
        <v>4151</v>
      </c>
      <c r="C359">
        <v>150</v>
      </c>
      <c r="D359" t="s">
        <v>3823</v>
      </c>
      <c r="E359">
        <v>1</v>
      </c>
      <c r="F359">
        <v>0.114</v>
      </c>
      <c r="G359">
        <v>8001</v>
      </c>
      <c r="H359">
        <v>270</v>
      </c>
      <c r="I359">
        <v>1</v>
      </c>
      <c r="J359">
        <v>8000</v>
      </c>
      <c r="K359">
        <v>405</v>
      </c>
      <c r="L359">
        <v>1</v>
      </c>
      <c r="M359">
        <v>2007</v>
      </c>
      <c r="N359">
        <v>1</v>
      </c>
      <c r="O359">
        <v>0.05</v>
      </c>
      <c r="P359">
        <v>9000</v>
      </c>
      <c r="Q359">
        <v>100</v>
      </c>
      <c r="R359">
        <v>1</v>
      </c>
      <c r="S359" t="s">
        <v>3824</v>
      </c>
      <c r="T359">
        <v>14</v>
      </c>
      <c r="U359">
        <v>0.5</v>
      </c>
      <c r="V359">
        <v>1000</v>
      </c>
      <c r="W359">
        <v>4235</v>
      </c>
      <c r="X359">
        <v>1</v>
      </c>
      <c r="Y359">
        <v>2006</v>
      </c>
      <c r="Z359">
        <v>1</v>
      </c>
      <c r="AA359">
        <v>0.03</v>
      </c>
    </row>
    <row r="360" spans="1:27">
      <c r="A360">
        <v>1358</v>
      </c>
      <c r="B360" t="s">
        <v>4152</v>
      </c>
      <c r="C360">
        <v>150</v>
      </c>
      <c r="D360" t="s">
        <v>3823</v>
      </c>
      <c r="E360">
        <v>1</v>
      </c>
      <c r="F360">
        <v>0.114</v>
      </c>
      <c r="G360">
        <v>8001</v>
      </c>
      <c r="H360">
        <v>270</v>
      </c>
      <c r="I360">
        <v>1</v>
      </c>
      <c r="J360">
        <v>8000</v>
      </c>
      <c r="K360">
        <v>410</v>
      </c>
      <c r="L360">
        <v>1</v>
      </c>
      <c r="M360">
        <v>2007</v>
      </c>
      <c r="N360">
        <v>1</v>
      </c>
      <c r="O360">
        <v>0.05</v>
      </c>
      <c r="P360">
        <v>9000</v>
      </c>
      <c r="Q360">
        <v>100</v>
      </c>
      <c r="R360">
        <v>1</v>
      </c>
      <c r="S360" t="s">
        <v>3824</v>
      </c>
      <c r="T360">
        <v>14</v>
      </c>
      <c r="U360">
        <v>0.5</v>
      </c>
      <c r="V360">
        <v>1000</v>
      </c>
      <c r="W360">
        <v>4250</v>
      </c>
      <c r="X360">
        <v>1</v>
      </c>
      <c r="Y360">
        <v>2006</v>
      </c>
      <c r="Z360">
        <v>1</v>
      </c>
      <c r="AA360">
        <v>0.03</v>
      </c>
    </row>
    <row r="361" spans="1:27">
      <c r="A361">
        <v>1359</v>
      </c>
      <c r="B361" t="s">
        <v>4153</v>
      </c>
      <c r="C361">
        <v>150</v>
      </c>
      <c r="D361" t="s">
        <v>3823</v>
      </c>
      <c r="E361">
        <v>1</v>
      </c>
      <c r="F361">
        <v>0.115</v>
      </c>
      <c r="G361">
        <v>8001</v>
      </c>
      <c r="H361">
        <v>275</v>
      </c>
      <c r="I361">
        <v>1</v>
      </c>
      <c r="J361">
        <v>8000</v>
      </c>
      <c r="K361">
        <v>410</v>
      </c>
      <c r="L361">
        <v>1</v>
      </c>
      <c r="M361">
        <v>2007</v>
      </c>
      <c r="N361">
        <v>1</v>
      </c>
      <c r="O361">
        <v>0.05</v>
      </c>
      <c r="P361">
        <v>9000</v>
      </c>
      <c r="Q361">
        <v>101</v>
      </c>
      <c r="R361">
        <v>1</v>
      </c>
      <c r="S361" t="s">
        <v>3824</v>
      </c>
      <c r="T361">
        <v>14</v>
      </c>
      <c r="U361">
        <v>0.5</v>
      </c>
      <c r="V361">
        <v>1000</v>
      </c>
      <c r="W361">
        <v>4265</v>
      </c>
      <c r="X361">
        <v>1</v>
      </c>
      <c r="Y361">
        <v>2006</v>
      </c>
      <c r="Z361">
        <v>1</v>
      </c>
      <c r="AA361">
        <v>0.03</v>
      </c>
    </row>
    <row r="362" spans="1:27">
      <c r="A362">
        <v>1360</v>
      </c>
      <c r="B362" t="s">
        <v>4154</v>
      </c>
      <c r="C362">
        <v>150</v>
      </c>
      <c r="D362" t="s">
        <v>3823</v>
      </c>
      <c r="E362">
        <v>1</v>
      </c>
      <c r="F362">
        <v>0.115</v>
      </c>
      <c r="G362">
        <v>8001</v>
      </c>
      <c r="H362">
        <v>275</v>
      </c>
      <c r="I362">
        <v>1</v>
      </c>
      <c r="J362">
        <v>8000</v>
      </c>
      <c r="K362">
        <v>410</v>
      </c>
      <c r="L362">
        <v>1</v>
      </c>
      <c r="M362">
        <v>2007</v>
      </c>
      <c r="N362">
        <v>1</v>
      </c>
      <c r="O362">
        <v>0.05</v>
      </c>
      <c r="P362">
        <v>9000</v>
      </c>
      <c r="Q362">
        <v>101</v>
      </c>
      <c r="R362">
        <v>1</v>
      </c>
      <c r="S362" t="s">
        <v>3824</v>
      </c>
      <c r="T362">
        <v>14</v>
      </c>
      <c r="U362">
        <v>0.5</v>
      </c>
      <c r="V362">
        <v>1000</v>
      </c>
      <c r="W362">
        <v>4280</v>
      </c>
      <c r="X362">
        <v>1</v>
      </c>
      <c r="Y362">
        <v>2006</v>
      </c>
      <c r="Z362">
        <v>1</v>
      </c>
      <c r="AA362">
        <v>0.03</v>
      </c>
    </row>
    <row r="363" spans="1:27">
      <c r="A363">
        <v>1361</v>
      </c>
      <c r="B363" t="s">
        <v>4155</v>
      </c>
      <c r="C363">
        <v>150</v>
      </c>
      <c r="D363" t="s">
        <v>3823</v>
      </c>
      <c r="E363">
        <v>1</v>
      </c>
      <c r="F363">
        <v>0.115</v>
      </c>
      <c r="G363">
        <v>8001</v>
      </c>
      <c r="H363">
        <v>275</v>
      </c>
      <c r="I363">
        <v>1</v>
      </c>
      <c r="J363">
        <v>8000</v>
      </c>
      <c r="K363">
        <v>410</v>
      </c>
      <c r="L363">
        <v>1</v>
      </c>
      <c r="M363">
        <v>2007</v>
      </c>
      <c r="N363">
        <v>1</v>
      </c>
      <c r="O363">
        <v>0.05</v>
      </c>
      <c r="P363">
        <v>9000</v>
      </c>
      <c r="Q363">
        <v>101</v>
      </c>
      <c r="R363">
        <v>1</v>
      </c>
      <c r="S363" t="s">
        <v>3824</v>
      </c>
      <c r="T363">
        <v>14</v>
      </c>
      <c r="U363">
        <v>0.5</v>
      </c>
      <c r="V363">
        <v>1000</v>
      </c>
      <c r="W363">
        <v>4290</v>
      </c>
      <c r="X363">
        <v>1</v>
      </c>
      <c r="Y363">
        <v>2006</v>
      </c>
      <c r="Z363">
        <v>1</v>
      </c>
      <c r="AA363">
        <v>0.03</v>
      </c>
    </row>
    <row r="364" spans="1:27">
      <c r="A364">
        <v>1362</v>
      </c>
      <c r="B364" t="s">
        <v>4156</v>
      </c>
      <c r="C364">
        <v>150</v>
      </c>
      <c r="D364" t="s">
        <v>3823</v>
      </c>
      <c r="E364">
        <v>1</v>
      </c>
      <c r="F364">
        <v>0.115</v>
      </c>
      <c r="G364">
        <v>8001</v>
      </c>
      <c r="H364">
        <v>275</v>
      </c>
      <c r="I364">
        <v>1</v>
      </c>
      <c r="J364">
        <v>8000</v>
      </c>
      <c r="K364">
        <v>415</v>
      </c>
      <c r="L364">
        <v>1</v>
      </c>
      <c r="M364">
        <v>2007</v>
      </c>
      <c r="N364">
        <v>1</v>
      </c>
      <c r="O364">
        <v>0.05</v>
      </c>
      <c r="P364">
        <v>9000</v>
      </c>
      <c r="Q364">
        <v>102</v>
      </c>
      <c r="R364">
        <v>1</v>
      </c>
      <c r="S364" t="s">
        <v>3824</v>
      </c>
      <c r="T364">
        <v>14</v>
      </c>
      <c r="U364">
        <v>0.5</v>
      </c>
      <c r="V364">
        <v>1000</v>
      </c>
      <c r="W364">
        <v>4305</v>
      </c>
      <c r="X364">
        <v>1</v>
      </c>
      <c r="Y364">
        <v>2006</v>
      </c>
      <c r="Z364">
        <v>1</v>
      </c>
      <c r="AA364">
        <v>0.03</v>
      </c>
    </row>
    <row r="365" spans="1:27">
      <c r="A365">
        <v>1363</v>
      </c>
      <c r="B365" t="s">
        <v>4157</v>
      </c>
      <c r="C365">
        <v>150</v>
      </c>
      <c r="D365" t="s">
        <v>3823</v>
      </c>
      <c r="E365">
        <v>1</v>
      </c>
      <c r="F365">
        <v>0.11600000000000001</v>
      </c>
      <c r="G365">
        <v>8001</v>
      </c>
      <c r="H365">
        <v>275</v>
      </c>
      <c r="I365">
        <v>1</v>
      </c>
      <c r="J365">
        <v>8000</v>
      </c>
      <c r="K365">
        <v>415</v>
      </c>
      <c r="L365">
        <v>1</v>
      </c>
      <c r="M365">
        <v>2007</v>
      </c>
      <c r="N365">
        <v>1</v>
      </c>
      <c r="O365">
        <v>0.05</v>
      </c>
      <c r="P365">
        <v>9000</v>
      </c>
      <c r="Q365">
        <v>102</v>
      </c>
      <c r="R365">
        <v>1</v>
      </c>
      <c r="S365" t="s">
        <v>3824</v>
      </c>
      <c r="T365">
        <v>14</v>
      </c>
      <c r="U365">
        <v>0.5</v>
      </c>
      <c r="V365">
        <v>1000</v>
      </c>
      <c r="W365">
        <v>4320</v>
      </c>
      <c r="X365">
        <v>1</v>
      </c>
      <c r="Y365">
        <v>2006</v>
      </c>
      <c r="Z365">
        <v>1</v>
      </c>
      <c r="AA365">
        <v>0.03</v>
      </c>
    </row>
    <row r="366" spans="1:27">
      <c r="A366">
        <v>1364</v>
      </c>
      <c r="B366" t="s">
        <v>4158</v>
      </c>
      <c r="C366">
        <v>150</v>
      </c>
      <c r="D366" t="s">
        <v>3823</v>
      </c>
      <c r="E366">
        <v>1</v>
      </c>
      <c r="F366">
        <v>0.11600000000000001</v>
      </c>
      <c r="G366">
        <v>8001</v>
      </c>
      <c r="H366">
        <v>275</v>
      </c>
      <c r="I366">
        <v>1</v>
      </c>
      <c r="J366">
        <v>8000</v>
      </c>
      <c r="K366">
        <v>415</v>
      </c>
      <c r="L366">
        <v>1</v>
      </c>
      <c r="M366">
        <v>2007</v>
      </c>
      <c r="N366">
        <v>1</v>
      </c>
      <c r="O366">
        <v>0.05</v>
      </c>
      <c r="P366">
        <v>9000</v>
      </c>
      <c r="Q366">
        <v>102</v>
      </c>
      <c r="R366">
        <v>1</v>
      </c>
      <c r="S366" t="s">
        <v>3824</v>
      </c>
      <c r="T366">
        <v>14</v>
      </c>
      <c r="U366">
        <v>0.5</v>
      </c>
      <c r="V366">
        <v>1000</v>
      </c>
      <c r="W366">
        <v>4330</v>
      </c>
      <c r="X366">
        <v>1</v>
      </c>
      <c r="Y366">
        <v>2006</v>
      </c>
      <c r="Z366">
        <v>1</v>
      </c>
      <c r="AA366">
        <v>0.03</v>
      </c>
    </row>
    <row r="367" spans="1:27">
      <c r="A367">
        <v>1365</v>
      </c>
      <c r="B367" t="s">
        <v>4158</v>
      </c>
      <c r="C367">
        <v>150</v>
      </c>
      <c r="D367" t="s">
        <v>3823</v>
      </c>
      <c r="E367">
        <v>1</v>
      </c>
      <c r="F367">
        <v>0.11600000000000001</v>
      </c>
      <c r="G367">
        <v>8001</v>
      </c>
      <c r="H367">
        <v>280</v>
      </c>
      <c r="I367">
        <v>1</v>
      </c>
      <c r="J367">
        <v>8000</v>
      </c>
      <c r="K367">
        <v>415</v>
      </c>
      <c r="L367">
        <v>1</v>
      </c>
      <c r="M367">
        <v>2007</v>
      </c>
      <c r="N367">
        <v>1</v>
      </c>
      <c r="O367">
        <v>0.05</v>
      </c>
      <c r="P367">
        <v>9000</v>
      </c>
      <c r="Q367">
        <v>103</v>
      </c>
      <c r="R367">
        <v>1</v>
      </c>
      <c r="S367" t="s">
        <v>3824</v>
      </c>
      <c r="T367">
        <v>14</v>
      </c>
      <c r="U367">
        <v>0.5</v>
      </c>
      <c r="V367">
        <v>1000</v>
      </c>
      <c r="W367">
        <v>4345</v>
      </c>
      <c r="X367">
        <v>1</v>
      </c>
      <c r="Y367">
        <v>2006</v>
      </c>
      <c r="Z367">
        <v>1</v>
      </c>
      <c r="AA367">
        <v>0.03</v>
      </c>
    </row>
    <row r="368" spans="1:27">
      <c r="A368">
        <v>1366</v>
      </c>
      <c r="B368" t="s">
        <v>4159</v>
      </c>
      <c r="C368">
        <v>150</v>
      </c>
      <c r="D368" t="s">
        <v>3823</v>
      </c>
      <c r="E368">
        <v>1</v>
      </c>
      <c r="F368">
        <v>0.11600000000000001</v>
      </c>
      <c r="G368">
        <v>8001</v>
      </c>
      <c r="H368">
        <v>280</v>
      </c>
      <c r="I368">
        <v>1</v>
      </c>
      <c r="J368">
        <v>8000</v>
      </c>
      <c r="K368">
        <v>420</v>
      </c>
      <c r="L368">
        <v>1</v>
      </c>
      <c r="M368">
        <v>2007</v>
      </c>
      <c r="N368">
        <v>1</v>
      </c>
      <c r="O368">
        <v>0.05</v>
      </c>
      <c r="P368">
        <v>9000</v>
      </c>
      <c r="Q368">
        <v>103</v>
      </c>
      <c r="R368">
        <v>1</v>
      </c>
      <c r="S368" t="s">
        <v>3824</v>
      </c>
      <c r="T368">
        <v>14</v>
      </c>
      <c r="U368">
        <v>0.5</v>
      </c>
      <c r="V368">
        <v>1000</v>
      </c>
      <c r="W368">
        <v>4360</v>
      </c>
      <c r="X368">
        <v>1</v>
      </c>
      <c r="Y368">
        <v>2006</v>
      </c>
      <c r="Z368">
        <v>1</v>
      </c>
      <c r="AA368">
        <v>0.03</v>
      </c>
    </row>
    <row r="369" spans="1:27">
      <c r="A369">
        <v>1367</v>
      </c>
      <c r="B369" t="s">
        <v>4160</v>
      </c>
      <c r="C369">
        <v>150</v>
      </c>
      <c r="D369" t="s">
        <v>3823</v>
      </c>
      <c r="E369">
        <v>1</v>
      </c>
      <c r="F369">
        <v>0.11700000000000001</v>
      </c>
      <c r="G369">
        <v>8001</v>
      </c>
      <c r="H369">
        <v>280</v>
      </c>
      <c r="I369">
        <v>1</v>
      </c>
      <c r="J369">
        <v>8000</v>
      </c>
      <c r="K369">
        <v>420</v>
      </c>
      <c r="L369">
        <v>1</v>
      </c>
      <c r="M369">
        <v>2007</v>
      </c>
      <c r="N369">
        <v>1</v>
      </c>
      <c r="O369">
        <v>0.05</v>
      </c>
      <c r="P369">
        <v>9000</v>
      </c>
      <c r="Q369">
        <v>103</v>
      </c>
      <c r="R369">
        <v>1</v>
      </c>
      <c r="S369" t="s">
        <v>3824</v>
      </c>
      <c r="T369">
        <v>14</v>
      </c>
      <c r="U369">
        <v>0.5</v>
      </c>
      <c r="V369">
        <v>1000</v>
      </c>
      <c r="W369">
        <v>4370</v>
      </c>
      <c r="X369">
        <v>1</v>
      </c>
      <c r="Y369">
        <v>2006</v>
      </c>
      <c r="Z369">
        <v>1</v>
      </c>
      <c r="AA369">
        <v>0.03</v>
      </c>
    </row>
    <row r="370" spans="1:27">
      <c r="A370">
        <v>1368</v>
      </c>
      <c r="B370" t="s">
        <v>4161</v>
      </c>
      <c r="C370">
        <v>150</v>
      </c>
      <c r="D370" t="s">
        <v>3823</v>
      </c>
      <c r="E370">
        <v>1</v>
      </c>
      <c r="F370">
        <v>0.11700000000000001</v>
      </c>
      <c r="G370">
        <v>8001</v>
      </c>
      <c r="H370">
        <v>280</v>
      </c>
      <c r="I370">
        <v>1</v>
      </c>
      <c r="J370">
        <v>8000</v>
      </c>
      <c r="K370">
        <v>420</v>
      </c>
      <c r="L370">
        <v>1</v>
      </c>
      <c r="M370">
        <v>2007</v>
      </c>
      <c r="N370">
        <v>1</v>
      </c>
      <c r="O370">
        <v>0.05</v>
      </c>
      <c r="P370">
        <v>9000</v>
      </c>
      <c r="Q370">
        <v>104</v>
      </c>
      <c r="R370">
        <v>1</v>
      </c>
      <c r="S370" t="s">
        <v>3824</v>
      </c>
      <c r="T370">
        <v>14</v>
      </c>
      <c r="U370">
        <v>0.5</v>
      </c>
      <c r="V370">
        <v>1000</v>
      </c>
      <c r="W370">
        <v>4385</v>
      </c>
      <c r="X370">
        <v>1</v>
      </c>
      <c r="Y370">
        <v>2006</v>
      </c>
      <c r="Z370">
        <v>1</v>
      </c>
      <c r="AA370">
        <v>0.03</v>
      </c>
    </row>
    <row r="371" spans="1:27">
      <c r="A371">
        <v>1369</v>
      </c>
      <c r="B371" t="s">
        <v>4162</v>
      </c>
      <c r="C371">
        <v>150</v>
      </c>
      <c r="D371" t="s">
        <v>3823</v>
      </c>
      <c r="E371">
        <v>1</v>
      </c>
      <c r="F371">
        <v>0.11700000000000001</v>
      </c>
      <c r="G371">
        <v>8001</v>
      </c>
      <c r="H371">
        <v>280</v>
      </c>
      <c r="I371">
        <v>1</v>
      </c>
      <c r="J371">
        <v>8000</v>
      </c>
      <c r="K371">
        <v>420</v>
      </c>
      <c r="L371">
        <v>1</v>
      </c>
      <c r="M371">
        <v>2007</v>
      </c>
      <c r="N371">
        <v>1</v>
      </c>
      <c r="O371">
        <v>0.05</v>
      </c>
      <c r="P371">
        <v>9000</v>
      </c>
      <c r="Q371">
        <v>104</v>
      </c>
      <c r="R371">
        <v>1</v>
      </c>
      <c r="S371" t="s">
        <v>3824</v>
      </c>
      <c r="T371">
        <v>14</v>
      </c>
      <c r="U371">
        <v>0.5</v>
      </c>
      <c r="V371">
        <v>1000</v>
      </c>
      <c r="W371">
        <v>4400</v>
      </c>
      <c r="X371">
        <v>1</v>
      </c>
      <c r="Y371">
        <v>2006</v>
      </c>
      <c r="Z371">
        <v>1</v>
      </c>
      <c r="AA371">
        <v>0.03</v>
      </c>
    </row>
    <row r="372" spans="1:27">
      <c r="A372">
        <v>1370</v>
      </c>
      <c r="B372" t="s">
        <v>4163</v>
      </c>
      <c r="C372">
        <v>150</v>
      </c>
      <c r="D372" t="s">
        <v>3823</v>
      </c>
      <c r="E372">
        <v>1</v>
      </c>
      <c r="F372">
        <v>0.11700000000000001</v>
      </c>
      <c r="G372">
        <v>8001</v>
      </c>
      <c r="H372">
        <v>280</v>
      </c>
      <c r="I372">
        <v>1</v>
      </c>
      <c r="J372">
        <v>8000</v>
      </c>
      <c r="K372">
        <v>425</v>
      </c>
      <c r="L372">
        <v>1</v>
      </c>
      <c r="M372">
        <v>2007</v>
      </c>
      <c r="N372">
        <v>1</v>
      </c>
      <c r="O372">
        <v>0.05</v>
      </c>
      <c r="P372">
        <v>9000</v>
      </c>
      <c r="Q372">
        <v>104</v>
      </c>
      <c r="R372">
        <v>1</v>
      </c>
      <c r="S372" t="s">
        <v>3824</v>
      </c>
      <c r="T372">
        <v>14</v>
      </c>
      <c r="U372">
        <v>0.5</v>
      </c>
      <c r="V372">
        <v>1000</v>
      </c>
      <c r="W372">
        <v>4410</v>
      </c>
      <c r="X372">
        <v>1</v>
      </c>
      <c r="Y372">
        <v>2006</v>
      </c>
      <c r="Z372">
        <v>1</v>
      </c>
      <c r="AA372">
        <v>0.03</v>
      </c>
    </row>
    <row r="373" spans="1:27">
      <c r="A373">
        <v>1371</v>
      </c>
      <c r="B373" t="s">
        <v>4164</v>
      </c>
      <c r="C373">
        <v>150</v>
      </c>
      <c r="D373" t="s">
        <v>3823</v>
      </c>
      <c r="E373">
        <v>1</v>
      </c>
      <c r="F373">
        <v>0.11799999999999999</v>
      </c>
      <c r="G373">
        <v>8001</v>
      </c>
      <c r="H373">
        <v>285</v>
      </c>
      <c r="I373">
        <v>1</v>
      </c>
      <c r="J373">
        <v>8000</v>
      </c>
      <c r="K373">
        <v>425</v>
      </c>
      <c r="L373">
        <v>1</v>
      </c>
      <c r="M373">
        <v>2007</v>
      </c>
      <c r="N373">
        <v>1</v>
      </c>
      <c r="O373">
        <v>0.05</v>
      </c>
      <c r="P373">
        <v>9000</v>
      </c>
      <c r="Q373">
        <v>105</v>
      </c>
      <c r="R373">
        <v>1</v>
      </c>
      <c r="S373" t="s">
        <v>3824</v>
      </c>
      <c r="T373">
        <v>14</v>
      </c>
      <c r="U373">
        <v>0.5</v>
      </c>
      <c r="V373">
        <v>1000</v>
      </c>
      <c r="W373">
        <v>4425</v>
      </c>
      <c r="X373">
        <v>1</v>
      </c>
      <c r="Y373">
        <v>2006</v>
      </c>
      <c r="Z373">
        <v>1</v>
      </c>
      <c r="AA373">
        <v>0.03</v>
      </c>
    </row>
    <row r="374" spans="1:27">
      <c r="A374">
        <v>1372</v>
      </c>
      <c r="B374" t="s">
        <v>4165</v>
      </c>
      <c r="C374">
        <v>150</v>
      </c>
      <c r="D374" t="s">
        <v>3823</v>
      </c>
      <c r="E374">
        <v>1</v>
      </c>
      <c r="F374">
        <v>0.11799999999999999</v>
      </c>
      <c r="G374">
        <v>8001</v>
      </c>
      <c r="H374">
        <v>285</v>
      </c>
      <c r="I374">
        <v>1</v>
      </c>
      <c r="J374">
        <v>8000</v>
      </c>
      <c r="K374">
        <v>425</v>
      </c>
      <c r="L374">
        <v>1</v>
      </c>
      <c r="M374">
        <v>2007</v>
      </c>
      <c r="N374">
        <v>1</v>
      </c>
      <c r="O374">
        <v>0.05</v>
      </c>
      <c r="P374">
        <v>9000</v>
      </c>
      <c r="Q374">
        <v>105</v>
      </c>
      <c r="R374">
        <v>1</v>
      </c>
      <c r="S374" t="s">
        <v>3824</v>
      </c>
      <c r="T374">
        <v>14</v>
      </c>
      <c r="U374">
        <v>0.5</v>
      </c>
      <c r="V374">
        <v>1000</v>
      </c>
      <c r="W374">
        <v>4440</v>
      </c>
      <c r="X374">
        <v>1</v>
      </c>
      <c r="Y374">
        <v>2006</v>
      </c>
      <c r="Z374">
        <v>1</v>
      </c>
      <c r="AA374">
        <v>0.03</v>
      </c>
    </row>
    <row r="375" spans="1:27">
      <c r="A375">
        <v>1373</v>
      </c>
      <c r="B375" t="s">
        <v>4166</v>
      </c>
      <c r="C375">
        <v>150</v>
      </c>
      <c r="D375" t="s">
        <v>3823</v>
      </c>
      <c r="E375">
        <v>1</v>
      </c>
      <c r="F375">
        <v>0.11799999999999999</v>
      </c>
      <c r="G375">
        <v>8001</v>
      </c>
      <c r="H375">
        <v>285</v>
      </c>
      <c r="I375">
        <v>1</v>
      </c>
      <c r="J375">
        <v>8000</v>
      </c>
      <c r="K375">
        <v>425</v>
      </c>
      <c r="L375">
        <v>1</v>
      </c>
      <c r="M375">
        <v>2007</v>
      </c>
      <c r="N375">
        <v>1</v>
      </c>
      <c r="O375">
        <v>0.05</v>
      </c>
      <c r="P375">
        <v>9000</v>
      </c>
      <c r="Q375">
        <v>105</v>
      </c>
      <c r="R375">
        <v>1</v>
      </c>
      <c r="S375" t="s">
        <v>3824</v>
      </c>
      <c r="T375">
        <v>14</v>
      </c>
      <c r="U375">
        <v>0.5</v>
      </c>
      <c r="V375">
        <v>1000</v>
      </c>
      <c r="W375">
        <v>4450</v>
      </c>
      <c r="X375">
        <v>1</v>
      </c>
      <c r="Y375">
        <v>2006</v>
      </c>
      <c r="Z375">
        <v>1</v>
      </c>
      <c r="AA375">
        <v>0.03</v>
      </c>
    </row>
    <row r="376" spans="1:27">
      <c r="A376">
        <v>1374</v>
      </c>
      <c r="B376" t="s">
        <v>4167</v>
      </c>
      <c r="C376">
        <v>150</v>
      </c>
      <c r="D376" t="s">
        <v>3823</v>
      </c>
      <c r="E376">
        <v>1</v>
      </c>
      <c r="F376">
        <v>0.11799999999999999</v>
      </c>
      <c r="G376">
        <v>8001</v>
      </c>
      <c r="H376">
        <v>285</v>
      </c>
      <c r="I376">
        <v>1</v>
      </c>
      <c r="J376">
        <v>8000</v>
      </c>
      <c r="K376">
        <v>430</v>
      </c>
      <c r="L376">
        <v>1</v>
      </c>
      <c r="M376">
        <v>2007</v>
      </c>
      <c r="N376">
        <v>1</v>
      </c>
      <c r="O376">
        <v>0.05</v>
      </c>
      <c r="P376">
        <v>9000</v>
      </c>
      <c r="Q376">
        <v>106</v>
      </c>
      <c r="R376">
        <v>1</v>
      </c>
      <c r="S376" t="s">
        <v>3824</v>
      </c>
      <c r="T376">
        <v>14</v>
      </c>
      <c r="U376">
        <v>0.5</v>
      </c>
      <c r="V376">
        <v>1000</v>
      </c>
      <c r="W376">
        <v>4465</v>
      </c>
      <c r="X376">
        <v>1</v>
      </c>
      <c r="Y376">
        <v>2006</v>
      </c>
      <c r="Z376">
        <v>1</v>
      </c>
      <c r="AA376">
        <v>0.03</v>
      </c>
    </row>
    <row r="377" spans="1:27">
      <c r="A377">
        <v>1375</v>
      </c>
      <c r="B377" t="s">
        <v>4168</v>
      </c>
      <c r="C377">
        <v>150</v>
      </c>
      <c r="D377" t="s">
        <v>3823</v>
      </c>
      <c r="E377">
        <v>1</v>
      </c>
      <c r="F377">
        <v>0.11899999999999999</v>
      </c>
      <c r="G377">
        <v>8001</v>
      </c>
      <c r="H377">
        <v>285</v>
      </c>
      <c r="I377">
        <v>1</v>
      </c>
      <c r="J377">
        <v>8000</v>
      </c>
      <c r="K377">
        <v>430</v>
      </c>
      <c r="L377">
        <v>1</v>
      </c>
      <c r="M377">
        <v>2007</v>
      </c>
      <c r="N377">
        <v>1</v>
      </c>
      <c r="O377">
        <v>0.05</v>
      </c>
      <c r="P377">
        <v>9000</v>
      </c>
      <c r="Q377">
        <v>106</v>
      </c>
      <c r="R377">
        <v>1</v>
      </c>
      <c r="S377" t="s">
        <v>3824</v>
      </c>
      <c r="T377">
        <v>14</v>
      </c>
      <c r="U377">
        <v>0.5</v>
      </c>
      <c r="V377">
        <v>1000</v>
      </c>
      <c r="W377">
        <v>4480</v>
      </c>
      <c r="X377">
        <v>1</v>
      </c>
      <c r="Y377">
        <v>2006</v>
      </c>
      <c r="Z377">
        <v>1</v>
      </c>
      <c r="AA377">
        <v>0.03</v>
      </c>
    </row>
    <row r="378" spans="1:27">
      <c r="A378">
        <v>1376</v>
      </c>
      <c r="B378" t="s">
        <v>4169</v>
      </c>
      <c r="C378">
        <v>150</v>
      </c>
      <c r="D378" t="s">
        <v>3823</v>
      </c>
      <c r="E378">
        <v>1</v>
      </c>
      <c r="F378">
        <v>0.11899999999999999</v>
      </c>
      <c r="G378">
        <v>8001</v>
      </c>
      <c r="H378">
        <v>285</v>
      </c>
      <c r="I378">
        <v>1</v>
      </c>
      <c r="J378">
        <v>8000</v>
      </c>
      <c r="K378">
        <v>430</v>
      </c>
      <c r="L378">
        <v>1</v>
      </c>
      <c r="M378">
        <v>2007</v>
      </c>
      <c r="N378">
        <v>1</v>
      </c>
      <c r="O378">
        <v>0.05</v>
      </c>
      <c r="P378">
        <v>9000</v>
      </c>
      <c r="Q378">
        <v>106</v>
      </c>
      <c r="R378">
        <v>1</v>
      </c>
      <c r="S378" t="s">
        <v>3824</v>
      </c>
      <c r="T378">
        <v>14</v>
      </c>
      <c r="U378">
        <v>0.5</v>
      </c>
      <c r="V378">
        <v>1000</v>
      </c>
      <c r="W378">
        <v>4490</v>
      </c>
      <c r="X378">
        <v>1</v>
      </c>
      <c r="Y378">
        <v>2006</v>
      </c>
      <c r="Z378">
        <v>1</v>
      </c>
      <c r="AA378">
        <v>0.03</v>
      </c>
    </row>
    <row r="379" spans="1:27">
      <c r="A379">
        <v>1377</v>
      </c>
      <c r="B379" t="s">
        <v>4170</v>
      </c>
      <c r="C379">
        <v>150</v>
      </c>
      <c r="D379" t="s">
        <v>3823</v>
      </c>
      <c r="E379">
        <v>1</v>
      </c>
      <c r="F379">
        <v>0.11899999999999999</v>
      </c>
      <c r="G379">
        <v>8001</v>
      </c>
      <c r="H379">
        <v>290</v>
      </c>
      <c r="I379">
        <v>1</v>
      </c>
      <c r="J379">
        <v>8000</v>
      </c>
      <c r="K379">
        <v>430</v>
      </c>
      <c r="L379">
        <v>1</v>
      </c>
      <c r="M379">
        <v>2007</v>
      </c>
      <c r="N379">
        <v>1</v>
      </c>
      <c r="O379">
        <v>0.05</v>
      </c>
      <c r="P379">
        <v>9000</v>
      </c>
      <c r="Q379">
        <v>107</v>
      </c>
      <c r="R379">
        <v>1</v>
      </c>
      <c r="S379" t="s">
        <v>3824</v>
      </c>
      <c r="T379">
        <v>14</v>
      </c>
      <c r="U379">
        <v>0.5</v>
      </c>
      <c r="V379">
        <v>1000</v>
      </c>
      <c r="W379">
        <v>4505</v>
      </c>
      <c r="X379">
        <v>1</v>
      </c>
      <c r="Y379">
        <v>2006</v>
      </c>
      <c r="Z379">
        <v>1</v>
      </c>
      <c r="AA379">
        <v>0.03</v>
      </c>
    </row>
    <row r="380" spans="1:27">
      <c r="A380">
        <v>1378</v>
      </c>
      <c r="B380" t="s">
        <v>4171</v>
      </c>
      <c r="C380">
        <v>150</v>
      </c>
      <c r="D380" t="s">
        <v>3823</v>
      </c>
      <c r="E380">
        <v>1</v>
      </c>
      <c r="F380">
        <v>0.11899999999999999</v>
      </c>
      <c r="G380">
        <v>8001</v>
      </c>
      <c r="H380">
        <v>290</v>
      </c>
      <c r="I380">
        <v>1</v>
      </c>
      <c r="J380">
        <v>8000</v>
      </c>
      <c r="K380">
        <v>435</v>
      </c>
      <c r="L380">
        <v>1</v>
      </c>
      <c r="M380">
        <v>2007</v>
      </c>
      <c r="N380">
        <v>1</v>
      </c>
      <c r="O380">
        <v>0.05</v>
      </c>
      <c r="P380">
        <v>9000</v>
      </c>
      <c r="Q380">
        <v>107</v>
      </c>
      <c r="R380">
        <v>1</v>
      </c>
      <c r="S380" t="s">
        <v>3824</v>
      </c>
      <c r="T380">
        <v>14</v>
      </c>
      <c r="U380">
        <v>0.5</v>
      </c>
      <c r="V380">
        <v>1000</v>
      </c>
      <c r="W380">
        <v>4520</v>
      </c>
      <c r="X380">
        <v>1</v>
      </c>
      <c r="Y380">
        <v>2006</v>
      </c>
      <c r="Z380">
        <v>1</v>
      </c>
      <c r="AA380">
        <v>0.03</v>
      </c>
    </row>
    <row r="381" spans="1:27">
      <c r="A381">
        <v>1379</v>
      </c>
      <c r="B381" t="s">
        <v>4172</v>
      </c>
      <c r="C381">
        <v>150</v>
      </c>
      <c r="D381" t="s">
        <v>3823</v>
      </c>
      <c r="E381">
        <v>1</v>
      </c>
      <c r="F381">
        <v>0.11899999999999999</v>
      </c>
      <c r="G381">
        <v>8001</v>
      </c>
      <c r="H381">
        <v>290</v>
      </c>
      <c r="I381">
        <v>1</v>
      </c>
      <c r="J381">
        <v>8000</v>
      </c>
      <c r="K381">
        <v>435</v>
      </c>
      <c r="L381">
        <v>1</v>
      </c>
      <c r="M381">
        <v>2007</v>
      </c>
      <c r="N381">
        <v>1</v>
      </c>
      <c r="O381">
        <v>0.05</v>
      </c>
      <c r="P381">
        <v>9000</v>
      </c>
      <c r="Q381">
        <v>107</v>
      </c>
      <c r="R381">
        <v>1</v>
      </c>
      <c r="S381" t="s">
        <v>3824</v>
      </c>
      <c r="T381">
        <v>14</v>
      </c>
      <c r="U381">
        <v>0.5</v>
      </c>
      <c r="V381">
        <v>1000</v>
      </c>
      <c r="W381">
        <v>4530</v>
      </c>
      <c r="X381">
        <v>1</v>
      </c>
      <c r="Y381">
        <v>2006</v>
      </c>
      <c r="Z381">
        <v>1</v>
      </c>
      <c r="AA381">
        <v>0.03</v>
      </c>
    </row>
    <row r="382" spans="1:27">
      <c r="A382">
        <v>1380</v>
      </c>
      <c r="B382" t="s">
        <v>4173</v>
      </c>
      <c r="C382">
        <v>150</v>
      </c>
      <c r="D382" t="s">
        <v>3823</v>
      </c>
      <c r="E382">
        <v>1</v>
      </c>
      <c r="F382">
        <v>0.12</v>
      </c>
      <c r="G382">
        <v>8001</v>
      </c>
      <c r="H382">
        <v>290</v>
      </c>
      <c r="I382">
        <v>1</v>
      </c>
      <c r="J382">
        <v>8000</v>
      </c>
      <c r="K382">
        <v>435</v>
      </c>
      <c r="L382">
        <v>1</v>
      </c>
      <c r="M382">
        <v>2007</v>
      </c>
      <c r="N382">
        <v>1</v>
      </c>
      <c r="O382">
        <v>0.05</v>
      </c>
      <c r="P382">
        <v>9000</v>
      </c>
      <c r="Q382">
        <v>108</v>
      </c>
      <c r="R382">
        <v>1</v>
      </c>
      <c r="S382" t="s">
        <v>3824</v>
      </c>
      <c r="T382">
        <v>15</v>
      </c>
      <c r="U382">
        <v>0.5</v>
      </c>
      <c r="V382">
        <v>1000</v>
      </c>
      <c r="W382">
        <v>4545</v>
      </c>
      <c r="X382">
        <v>1</v>
      </c>
      <c r="Y382">
        <v>2006</v>
      </c>
      <c r="Z382">
        <v>1</v>
      </c>
      <c r="AA382">
        <v>0.03</v>
      </c>
    </row>
    <row r="383" spans="1:27">
      <c r="A383">
        <v>1381</v>
      </c>
      <c r="B383" t="s">
        <v>4174</v>
      </c>
      <c r="C383">
        <v>150</v>
      </c>
      <c r="D383" t="s">
        <v>3823</v>
      </c>
      <c r="E383">
        <v>1</v>
      </c>
      <c r="F383">
        <v>0.12</v>
      </c>
      <c r="G383">
        <v>8001</v>
      </c>
      <c r="H383">
        <v>290</v>
      </c>
      <c r="I383">
        <v>1</v>
      </c>
      <c r="J383">
        <v>8000</v>
      </c>
      <c r="K383">
        <v>435</v>
      </c>
      <c r="L383">
        <v>1</v>
      </c>
      <c r="M383">
        <v>2007</v>
      </c>
      <c r="N383">
        <v>1</v>
      </c>
      <c r="O383">
        <v>0.05</v>
      </c>
      <c r="P383">
        <v>9000</v>
      </c>
      <c r="Q383">
        <v>108</v>
      </c>
      <c r="R383">
        <v>1</v>
      </c>
      <c r="S383" t="s">
        <v>3824</v>
      </c>
      <c r="T383">
        <v>15</v>
      </c>
      <c r="U383">
        <v>0.5</v>
      </c>
      <c r="V383">
        <v>1000</v>
      </c>
      <c r="W383">
        <v>4555</v>
      </c>
      <c r="X383">
        <v>1</v>
      </c>
      <c r="Y383">
        <v>2006</v>
      </c>
      <c r="Z383">
        <v>1</v>
      </c>
      <c r="AA383">
        <v>0.03</v>
      </c>
    </row>
    <row r="384" spans="1:27">
      <c r="A384">
        <v>1382</v>
      </c>
      <c r="B384" t="s">
        <v>4175</v>
      </c>
      <c r="C384">
        <v>150</v>
      </c>
      <c r="D384" t="s">
        <v>3823</v>
      </c>
      <c r="E384">
        <v>1</v>
      </c>
      <c r="F384">
        <v>0.12</v>
      </c>
      <c r="G384">
        <v>8001</v>
      </c>
      <c r="H384">
        <v>290</v>
      </c>
      <c r="I384">
        <v>1</v>
      </c>
      <c r="J384">
        <v>8000</v>
      </c>
      <c r="K384">
        <v>440</v>
      </c>
      <c r="L384">
        <v>1</v>
      </c>
      <c r="M384">
        <v>2007</v>
      </c>
      <c r="N384">
        <v>1</v>
      </c>
      <c r="O384">
        <v>0.05</v>
      </c>
      <c r="P384">
        <v>9000</v>
      </c>
      <c r="Q384">
        <v>108</v>
      </c>
      <c r="R384">
        <v>1</v>
      </c>
      <c r="S384" t="s">
        <v>3824</v>
      </c>
      <c r="T384">
        <v>15</v>
      </c>
      <c r="U384">
        <v>0.5</v>
      </c>
      <c r="V384">
        <v>1000</v>
      </c>
      <c r="W384">
        <v>4570</v>
      </c>
      <c r="X384">
        <v>1</v>
      </c>
      <c r="Y384">
        <v>2006</v>
      </c>
      <c r="Z384">
        <v>1</v>
      </c>
      <c r="AA384">
        <v>0.03</v>
      </c>
    </row>
    <row r="385" spans="1:27">
      <c r="A385">
        <v>1383</v>
      </c>
      <c r="B385" t="s">
        <v>4176</v>
      </c>
      <c r="C385">
        <v>150</v>
      </c>
      <c r="D385" t="s">
        <v>3823</v>
      </c>
      <c r="E385">
        <v>1</v>
      </c>
      <c r="F385">
        <v>0.12</v>
      </c>
      <c r="G385">
        <v>8001</v>
      </c>
      <c r="H385">
        <v>295</v>
      </c>
      <c r="I385">
        <v>1</v>
      </c>
      <c r="J385">
        <v>8000</v>
      </c>
      <c r="K385">
        <v>440</v>
      </c>
      <c r="L385">
        <v>1</v>
      </c>
      <c r="M385">
        <v>2007</v>
      </c>
      <c r="N385">
        <v>1</v>
      </c>
      <c r="O385">
        <v>0.05</v>
      </c>
      <c r="P385">
        <v>9000</v>
      </c>
      <c r="Q385">
        <v>109</v>
      </c>
      <c r="R385">
        <v>1</v>
      </c>
      <c r="S385" t="s">
        <v>3824</v>
      </c>
      <c r="T385">
        <v>15</v>
      </c>
      <c r="U385">
        <v>0.5</v>
      </c>
      <c r="V385">
        <v>1000</v>
      </c>
      <c r="W385">
        <v>4585</v>
      </c>
      <c r="X385">
        <v>1</v>
      </c>
      <c r="Y385">
        <v>2006</v>
      </c>
      <c r="Z385">
        <v>1</v>
      </c>
      <c r="AA385">
        <v>0.03</v>
      </c>
    </row>
    <row r="386" spans="1:27">
      <c r="A386">
        <v>1384</v>
      </c>
      <c r="B386" t="s">
        <v>4177</v>
      </c>
      <c r="C386">
        <v>150</v>
      </c>
      <c r="D386" t="s">
        <v>3823</v>
      </c>
      <c r="E386">
        <v>1</v>
      </c>
      <c r="F386">
        <v>0.121</v>
      </c>
      <c r="G386">
        <v>8001</v>
      </c>
      <c r="H386">
        <v>295</v>
      </c>
      <c r="I386">
        <v>1</v>
      </c>
      <c r="J386">
        <v>8000</v>
      </c>
      <c r="K386">
        <v>440</v>
      </c>
      <c r="L386">
        <v>1</v>
      </c>
      <c r="M386">
        <v>2007</v>
      </c>
      <c r="N386">
        <v>1</v>
      </c>
      <c r="O386">
        <v>0.05</v>
      </c>
      <c r="P386">
        <v>9000</v>
      </c>
      <c r="Q386">
        <v>109</v>
      </c>
      <c r="R386">
        <v>1</v>
      </c>
      <c r="S386" t="s">
        <v>3824</v>
      </c>
      <c r="T386">
        <v>15</v>
      </c>
      <c r="U386">
        <v>0.5</v>
      </c>
      <c r="V386">
        <v>1000</v>
      </c>
      <c r="W386">
        <v>4595</v>
      </c>
      <c r="X386">
        <v>1</v>
      </c>
      <c r="Y386">
        <v>2006</v>
      </c>
      <c r="Z386">
        <v>1</v>
      </c>
      <c r="AA386">
        <v>0.03</v>
      </c>
    </row>
    <row r="387" spans="1:27">
      <c r="A387">
        <v>1385</v>
      </c>
      <c r="B387" t="s">
        <v>4178</v>
      </c>
      <c r="C387">
        <v>150</v>
      </c>
      <c r="D387" t="s">
        <v>3823</v>
      </c>
      <c r="E387">
        <v>1</v>
      </c>
      <c r="F387">
        <v>0.121</v>
      </c>
      <c r="G387">
        <v>8001</v>
      </c>
      <c r="H387">
        <v>295</v>
      </c>
      <c r="I387">
        <v>1</v>
      </c>
      <c r="J387">
        <v>8000</v>
      </c>
      <c r="K387">
        <v>440</v>
      </c>
      <c r="L387">
        <v>1</v>
      </c>
      <c r="M387">
        <v>2007</v>
      </c>
      <c r="N387">
        <v>1</v>
      </c>
      <c r="O387">
        <v>0.05</v>
      </c>
      <c r="P387">
        <v>9000</v>
      </c>
      <c r="Q387">
        <v>109</v>
      </c>
      <c r="R387">
        <v>1</v>
      </c>
      <c r="S387" t="s">
        <v>3824</v>
      </c>
      <c r="T387">
        <v>15</v>
      </c>
      <c r="U387">
        <v>0.5</v>
      </c>
      <c r="V387">
        <v>1000</v>
      </c>
      <c r="W387">
        <v>4610</v>
      </c>
      <c r="X387">
        <v>1</v>
      </c>
      <c r="Y387">
        <v>2006</v>
      </c>
      <c r="Z387">
        <v>1</v>
      </c>
      <c r="AA387">
        <v>0.03</v>
      </c>
    </row>
    <row r="388" spans="1:27">
      <c r="A388">
        <v>1386</v>
      </c>
      <c r="B388" t="s">
        <v>4179</v>
      </c>
      <c r="C388">
        <v>150</v>
      </c>
      <c r="D388" t="s">
        <v>3823</v>
      </c>
      <c r="E388">
        <v>1</v>
      </c>
      <c r="F388">
        <v>0.121</v>
      </c>
      <c r="G388">
        <v>8001</v>
      </c>
      <c r="H388">
        <v>295</v>
      </c>
      <c r="I388">
        <v>1</v>
      </c>
      <c r="J388">
        <v>8000</v>
      </c>
      <c r="K388">
        <v>445</v>
      </c>
      <c r="L388">
        <v>1</v>
      </c>
      <c r="M388">
        <v>2007</v>
      </c>
      <c r="N388">
        <v>1</v>
      </c>
      <c r="O388">
        <v>0.05</v>
      </c>
      <c r="P388">
        <v>9000</v>
      </c>
      <c r="Q388">
        <v>109</v>
      </c>
      <c r="R388">
        <v>1</v>
      </c>
      <c r="S388" t="s">
        <v>3824</v>
      </c>
      <c r="T388">
        <v>15</v>
      </c>
      <c r="U388">
        <v>0.5</v>
      </c>
      <c r="V388">
        <v>1000</v>
      </c>
      <c r="W388">
        <v>4620</v>
      </c>
      <c r="X388">
        <v>1</v>
      </c>
      <c r="Y388">
        <v>2006</v>
      </c>
      <c r="Z388">
        <v>1</v>
      </c>
      <c r="AA388">
        <v>0.03</v>
      </c>
    </row>
    <row r="389" spans="1:27">
      <c r="A389">
        <v>1387</v>
      </c>
      <c r="B389" t="s">
        <v>4180</v>
      </c>
      <c r="C389">
        <v>150</v>
      </c>
      <c r="D389" t="s">
        <v>3823</v>
      </c>
      <c r="E389">
        <v>1</v>
      </c>
      <c r="F389">
        <v>0.121</v>
      </c>
      <c r="G389">
        <v>8001</v>
      </c>
      <c r="H389">
        <v>295</v>
      </c>
      <c r="I389">
        <v>1</v>
      </c>
      <c r="J389">
        <v>8000</v>
      </c>
      <c r="K389">
        <v>445</v>
      </c>
      <c r="L389">
        <v>1</v>
      </c>
      <c r="M389">
        <v>2007</v>
      </c>
      <c r="N389">
        <v>1</v>
      </c>
      <c r="O389">
        <v>0.05</v>
      </c>
      <c r="P389">
        <v>9000</v>
      </c>
      <c r="Q389">
        <v>110</v>
      </c>
      <c r="R389">
        <v>1</v>
      </c>
      <c r="S389" t="s">
        <v>3824</v>
      </c>
      <c r="T389">
        <v>15</v>
      </c>
      <c r="U389">
        <v>0.5</v>
      </c>
      <c r="V389">
        <v>1000</v>
      </c>
      <c r="W389">
        <v>4635</v>
      </c>
      <c r="X389">
        <v>1</v>
      </c>
      <c r="Y389">
        <v>2006</v>
      </c>
      <c r="Z389">
        <v>1</v>
      </c>
      <c r="AA389">
        <v>0.03</v>
      </c>
    </row>
    <row r="390" spans="1:27">
      <c r="A390">
        <v>1388</v>
      </c>
      <c r="B390" t="s">
        <v>4181</v>
      </c>
      <c r="C390">
        <v>150</v>
      </c>
      <c r="D390" t="s">
        <v>3823</v>
      </c>
      <c r="E390">
        <v>1</v>
      </c>
      <c r="F390">
        <v>0.122</v>
      </c>
      <c r="G390">
        <v>8001</v>
      </c>
      <c r="H390">
        <v>295</v>
      </c>
      <c r="I390">
        <v>1</v>
      </c>
      <c r="J390">
        <v>8000</v>
      </c>
      <c r="K390">
        <v>445</v>
      </c>
      <c r="L390">
        <v>1</v>
      </c>
      <c r="M390">
        <v>2007</v>
      </c>
      <c r="N390">
        <v>1</v>
      </c>
      <c r="O390">
        <v>0.05</v>
      </c>
      <c r="P390">
        <v>9000</v>
      </c>
      <c r="Q390">
        <v>110</v>
      </c>
      <c r="R390">
        <v>1</v>
      </c>
      <c r="S390" t="s">
        <v>3824</v>
      </c>
      <c r="T390">
        <v>15</v>
      </c>
      <c r="U390">
        <v>0.5</v>
      </c>
      <c r="V390">
        <v>1000</v>
      </c>
      <c r="W390">
        <v>4650</v>
      </c>
      <c r="X390">
        <v>1</v>
      </c>
      <c r="Y390">
        <v>2006</v>
      </c>
      <c r="Z390">
        <v>1</v>
      </c>
      <c r="AA390">
        <v>0.03</v>
      </c>
    </row>
    <row r="391" spans="1:27">
      <c r="A391">
        <v>1389</v>
      </c>
      <c r="B391" t="s">
        <v>4182</v>
      </c>
      <c r="C391">
        <v>150</v>
      </c>
      <c r="D391" t="s">
        <v>3823</v>
      </c>
      <c r="E391">
        <v>1</v>
      </c>
      <c r="F391">
        <v>0.122</v>
      </c>
      <c r="G391">
        <v>8001</v>
      </c>
      <c r="H391">
        <v>300</v>
      </c>
      <c r="I391">
        <v>1</v>
      </c>
      <c r="J391">
        <v>8000</v>
      </c>
      <c r="K391">
        <v>445</v>
      </c>
      <c r="L391">
        <v>1</v>
      </c>
      <c r="M391">
        <v>2007</v>
      </c>
      <c r="N391">
        <v>1</v>
      </c>
      <c r="O391">
        <v>0.05</v>
      </c>
      <c r="P391">
        <v>9000</v>
      </c>
      <c r="Q391">
        <v>110</v>
      </c>
      <c r="R391">
        <v>1</v>
      </c>
      <c r="S391" t="s">
        <v>3824</v>
      </c>
      <c r="T391">
        <v>15</v>
      </c>
      <c r="U391">
        <v>0.5</v>
      </c>
      <c r="V391">
        <v>1000</v>
      </c>
      <c r="W391">
        <v>4660</v>
      </c>
      <c r="X391">
        <v>1</v>
      </c>
      <c r="Y391">
        <v>2006</v>
      </c>
      <c r="Z391">
        <v>1</v>
      </c>
      <c r="AA391">
        <v>0.03</v>
      </c>
    </row>
    <row r="392" spans="1:27">
      <c r="A392">
        <v>1390</v>
      </c>
      <c r="B392" t="s">
        <v>4183</v>
      </c>
      <c r="C392">
        <v>150</v>
      </c>
      <c r="D392" t="s">
        <v>3823</v>
      </c>
      <c r="E392">
        <v>1</v>
      </c>
      <c r="F392">
        <v>0.122</v>
      </c>
      <c r="G392">
        <v>8001</v>
      </c>
      <c r="H392">
        <v>300</v>
      </c>
      <c r="I392">
        <v>1</v>
      </c>
      <c r="J392">
        <v>8000</v>
      </c>
      <c r="K392">
        <v>450</v>
      </c>
      <c r="L392">
        <v>1</v>
      </c>
      <c r="M392">
        <v>2007</v>
      </c>
      <c r="N392">
        <v>1</v>
      </c>
      <c r="O392">
        <v>0.05</v>
      </c>
      <c r="P392">
        <v>9000</v>
      </c>
      <c r="Q392">
        <v>111</v>
      </c>
      <c r="R392">
        <v>1</v>
      </c>
      <c r="S392" t="s">
        <v>3824</v>
      </c>
      <c r="T392">
        <v>15</v>
      </c>
      <c r="U392">
        <v>0.5</v>
      </c>
      <c r="V392">
        <v>1000</v>
      </c>
      <c r="W392">
        <v>4675</v>
      </c>
      <c r="X392">
        <v>1</v>
      </c>
      <c r="Y392">
        <v>2006</v>
      </c>
      <c r="Z392">
        <v>1</v>
      </c>
      <c r="AA392">
        <v>0.03</v>
      </c>
    </row>
    <row r="393" spans="1:27">
      <c r="A393">
        <v>1391</v>
      </c>
      <c r="B393" t="s">
        <v>4184</v>
      </c>
      <c r="C393">
        <v>150</v>
      </c>
      <c r="D393" t="s">
        <v>3823</v>
      </c>
      <c r="E393">
        <v>1</v>
      </c>
      <c r="F393">
        <v>0.122</v>
      </c>
      <c r="G393">
        <v>8001</v>
      </c>
      <c r="H393">
        <v>300</v>
      </c>
      <c r="I393">
        <v>1</v>
      </c>
      <c r="J393">
        <v>8000</v>
      </c>
      <c r="K393">
        <v>450</v>
      </c>
      <c r="L393">
        <v>1</v>
      </c>
      <c r="M393">
        <v>2007</v>
      </c>
      <c r="N393">
        <v>1</v>
      </c>
      <c r="O393">
        <v>0.05</v>
      </c>
      <c r="P393">
        <v>9000</v>
      </c>
      <c r="Q393">
        <v>111</v>
      </c>
      <c r="R393">
        <v>1</v>
      </c>
      <c r="S393" t="s">
        <v>3824</v>
      </c>
      <c r="T393">
        <v>15</v>
      </c>
      <c r="U393">
        <v>0.5</v>
      </c>
      <c r="V393">
        <v>1000</v>
      </c>
      <c r="W393">
        <v>4685</v>
      </c>
      <c r="X393">
        <v>1</v>
      </c>
      <c r="Y393">
        <v>2006</v>
      </c>
      <c r="Z393">
        <v>1</v>
      </c>
      <c r="AA393">
        <v>0.03</v>
      </c>
    </row>
    <row r="394" spans="1:27">
      <c r="A394">
        <v>1392</v>
      </c>
      <c r="B394" t="s">
        <v>4185</v>
      </c>
      <c r="C394">
        <v>150</v>
      </c>
      <c r="D394" t="s">
        <v>3823</v>
      </c>
      <c r="E394">
        <v>1</v>
      </c>
      <c r="F394">
        <v>0.122</v>
      </c>
      <c r="G394">
        <v>8001</v>
      </c>
      <c r="H394">
        <v>300</v>
      </c>
      <c r="I394">
        <v>1</v>
      </c>
      <c r="J394">
        <v>8000</v>
      </c>
      <c r="K394">
        <v>450</v>
      </c>
      <c r="L394">
        <v>1</v>
      </c>
      <c r="M394">
        <v>2007</v>
      </c>
      <c r="N394">
        <v>1</v>
      </c>
      <c r="O394">
        <v>0.05</v>
      </c>
      <c r="P394">
        <v>9000</v>
      </c>
      <c r="Q394">
        <v>111</v>
      </c>
      <c r="R394">
        <v>1</v>
      </c>
      <c r="S394" t="s">
        <v>3824</v>
      </c>
      <c r="T394">
        <v>15</v>
      </c>
      <c r="U394">
        <v>0.5</v>
      </c>
      <c r="V394">
        <v>1000</v>
      </c>
      <c r="W394">
        <v>4700</v>
      </c>
      <c r="X394">
        <v>1</v>
      </c>
      <c r="Y394">
        <v>2006</v>
      </c>
      <c r="Z394">
        <v>1</v>
      </c>
      <c r="AA394">
        <v>0.03</v>
      </c>
    </row>
    <row r="395" spans="1:27">
      <c r="A395">
        <v>1393</v>
      </c>
      <c r="B395" t="s">
        <v>4186</v>
      </c>
      <c r="C395">
        <v>150</v>
      </c>
      <c r="D395" t="s">
        <v>3823</v>
      </c>
      <c r="E395">
        <v>1</v>
      </c>
      <c r="F395">
        <v>0.123</v>
      </c>
      <c r="G395">
        <v>8001</v>
      </c>
      <c r="H395">
        <v>300</v>
      </c>
      <c r="I395">
        <v>1</v>
      </c>
      <c r="J395">
        <v>8000</v>
      </c>
      <c r="K395">
        <v>450</v>
      </c>
      <c r="L395">
        <v>1</v>
      </c>
      <c r="M395">
        <v>2007</v>
      </c>
      <c r="N395">
        <v>1</v>
      </c>
      <c r="O395">
        <v>0.05</v>
      </c>
      <c r="P395">
        <v>9000</v>
      </c>
      <c r="Q395">
        <v>112</v>
      </c>
      <c r="R395">
        <v>1</v>
      </c>
      <c r="S395" t="s">
        <v>3824</v>
      </c>
      <c r="T395">
        <v>15</v>
      </c>
      <c r="U395">
        <v>0.5</v>
      </c>
      <c r="V395">
        <v>1000</v>
      </c>
      <c r="W395">
        <v>4710</v>
      </c>
      <c r="X395">
        <v>1</v>
      </c>
      <c r="Y395">
        <v>2006</v>
      </c>
      <c r="Z395">
        <v>1</v>
      </c>
      <c r="AA395">
        <v>0.03</v>
      </c>
    </row>
    <row r="396" spans="1:27">
      <c r="A396">
        <v>1394</v>
      </c>
      <c r="B396" t="s">
        <v>4187</v>
      </c>
      <c r="C396">
        <v>150</v>
      </c>
      <c r="D396" t="s">
        <v>3823</v>
      </c>
      <c r="E396">
        <v>1</v>
      </c>
      <c r="F396">
        <v>0.123</v>
      </c>
      <c r="G396">
        <v>8001</v>
      </c>
      <c r="H396">
        <v>300</v>
      </c>
      <c r="I396">
        <v>1</v>
      </c>
      <c r="J396">
        <v>8000</v>
      </c>
      <c r="K396">
        <v>455</v>
      </c>
      <c r="L396">
        <v>1</v>
      </c>
      <c r="M396">
        <v>2007</v>
      </c>
      <c r="N396">
        <v>1</v>
      </c>
      <c r="O396">
        <v>0.05</v>
      </c>
      <c r="P396">
        <v>9000</v>
      </c>
      <c r="Q396">
        <v>112</v>
      </c>
      <c r="R396">
        <v>1</v>
      </c>
      <c r="S396" t="s">
        <v>3824</v>
      </c>
      <c r="T396">
        <v>15</v>
      </c>
      <c r="U396">
        <v>0.5</v>
      </c>
      <c r="V396">
        <v>1000</v>
      </c>
      <c r="W396">
        <v>4725</v>
      </c>
      <c r="X396">
        <v>1</v>
      </c>
      <c r="Y396">
        <v>2006</v>
      </c>
      <c r="Z396">
        <v>1</v>
      </c>
      <c r="AA396">
        <v>0.03</v>
      </c>
    </row>
    <row r="397" spans="1:27">
      <c r="A397">
        <v>1395</v>
      </c>
      <c r="B397" t="s">
        <v>4188</v>
      </c>
      <c r="C397">
        <v>150</v>
      </c>
      <c r="D397" t="s">
        <v>3823</v>
      </c>
      <c r="E397">
        <v>1</v>
      </c>
      <c r="F397">
        <v>0.123</v>
      </c>
      <c r="G397">
        <v>8001</v>
      </c>
      <c r="H397">
        <v>305</v>
      </c>
      <c r="I397">
        <v>1</v>
      </c>
      <c r="J397">
        <v>8000</v>
      </c>
      <c r="K397">
        <v>455</v>
      </c>
      <c r="L397">
        <v>1</v>
      </c>
      <c r="M397">
        <v>2007</v>
      </c>
      <c r="N397">
        <v>1</v>
      </c>
      <c r="O397">
        <v>0.05</v>
      </c>
      <c r="P397">
        <v>9000</v>
      </c>
      <c r="Q397">
        <v>112</v>
      </c>
      <c r="R397">
        <v>1</v>
      </c>
      <c r="S397" t="s">
        <v>3824</v>
      </c>
      <c r="T397">
        <v>15</v>
      </c>
      <c r="U397">
        <v>0.5</v>
      </c>
      <c r="V397">
        <v>1000</v>
      </c>
      <c r="W397">
        <v>4735</v>
      </c>
      <c r="X397">
        <v>1</v>
      </c>
      <c r="Y397">
        <v>2006</v>
      </c>
      <c r="Z397">
        <v>1</v>
      </c>
      <c r="AA397">
        <v>0.03</v>
      </c>
    </row>
    <row r="398" spans="1:27">
      <c r="A398">
        <v>1396</v>
      </c>
      <c r="B398" t="s">
        <v>4189</v>
      </c>
      <c r="C398">
        <v>150</v>
      </c>
      <c r="D398" t="s">
        <v>3823</v>
      </c>
      <c r="E398">
        <v>1</v>
      </c>
      <c r="F398">
        <v>0.123</v>
      </c>
      <c r="G398">
        <v>8001</v>
      </c>
      <c r="H398">
        <v>305</v>
      </c>
      <c r="I398">
        <v>1</v>
      </c>
      <c r="J398">
        <v>8000</v>
      </c>
      <c r="K398">
        <v>455</v>
      </c>
      <c r="L398">
        <v>1</v>
      </c>
      <c r="M398">
        <v>2007</v>
      </c>
      <c r="N398">
        <v>1</v>
      </c>
      <c r="O398">
        <v>0.05</v>
      </c>
      <c r="P398">
        <v>9000</v>
      </c>
      <c r="Q398">
        <v>113</v>
      </c>
      <c r="R398">
        <v>1</v>
      </c>
      <c r="S398" t="s">
        <v>3824</v>
      </c>
      <c r="T398">
        <v>15</v>
      </c>
      <c r="U398">
        <v>0.5</v>
      </c>
      <c r="V398">
        <v>1000</v>
      </c>
      <c r="W398">
        <v>4750</v>
      </c>
      <c r="X398">
        <v>1</v>
      </c>
      <c r="Y398">
        <v>2006</v>
      </c>
      <c r="Z398">
        <v>1</v>
      </c>
      <c r="AA398">
        <v>0.03</v>
      </c>
    </row>
    <row r="399" spans="1:27">
      <c r="A399">
        <v>1397</v>
      </c>
      <c r="B399" t="s">
        <v>4190</v>
      </c>
      <c r="C399">
        <v>150</v>
      </c>
      <c r="D399" t="s">
        <v>3823</v>
      </c>
      <c r="E399">
        <v>1</v>
      </c>
      <c r="F399">
        <v>0.124</v>
      </c>
      <c r="G399">
        <v>8001</v>
      </c>
      <c r="H399">
        <v>305</v>
      </c>
      <c r="I399">
        <v>1</v>
      </c>
      <c r="J399">
        <v>8000</v>
      </c>
      <c r="K399">
        <v>455</v>
      </c>
      <c r="L399">
        <v>1</v>
      </c>
      <c r="M399">
        <v>2007</v>
      </c>
      <c r="N399">
        <v>1</v>
      </c>
      <c r="O399">
        <v>0.05</v>
      </c>
      <c r="P399">
        <v>9000</v>
      </c>
      <c r="Q399">
        <v>113</v>
      </c>
      <c r="R399">
        <v>1</v>
      </c>
      <c r="S399" t="s">
        <v>3824</v>
      </c>
      <c r="T399">
        <v>15</v>
      </c>
      <c r="U399">
        <v>0.5</v>
      </c>
      <c r="V399">
        <v>1000</v>
      </c>
      <c r="W399">
        <v>4760</v>
      </c>
      <c r="X399">
        <v>1</v>
      </c>
      <c r="Y399">
        <v>2006</v>
      </c>
      <c r="Z399">
        <v>1</v>
      </c>
      <c r="AA399">
        <v>0.03</v>
      </c>
    </row>
    <row r="400" spans="1:27">
      <c r="A400">
        <v>1398</v>
      </c>
      <c r="B400" t="s">
        <v>4191</v>
      </c>
      <c r="C400">
        <v>150</v>
      </c>
      <c r="D400" t="s">
        <v>3823</v>
      </c>
      <c r="E400">
        <v>1</v>
      </c>
      <c r="F400">
        <v>0.124</v>
      </c>
      <c r="G400">
        <v>8001</v>
      </c>
      <c r="H400">
        <v>305</v>
      </c>
      <c r="I400">
        <v>1</v>
      </c>
      <c r="J400">
        <v>8000</v>
      </c>
      <c r="K400">
        <v>460</v>
      </c>
      <c r="L400">
        <v>1</v>
      </c>
      <c r="M400">
        <v>2007</v>
      </c>
      <c r="N400">
        <v>1</v>
      </c>
      <c r="O400">
        <v>0.05</v>
      </c>
      <c r="P400">
        <v>9000</v>
      </c>
      <c r="Q400">
        <v>113</v>
      </c>
      <c r="R400">
        <v>1</v>
      </c>
      <c r="S400" t="s">
        <v>3824</v>
      </c>
      <c r="T400">
        <v>15</v>
      </c>
      <c r="U400">
        <v>0.5</v>
      </c>
      <c r="V400">
        <v>1000</v>
      </c>
      <c r="W400">
        <v>4775</v>
      </c>
      <c r="X400">
        <v>1</v>
      </c>
      <c r="Y400">
        <v>2006</v>
      </c>
      <c r="Z400">
        <v>1</v>
      </c>
      <c r="AA400">
        <v>0.03</v>
      </c>
    </row>
    <row r="401" spans="1:27">
      <c r="A401">
        <v>1399</v>
      </c>
      <c r="B401" t="s">
        <v>4192</v>
      </c>
      <c r="C401">
        <v>150</v>
      </c>
      <c r="D401" t="s">
        <v>3823</v>
      </c>
      <c r="E401">
        <v>1</v>
      </c>
      <c r="F401">
        <v>0.124</v>
      </c>
      <c r="G401">
        <v>8001</v>
      </c>
      <c r="H401">
        <v>305</v>
      </c>
      <c r="I401">
        <v>1</v>
      </c>
      <c r="J401">
        <v>8000</v>
      </c>
      <c r="K401">
        <v>460</v>
      </c>
      <c r="L401">
        <v>1</v>
      </c>
      <c r="M401">
        <v>2007</v>
      </c>
      <c r="N401">
        <v>1</v>
      </c>
      <c r="O401">
        <v>0.05</v>
      </c>
      <c r="P401">
        <v>9000</v>
      </c>
      <c r="Q401">
        <v>114</v>
      </c>
      <c r="R401">
        <v>1</v>
      </c>
      <c r="S401" t="s">
        <v>3824</v>
      </c>
      <c r="T401">
        <v>15</v>
      </c>
      <c r="U401">
        <v>0.5</v>
      </c>
      <c r="V401">
        <v>1000</v>
      </c>
      <c r="W401">
        <v>4785</v>
      </c>
      <c r="X401">
        <v>1</v>
      </c>
      <c r="Y401">
        <v>2006</v>
      </c>
      <c r="Z401">
        <v>1</v>
      </c>
      <c r="AA401">
        <v>0.03</v>
      </c>
    </row>
    <row r="402" spans="1:27">
      <c r="A402">
        <v>1400</v>
      </c>
      <c r="B402" t="s">
        <v>4193</v>
      </c>
      <c r="C402">
        <v>150</v>
      </c>
      <c r="D402" t="s">
        <v>3823</v>
      </c>
      <c r="E402">
        <v>1</v>
      </c>
      <c r="F402">
        <v>0.124</v>
      </c>
      <c r="G402">
        <v>8001</v>
      </c>
      <c r="H402">
        <v>305</v>
      </c>
      <c r="I402">
        <v>1</v>
      </c>
      <c r="J402">
        <v>8000</v>
      </c>
      <c r="K402">
        <v>460</v>
      </c>
      <c r="L402">
        <v>1</v>
      </c>
      <c r="M402">
        <v>2007</v>
      </c>
      <c r="N402">
        <v>1</v>
      </c>
      <c r="O402">
        <v>0.05</v>
      </c>
      <c r="P402">
        <v>9000</v>
      </c>
      <c r="Q402">
        <v>114</v>
      </c>
      <c r="R402">
        <v>1</v>
      </c>
      <c r="S402" t="s">
        <v>3824</v>
      </c>
      <c r="T402">
        <v>15</v>
      </c>
      <c r="U402">
        <v>0.5</v>
      </c>
      <c r="V402">
        <v>1000</v>
      </c>
      <c r="W402">
        <v>4800</v>
      </c>
      <c r="X402">
        <v>1</v>
      </c>
      <c r="Y402">
        <v>2006</v>
      </c>
      <c r="Z402">
        <v>1</v>
      </c>
      <c r="AA402">
        <v>0.03</v>
      </c>
    </row>
    <row r="403" spans="1:27">
      <c r="A403">
        <v>1401</v>
      </c>
      <c r="B403" t="s">
        <v>4194</v>
      </c>
      <c r="C403">
        <v>150</v>
      </c>
      <c r="D403" t="s">
        <v>3823</v>
      </c>
      <c r="E403">
        <v>1</v>
      </c>
      <c r="F403">
        <v>0.124</v>
      </c>
      <c r="G403">
        <v>8001</v>
      </c>
      <c r="H403">
        <v>310</v>
      </c>
      <c r="I403">
        <v>1</v>
      </c>
      <c r="J403">
        <v>8000</v>
      </c>
      <c r="K403">
        <v>460</v>
      </c>
      <c r="L403">
        <v>1</v>
      </c>
      <c r="M403">
        <v>2007</v>
      </c>
      <c r="N403">
        <v>1</v>
      </c>
      <c r="O403">
        <v>0.05</v>
      </c>
      <c r="P403">
        <v>9000</v>
      </c>
      <c r="Q403">
        <v>114</v>
      </c>
      <c r="R403">
        <v>1</v>
      </c>
      <c r="S403" t="s">
        <v>3824</v>
      </c>
      <c r="T403">
        <v>15</v>
      </c>
      <c r="U403">
        <v>0.5</v>
      </c>
      <c r="V403">
        <v>1000</v>
      </c>
      <c r="W403">
        <v>4810</v>
      </c>
      <c r="X403">
        <v>1</v>
      </c>
      <c r="Y403">
        <v>2006</v>
      </c>
      <c r="Z403">
        <v>1</v>
      </c>
      <c r="AA403">
        <v>0.03</v>
      </c>
    </row>
    <row r="404" spans="1:27">
      <c r="A404">
        <v>1402</v>
      </c>
      <c r="B404" t="s">
        <v>4195</v>
      </c>
      <c r="C404">
        <v>150</v>
      </c>
      <c r="D404" t="s">
        <v>3823</v>
      </c>
      <c r="E404">
        <v>1</v>
      </c>
      <c r="F404">
        <v>0.125</v>
      </c>
      <c r="G404">
        <v>8001</v>
      </c>
      <c r="H404">
        <v>310</v>
      </c>
      <c r="I404">
        <v>1</v>
      </c>
      <c r="J404">
        <v>8000</v>
      </c>
      <c r="K404">
        <v>465</v>
      </c>
      <c r="L404">
        <v>1</v>
      </c>
      <c r="M404">
        <v>2007</v>
      </c>
      <c r="N404">
        <v>1</v>
      </c>
      <c r="O404">
        <v>0.05</v>
      </c>
      <c r="P404">
        <v>9000</v>
      </c>
      <c r="Q404">
        <v>115</v>
      </c>
      <c r="R404">
        <v>1</v>
      </c>
      <c r="S404" t="s">
        <v>3824</v>
      </c>
      <c r="T404">
        <v>15</v>
      </c>
      <c r="U404">
        <v>0.5</v>
      </c>
      <c r="V404">
        <v>1000</v>
      </c>
      <c r="W404">
        <v>4825</v>
      </c>
      <c r="X404">
        <v>1</v>
      </c>
      <c r="Y404">
        <v>2006</v>
      </c>
      <c r="Z404">
        <v>1</v>
      </c>
      <c r="AA404">
        <v>0.03</v>
      </c>
    </row>
    <row r="405" spans="1:27">
      <c r="A405">
        <v>1403</v>
      </c>
      <c r="B405" t="s">
        <v>4193</v>
      </c>
      <c r="C405">
        <v>150</v>
      </c>
      <c r="D405" t="s">
        <v>3823</v>
      </c>
      <c r="E405">
        <v>1</v>
      </c>
      <c r="F405">
        <v>0.125</v>
      </c>
      <c r="G405">
        <v>8001</v>
      </c>
      <c r="H405">
        <v>310</v>
      </c>
      <c r="I405">
        <v>1</v>
      </c>
      <c r="J405">
        <v>8000</v>
      </c>
      <c r="K405">
        <v>465</v>
      </c>
      <c r="L405">
        <v>1</v>
      </c>
      <c r="M405">
        <v>2007</v>
      </c>
      <c r="N405">
        <v>1</v>
      </c>
      <c r="O405">
        <v>0.05</v>
      </c>
      <c r="P405">
        <v>9000</v>
      </c>
      <c r="Q405">
        <v>115</v>
      </c>
      <c r="R405">
        <v>1</v>
      </c>
      <c r="S405" t="s">
        <v>3824</v>
      </c>
      <c r="T405">
        <v>15</v>
      </c>
      <c r="U405">
        <v>0.5</v>
      </c>
      <c r="V405">
        <v>1000</v>
      </c>
      <c r="W405">
        <v>4835</v>
      </c>
      <c r="X405">
        <v>1</v>
      </c>
      <c r="Y405">
        <v>2006</v>
      </c>
      <c r="Z405">
        <v>1</v>
      </c>
      <c r="AA405">
        <v>0.03</v>
      </c>
    </row>
    <row r="406" spans="1:27">
      <c r="A406">
        <v>1404</v>
      </c>
      <c r="B406" t="s">
        <v>4195</v>
      </c>
      <c r="C406">
        <v>150</v>
      </c>
      <c r="D406" t="s">
        <v>3823</v>
      </c>
      <c r="E406">
        <v>1</v>
      </c>
      <c r="F406">
        <v>0.125</v>
      </c>
      <c r="G406">
        <v>8001</v>
      </c>
      <c r="H406">
        <v>310</v>
      </c>
      <c r="I406">
        <v>1</v>
      </c>
      <c r="J406">
        <v>8000</v>
      </c>
      <c r="K406">
        <v>465</v>
      </c>
      <c r="L406">
        <v>1</v>
      </c>
      <c r="M406">
        <v>2007</v>
      </c>
      <c r="N406">
        <v>1</v>
      </c>
      <c r="O406">
        <v>0.05</v>
      </c>
      <c r="P406">
        <v>9000</v>
      </c>
      <c r="Q406">
        <v>115</v>
      </c>
      <c r="R406">
        <v>1</v>
      </c>
      <c r="S406" t="s">
        <v>3824</v>
      </c>
      <c r="T406">
        <v>16</v>
      </c>
      <c r="U406">
        <v>0.5</v>
      </c>
      <c r="V406">
        <v>1000</v>
      </c>
      <c r="W406">
        <v>4850</v>
      </c>
      <c r="X406">
        <v>1</v>
      </c>
      <c r="Y406">
        <v>2006</v>
      </c>
      <c r="Z406">
        <v>1</v>
      </c>
      <c r="AA406">
        <v>0.03</v>
      </c>
    </row>
    <row r="407" spans="1:27">
      <c r="A407">
        <v>1405</v>
      </c>
      <c r="B407" t="s">
        <v>4195</v>
      </c>
      <c r="C407">
        <v>150</v>
      </c>
      <c r="D407" t="s">
        <v>3823</v>
      </c>
      <c r="E407">
        <v>1</v>
      </c>
      <c r="F407">
        <v>0.125</v>
      </c>
      <c r="G407">
        <v>8001</v>
      </c>
      <c r="H407">
        <v>310</v>
      </c>
      <c r="I407">
        <v>1</v>
      </c>
      <c r="J407">
        <v>8000</v>
      </c>
      <c r="K407">
        <v>465</v>
      </c>
      <c r="L407">
        <v>1</v>
      </c>
      <c r="M407">
        <v>2007</v>
      </c>
      <c r="N407">
        <v>1</v>
      </c>
      <c r="O407">
        <v>0.05</v>
      </c>
      <c r="P407">
        <v>9000</v>
      </c>
      <c r="Q407">
        <v>115</v>
      </c>
      <c r="R407">
        <v>1</v>
      </c>
      <c r="S407" t="s">
        <v>3824</v>
      </c>
      <c r="T407">
        <v>16</v>
      </c>
      <c r="U407">
        <v>0.5</v>
      </c>
      <c r="V407">
        <v>1000</v>
      </c>
      <c r="W407">
        <v>4860</v>
      </c>
      <c r="X407">
        <v>1</v>
      </c>
      <c r="Y407">
        <v>2006</v>
      </c>
      <c r="Z407">
        <v>1</v>
      </c>
      <c r="AA407">
        <v>0.03</v>
      </c>
    </row>
    <row r="408" spans="1:27">
      <c r="A408">
        <v>1406</v>
      </c>
      <c r="B408" t="s">
        <v>4196</v>
      </c>
      <c r="C408">
        <v>150</v>
      </c>
      <c r="D408" t="s">
        <v>3823</v>
      </c>
      <c r="E408">
        <v>1</v>
      </c>
      <c r="F408">
        <v>0.126</v>
      </c>
      <c r="G408">
        <v>8001</v>
      </c>
      <c r="H408">
        <v>310</v>
      </c>
      <c r="I408">
        <v>1</v>
      </c>
      <c r="J408">
        <v>8000</v>
      </c>
      <c r="K408">
        <v>470</v>
      </c>
      <c r="L408">
        <v>1</v>
      </c>
      <c r="M408">
        <v>2007</v>
      </c>
      <c r="N408">
        <v>1</v>
      </c>
      <c r="O408">
        <v>0.05</v>
      </c>
      <c r="P408">
        <v>9000</v>
      </c>
      <c r="Q408">
        <v>116</v>
      </c>
      <c r="R408">
        <v>1</v>
      </c>
      <c r="S408" t="s">
        <v>3824</v>
      </c>
      <c r="T408">
        <v>16</v>
      </c>
      <c r="U408">
        <v>0.5</v>
      </c>
      <c r="V408">
        <v>1000</v>
      </c>
      <c r="W408">
        <v>4875</v>
      </c>
      <c r="X408">
        <v>1</v>
      </c>
      <c r="Y408">
        <v>2006</v>
      </c>
      <c r="Z408">
        <v>1</v>
      </c>
      <c r="AA408">
        <v>0.03</v>
      </c>
    </row>
    <row r="409" spans="1:27">
      <c r="A409">
        <v>1407</v>
      </c>
      <c r="B409" t="s">
        <v>4197</v>
      </c>
      <c r="C409">
        <v>150</v>
      </c>
      <c r="D409" t="s">
        <v>3823</v>
      </c>
      <c r="E409">
        <v>1</v>
      </c>
      <c r="F409">
        <v>0.126</v>
      </c>
      <c r="G409">
        <v>8001</v>
      </c>
      <c r="H409">
        <v>315</v>
      </c>
      <c r="I409">
        <v>1</v>
      </c>
      <c r="J409">
        <v>8000</v>
      </c>
      <c r="K409">
        <v>470</v>
      </c>
      <c r="L409">
        <v>1</v>
      </c>
      <c r="M409">
        <v>2007</v>
      </c>
      <c r="N409">
        <v>1</v>
      </c>
      <c r="O409">
        <v>0.05</v>
      </c>
      <c r="P409">
        <v>9000</v>
      </c>
      <c r="Q409">
        <v>116</v>
      </c>
      <c r="R409">
        <v>1</v>
      </c>
      <c r="S409" t="s">
        <v>3824</v>
      </c>
      <c r="T409">
        <v>16</v>
      </c>
      <c r="U409">
        <v>0.5</v>
      </c>
      <c r="V409">
        <v>1000</v>
      </c>
      <c r="W409">
        <v>4885</v>
      </c>
      <c r="X409">
        <v>1</v>
      </c>
      <c r="Y409">
        <v>2006</v>
      </c>
      <c r="Z409">
        <v>1</v>
      </c>
      <c r="AA409">
        <v>0.03</v>
      </c>
    </row>
    <row r="410" spans="1:27">
      <c r="A410">
        <v>1408</v>
      </c>
      <c r="B410" t="s">
        <v>4198</v>
      </c>
      <c r="C410">
        <v>150</v>
      </c>
      <c r="D410" t="s">
        <v>3823</v>
      </c>
      <c r="E410">
        <v>1</v>
      </c>
      <c r="F410">
        <v>0.126</v>
      </c>
      <c r="G410">
        <v>8001</v>
      </c>
      <c r="H410">
        <v>315</v>
      </c>
      <c r="I410">
        <v>1</v>
      </c>
      <c r="J410">
        <v>8000</v>
      </c>
      <c r="K410">
        <v>470</v>
      </c>
      <c r="L410">
        <v>1</v>
      </c>
      <c r="M410">
        <v>2007</v>
      </c>
      <c r="N410">
        <v>1</v>
      </c>
      <c r="O410">
        <v>0.05</v>
      </c>
      <c r="P410">
        <v>9000</v>
      </c>
      <c r="Q410">
        <v>116</v>
      </c>
      <c r="R410">
        <v>1</v>
      </c>
      <c r="S410" t="s">
        <v>3824</v>
      </c>
      <c r="T410">
        <v>16</v>
      </c>
      <c r="U410">
        <v>0.5</v>
      </c>
      <c r="V410">
        <v>1000</v>
      </c>
      <c r="W410">
        <v>4900</v>
      </c>
      <c r="X410">
        <v>1</v>
      </c>
      <c r="Y410">
        <v>2006</v>
      </c>
      <c r="Z410">
        <v>1</v>
      </c>
      <c r="AA410">
        <v>0.03</v>
      </c>
    </row>
    <row r="411" spans="1:27">
      <c r="A411">
        <v>1409</v>
      </c>
      <c r="B411" t="s">
        <v>4199</v>
      </c>
      <c r="C411">
        <v>150</v>
      </c>
      <c r="D411" t="s">
        <v>3823</v>
      </c>
      <c r="E411">
        <v>1</v>
      </c>
      <c r="F411">
        <v>0.126</v>
      </c>
      <c r="G411">
        <v>8001</v>
      </c>
      <c r="H411">
        <v>315</v>
      </c>
      <c r="I411">
        <v>1</v>
      </c>
      <c r="J411">
        <v>8000</v>
      </c>
      <c r="K411">
        <v>470</v>
      </c>
      <c r="L411">
        <v>1</v>
      </c>
      <c r="M411">
        <v>2007</v>
      </c>
      <c r="N411">
        <v>1</v>
      </c>
      <c r="O411">
        <v>0.05</v>
      </c>
      <c r="P411">
        <v>9000</v>
      </c>
      <c r="Q411">
        <v>117</v>
      </c>
      <c r="R411">
        <v>1</v>
      </c>
      <c r="S411" t="s">
        <v>3824</v>
      </c>
      <c r="T411">
        <v>16</v>
      </c>
      <c r="U411">
        <v>0.5</v>
      </c>
      <c r="V411">
        <v>1000</v>
      </c>
      <c r="W411">
        <v>4910</v>
      </c>
      <c r="X411">
        <v>1</v>
      </c>
      <c r="Y411">
        <v>2006</v>
      </c>
      <c r="Z411">
        <v>1</v>
      </c>
      <c r="AA411">
        <v>0.03</v>
      </c>
    </row>
    <row r="412" spans="1:27">
      <c r="A412">
        <v>1410</v>
      </c>
      <c r="B412" t="s">
        <v>4200</v>
      </c>
      <c r="C412">
        <v>150</v>
      </c>
      <c r="D412" t="s">
        <v>3823</v>
      </c>
      <c r="E412">
        <v>1</v>
      </c>
      <c r="F412">
        <v>0.126</v>
      </c>
      <c r="G412">
        <v>8001</v>
      </c>
      <c r="H412">
        <v>315</v>
      </c>
      <c r="I412">
        <v>1</v>
      </c>
      <c r="J412">
        <v>8000</v>
      </c>
      <c r="K412">
        <v>475</v>
      </c>
      <c r="L412">
        <v>1</v>
      </c>
      <c r="M412">
        <v>2007</v>
      </c>
      <c r="N412">
        <v>1</v>
      </c>
      <c r="O412">
        <v>0.05</v>
      </c>
      <c r="P412">
        <v>9000</v>
      </c>
      <c r="Q412">
        <v>117</v>
      </c>
      <c r="R412">
        <v>1</v>
      </c>
      <c r="S412" t="s">
        <v>3824</v>
      </c>
      <c r="T412">
        <v>16</v>
      </c>
      <c r="U412">
        <v>0.5</v>
      </c>
      <c r="V412">
        <v>1000</v>
      </c>
      <c r="W412">
        <v>4925</v>
      </c>
      <c r="X412">
        <v>1</v>
      </c>
      <c r="Y412">
        <v>2006</v>
      </c>
      <c r="Z412">
        <v>1</v>
      </c>
      <c r="AA412">
        <v>0.03</v>
      </c>
    </row>
    <row r="413" spans="1:27">
      <c r="A413">
        <v>1411</v>
      </c>
      <c r="B413" t="s">
        <v>4196</v>
      </c>
      <c r="C413">
        <v>150</v>
      </c>
      <c r="D413" t="s">
        <v>3823</v>
      </c>
      <c r="E413">
        <v>1</v>
      </c>
      <c r="F413">
        <v>0.127</v>
      </c>
      <c r="G413">
        <v>8001</v>
      </c>
      <c r="H413">
        <v>315</v>
      </c>
      <c r="I413">
        <v>1</v>
      </c>
      <c r="J413">
        <v>8000</v>
      </c>
      <c r="K413">
        <v>475</v>
      </c>
      <c r="L413">
        <v>1</v>
      </c>
      <c r="M413">
        <v>2007</v>
      </c>
      <c r="N413">
        <v>1</v>
      </c>
      <c r="O413">
        <v>0.05</v>
      </c>
      <c r="P413">
        <v>9000</v>
      </c>
      <c r="Q413">
        <v>117</v>
      </c>
      <c r="R413">
        <v>1</v>
      </c>
      <c r="S413" t="s">
        <v>3824</v>
      </c>
      <c r="T413">
        <v>16</v>
      </c>
      <c r="U413">
        <v>0.5</v>
      </c>
      <c r="V413">
        <v>1000</v>
      </c>
      <c r="W413">
        <v>4935</v>
      </c>
      <c r="X413">
        <v>1</v>
      </c>
      <c r="Y413">
        <v>2006</v>
      </c>
      <c r="Z413">
        <v>1</v>
      </c>
      <c r="AA413">
        <v>0.03</v>
      </c>
    </row>
    <row r="414" spans="1:27">
      <c r="A414">
        <v>1412</v>
      </c>
      <c r="B414" t="s">
        <v>4201</v>
      </c>
      <c r="C414">
        <v>150</v>
      </c>
      <c r="D414" t="s">
        <v>3823</v>
      </c>
      <c r="E414">
        <v>1</v>
      </c>
      <c r="F414">
        <v>0.127</v>
      </c>
      <c r="G414">
        <v>8001</v>
      </c>
      <c r="H414">
        <v>315</v>
      </c>
      <c r="I414">
        <v>1</v>
      </c>
      <c r="J414">
        <v>8000</v>
      </c>
      <c r="K414">
        <v>475</v>
      </c>
      <c r="L414">
        <v>1</v>
      </c>
      <c r="M414">
        <v>2007</v>
      </c>
      <c r="N414">
        <v>1</v>
      </c>
      <c r="O414">
        <v>0.05</v>
      </c>
      <c r="P414">
        <v>9000</v>
      </c>
      <c r="Q414">
        <v>118</v>
      </c>
      <c r="R414">
        <v>1</v>
      </c>
      <c r="S414" t="s">
        <v>3824</v>
      </c>
      <c r="T414">
        <v>16</v>
      </c>
      <c r="U414">
        <v>0.5</v>
      </c>
      <c r="V414">
        <v>1000</v>
      </c>
      <c r="W414">
        <v>4950</v>
      </c>
      <c r="X414">
        <v>1</v>
      </c>
      <c r="Y414">
        <v>2006</v>
      </c>
      <c r="Z414">
        <v>1</v>
      </c>
      <c r="AA414">
        <v>0.03</v>
      </c>
    </row>
    <row r="415" spans="1:27">
      <c r="A415">
        <v>1413</v>
      </c>
      <c r="B415" t="s">
        <v>4202</v>
      </c>
      <c r="C415">
        <v>150</v>
      </c>
      <c r="D415" t="s">
        <v>3823</v>
      </c>
      <c r="E415">
        <v>1</v>
      </c>
      <c r="F415">
        <v>0.127</v>
      </c>
      <c r="G415">
        <v>8001</v>
      </c>
      <c r="H415">
        <v>315</v>
      </c>
      <c r="I415">
        <v>1</v>
      </c>
      <c r="J415">
        <v>8000</v>
      </c>
      <c r="K415">
        <v>475</v>
      </c>
      <c r="L415">
        <v>1</v>
      </c>
      <c r="M415">
        <v>2007</v>
      </c>
      <c r="N415">
        <v>1</v>
      </c>
      <c r="O415">
        <v>0.05</v>
      </c>
      <c r="P415">
        <v>9000</v>
      </c>
      <c r="Q415">
        <v>118</v>
      </c>
      <c r="R415">
        <v>1</v>
      </c>
      <c r="S415" t="s">
        <v>3824</v>
      </c>
      <c r="T415">
        <v>16</v>
      </c>
      <c r="U415">
        <v>0.5</v>
      </c>
      <c r="V415">
        <v>1000</v>
      </c>
      <c r="W415">
        <v>4960</v>
      </c>
      <c r="X415">
        <v>1</v>
      </c>
      <c r="Y415">
        <v>2006</v>
      </c>
      <c r="Z415">
        <v>1</v>
      </c>
      <c r="AA415">
        <v>0.03</v>
      </c>
    </row>
    <row r="416" spans="1:27">
      <c r="A416">
        <v>1414</v>
      </c>
      <c r="B416" t="s">
        <v>4203</v>
      </c>
      <c r="C416">
        <v>150</v>
      </c>
      <c r="D416" t="s">
        <v>3823</v>
      </c>
      <c r="E416">
        <v>1</v>
      </c>
      <c r="F416">
        <v>0.127</v>
      </c>
      <c r="G416">
        <v>8001</v>
      </c>
      <c r="H416">
        <v>320</v>
      </c>
      <c r="I416">
        <v>1</v>
      </c>
      <c r="J416">
        <v>8000</v>
      </c>
      <c r="K416">
        <v>475</v>
      </c>
      <c r="L416">
        <v>1</v>
      </c>
      <c r="M416">
        <v>2007</v>
      </c>
      <c r="N416">
        <v>1</v>
      </c>
      <c r="O416">
        <v>0.05</v>
      </c>
      <c r="P416">
        <v>9000</v>
      </c>
      <c r="Q416">
        <v>118</v>
      </c>
      <c r="R416">
        <v>1</v>
      </c>
      <c r="S416" t="s">
        <v>3824</v>
      </c>
      <c r="T416">
        <v>16</v>
      </c>
      <c r="U416">
        <v>0.5</v>
      </c>
      <c r="V416">
        <v>1000</v>
      </c>
      <c r="W416">
        <v>4970</v>
      </c>
      <c r="X416">
        <v>1</v>
      </c>
      <c r="Y416">
        <v>2006</v>
      </c>
      <c r="Z416">
        <v>1</v>
      </c>
      <c r="AA416">
        <v>0.03</v>
      </c>
    </row>
    <row r="417" spans="1:27">
      <c r="A417">
        <v>1415</v>
      </c>
      <c r="B417" t="s">
        <v>4204</v>
      </c>
      <c r="C417">
        <v>150</v>
      </c>
      <c r="D417" t="s">
        <v>3823</v>
      </c>
      <c r="E417">
        <v>1</v>
      </c>
      <c r="F417">
        <v>0.127</v>
      </c>
      <c r="G417">
        <v>8001</v>
      </c>
      <c r="H417">
        <v>320</v>
      </c>
      <c r="I417">
        <v>1</v>
      </c>
      <c r="J417">
        <v>8000</v>
      </c>
      <c r="K417">
        <v>480</v>
      </c>
      <c r="L417">
        <v>1</v>
      </c>
      <c r="M417">
        <v>2007</v>
      </c>
      <c r="N417">
        <v>1</v>
      </c>
      <c r="O417">
        <v>0.05</v>
      </c>
      <c r="P417">
        <v>9000</v>
      </c>
      <c r="Q417">
        <v>118</v>
      </c>
      <c r="R417">
        <v>1</v>
      </c>
      <c r="S417" t="s">
        <v>3824</v>
      </c>
      <c r="T417">
        <v>16</v>
      </c>
      <c r="U417">
        <v>0.5</v>
      </c>
      <c r="V417">
        <v>1000</v>
      </c>
      <c r="W417">
        <v>4985</v>
      </c>
      <c r="X417">
        <v>1</v>
      </c>
      <c r="Y417">
        <v>2006</v>
      </c>
      <c r="Z417">
        <v>1</v>
      </c>
      <c r="AA417">
        <v>0.03</v>
      </c>
    </row>
    <row r="418" spans="1:27">
      <c r="A418">
        <v>1416</v>
      </c>
      <c r="B418" t="s">
        <v>4205</v>
      </c>
      <c r="C418">
        <v>150</v>
      </c>
      <c r="D418" t="s">
        <v>3823</v>
      </c>
      <c r="E418">
        <v>1</v>
      </c>
      <c r="F418">
        <v>0.128</v>
      </c>
      <c r="G418">
        <v>8001</v>
      </c>
      <c r="H418">
        <v>320</v>
      </c>
      <c r="I418">
        <v>1</v>
      </c>
      <c r="J418">
        <v>8000</v>
      </c>
      <c r="K418">
        <v>480</v>
      </c>
      <c r="L418">
        <v>1</v>
      </c>
      <c r="M418">
        <v>2007</v>
      </c>
      <c r="N418">
        <v>1</v>
      </c>
      <c r="O418">
        <v>0.05</v>
      </c>
      <c r="P418">
        <v>9000</v>
      </c>
      <c r="Q418">
        <v>119</v>
      </c>
      <c r="R418">
        <v>1</v>
      </c>
      <c r="S418" t="s">
        <v>3824</v>
      </c>
      <c r="T418">
        <v>16</v>
      </c>
      <c r="U418">
        <v>0.5</v>
      </c>
      <c r="V418">
        <v>1000</v>
      </c>
      <c r="W418">
        <v>4995</v>
      </c>
      <c r="X418">
        <v>1</v>
      </c>
      <c r="Y418">
        <v>2006</v>
      </c>
      <c r="Z418">
        <v>1</v>
      </c>
      <c r="AA418">
        <v>0.03</v>
      </c>
    </row>
    <row r="419" spans="1:27">
      <c r="A419">
        <v>1417</v>
      </c>
      <c r="B419" t="s">
        <v>4206</v>
      </c>
      <c r="C419">
        <v>150</v>
      </c>
      <c r="D419" t="s">
        <v>3823</v>
      </c>
      <c r="E419">
        <v>1</v>
      </c>
      <c r="F419">
        <v>0.128</v>
      </c>
      <c r="G419">
        <v>8001</v>
      </c>
      <c r="H419">
        <v>320</v>
      </c>
      <c r="I419">
        <v>1</v>
      </c>
      <c r="J419">
        <v>8000</v>
      </c>
      <c r="K419">
        <v>480</v>
      </c>
      <c r="L419">
        <v>1</v>
      </c>
      <c r="M419">
        <v>2007</v>
      </c>
      <c r="N419">
        <v>1</v>
      </c>
      <c r="O419">
        <v>0.05</v>
      </c>
      <c r="P419">
        <v>9000</v>
      </c>
      <c r="Q419">
        <v>119</v>
      </c>
      <c r="R419">
        <v>1</v>
      </c>
      <c r="S419" t="s">
        <v>3824</v>
      </c>
      <c r="T419">
        <v>16</v>
      </c>
      <c r="U419">
        <v>0.5</v>
      </c>
      <c r="V419">
        <v>1000</v>
      </c>
      <c r="W419">
        <v>5010</v>
      </c>
      <c r="X419">
        <v>1</v>
      </c>
      <c r="Y419">
        <v>2006</v>
      </c>
      <c r="Z419">
        <v>1</v>
      </c>
      <c r="AA419">
        <v>0.03</v>
      </c>
    </row>
    <row r="420" spans="1:27">
      <c r="A420">
        <v>1418</v>
      </c>
      <c r="B420" t="s">
        <v>4207</v>
      </c>
      <c r="C420">
        <v>150</v>
      </c>
      <c r="D420" t="s">
        <v>3823</v>
      </c>
      <c r="E420">
        <v>1</v>
      </c>
      <c r="F420">
        <v>0.128</v>
      </c>
      <c r="G420">
        <v>8001</v>
      </c>
      <c r="H420">
        <v>320</v>
      </c>
      <c r="I420">
        <v>1</v>
      </c>
      <c r="J420">
        <v>8000</v>
      </c>
      <c r="K420">
        <v>480</v>
      </c>
      <c r="L420">
        <v>1</v>
      </c>
      <c r="M420">
        <v>2007</v>
      </c>
      <c r="N420">
        <v>1</v>
      </c>
      <c r="O420">
        <v>0.05</v>
      </c>
      <c r="P420">
        <v>9000</v>
      </c>
      <c r="Q420">
        <v>119</v>
      </c>
      <c r="R420">
        <v>1</v>
      </c>
      <c r="S420" t="s">
        <v>3824</v>
      </c>
      <c r="T420">
        <v>16</v>
      </c>
      <c r="U420">
        <v>0.5</v>
      </c>
      <c r="V420">
        <v>1000</v>
      </c>
      <c r="W420">
        <v>5020</v>
      </c>
      <c r="X420">
        <v>1</v>
      </c>
      <c r="Y420">
        <v>2006</v>
      </c>
      <c r="Z420">
        <v>1</v>
      </c>
      <c r="AA420">
        <v>0.03</v>
      </c>
    </row>
    <row r="421" spans="1:27">
      <c r="A421">
        <v>1419</v>
      </c>
      <c r="B421" t="s">
        <v>4208</v>
      </c>
      <c r="C421">
        <v>150</v>
      </c>
      <c r="D421" t="s">
        <v>3823</v>
      </c>
      <c r="E421">
        <v>1</v>
      </c>
      <c r="F421">
        <v>0.128</v>
      </c>
      <c r="G421">
        <v>8001</v>
      </c>
      <c r="H421">
        <v>320</v>
      </c>
      <c r="I421">
        <v>1</v>
      </c>
      <c r="J421">
        <v>8000</v>
      </c>
      <c r="K421">
        <v>485</v>
      </c>
      <c r="L421">
        <v>1</v>
      </c>
      <c r="M421">
        <v>2007</v>
      </c>
      <c r="N421">
        <v>1</v>
      </c>
      <c r="O421">
        <v>0.05</v>
      </c>
      <c r="P421">
        <v>9000</v>
      </c>
      <c r="Q421">
        <v>120</v>
      </c>
      <c r="R421">
        <v>1</v>
      </c>
      <c r="S421" t="s">
        <v>3824</v>
      </c>
      <c r="T421">
        <v>16</v>
      </c>
      <c r="U421">
        <v>0.5</v>
      </c>
      <c r="V421">
        <v>1000</v>
      </c>
      <c r="W421">
        <v>5030</v>
      </c>
      <c r="X421">
        <v>1</v>
      </c>
      <c r="Y421">
        <v>2006</v>
      </c>
      <c r="Z421">
        <v>1</v>
      </c>
      <c r="AA421">
        <v>0.03</v>
      </c>
    </row>
    <row r="422" spans="1:27">
      <c r="A422">
        <v>1420</v>
      </c>
      <c r="B422" t="s">
        <v>4209</v>
      </c>
      <c r="C422">
        <v>150</v>
      </c>
      <c r="D422" t="s">
        <v>3823</v>
      </c>
      <c r="E422">
        <v>1</v>
      </c>
      <c r="F422">
        <v>0.129</v>
      </c>
      <c r="G422">
        <v>8001</v>
      </c>
      <c r="H422">
        <v>325</v>
      </c>
      <c r="I422">
        <v>1</v>
      </c>
      <c r="J422">
        <v>8000</v>
      </c>
      <c r="K422">
        <v>485</v>
      </c>
      <c r="L422">
        <v>1</v>
      </c>
      <c r="M422">
        <v>2007</v>
      </c>
      <c r="N422">
        <v>1</v>
      </c>
      <c r="O422">
        <v>0.05</v>
      </c>
      <c r="P422">
        <v>9000</v>
      </c>
      <c r="Q422">
        <v>120</v>
      </c>
      <c r="R422">
        <v>1</v>
      </c>
      <c r="S422" t="s">
        <v>3824</v>
      </c>
      <c r="T422">
        <v>16</v>
      </c>
      <c r="U422">
        <v>0.5</v>
      </c>
      <c r="V422">
        <v>1000</v>
      </c>
      <c r="W422">
        <v>5045</v>
      </c>
      <c r="X422">
        <v>1</v>
      </c>
      <c r="Y422">
        <v>2006</v>
      </c>
      <c r="Z422">
        <v>1</v>
      </c>
      <c r="AA422">
        <v>0.03</v>
      </c>
    </row>
    <row r="423" spans="1:27">
      <c r="A423">
        <v>1421</v>
      </c>
      <c r="B423" t="s">
        <v>4210</v>
      </c>
      <c r="C423">
        <v>150</v>
      </c>
      <c r="D423" t="s">
        <v>3823</v>
      </c>
      <c r="E423">
        <v>1</v>
      </c>
      <c r="F423">
        <v>0.129</v>
      </c>
      <c r="G423">
        <v>8001</v>
      </c>
      <c r="H423">
        <v>325</v>
      </c>
      <c r="I423">
        <v>1</v>
      </c>
      <c r="J423">
        <v>8000</v>
      </c>
      <c r="K423">
        <v>485</v>
      </c>
      <c r="L423">
        <v>1</v>
      </c>
      <c r="M423">
        <v>2007</v>
      </c>
      <c r="N423">
        <v>1</v>
      </c>
      <c r="O423">
        <v>0.05</v>
      </c>
      <c r="P423">
        <v>9000</v>
      </c>
      <c r="Q423">
        <v>120</v>
      </c>
      <c r="R423">
        <v>1</v>
      </c>
      <c r="S423" t="s">
        <v>3824</v>
      </c>
      <c r="T423">
        <v>16</v>
      </c>
      <c r="U423">
        <v>0.5</v>
      </c>
      <c r="V423">
        <v>1000</v>
      </c>
      <c r="W423">
        <v>5055</v>
      </c>
      <c r="X423">
        <v>1</v>
      </c>
      <c r="Y423">
        <v>2006</v>
      </c>
      <c r="Z423">
        <v>1</v>
      </c>
      <c r="AA423">
        <v>0.03</v>
      </c>
    </row>
    <row r="424" spans="1:27">
      <c r="A424">
        <v>1422</v>
      </c>
      <c r="B424" t="s">
        <v>4211</v>
      </c>
      <c r="C424">
        <v>150</v>
      </c>
      <c r="D424" t="s">
        <v>3823</v>
      </c>
      <c r="E424">
        <v>1</v>
      </c>
      <c r="F424">
        <v>0.129</v>
      </c>
      <c r="G424">
        <v>8001</v>
      </c>
      <c r="H424">
        <v>325</v>
      </c>
      <c r="I424">
        <v>1</v>
      </c>
      <c r="J424">
        <v>8000</v>
      </c>
      <c r="K424">
        <v>485</v>
      </c>
      <c r="L424">
        <v>1</v>
      </c>
      <c r="M424">
        <v>2007</v>
      </c>
      <c r="N424">
        <v>1</v>
      </c>
      <c r="O424">
        <v>0.05</v>
      </c>
      <c r="P424">
        <v>9000</v>
      </c>
      <c r="Q424">
        <v>121</v>
      </c>
      <c r="R424">
        <v>1</v>
      </c>
      <c r="S424" t="s">
        <v>3824</v>
      </c>
      <c r="T424">
        <v>16</v>
      </c>
      <c r="U424">
        <v>0.5</v>
      </c>
      <c r="V424">
        <v>1000</v>
      </c>
      <c r="W424">
        <v>5065</v>
      </c>
      <c r="X424">
        <v>1</v>
      </c>
      <c r="Y424">
        <v>2006</v>
      </c>
      <c r="Z424">
        <v>1</v>
      </c>
      <c r="AA424">
        <v>0.03</v>
      </c>
    </row>
    <row r="425" spans="1:27">
      <c r="A425">
        <v>1423</v>
      </c>
      <c r="B425" t="s">
        <v>4212</v>
      </c>
      <c r="C425">
        <v>150</v>
      </c>
      <c r="D425" t="s">
        <v>3823</v>
      </c>
      <c r="E425">
        <v>1</v>
      </c>
      <c r="F425">
        <v>0.129</v>
      </c>
      <c r="G425">
        <v>8001</v>
      </c>
      <c r="H425">
        <v>325</v>
      </c>
      <c r="I425">
        <v>1</v>
      </c>
      <c r="J425">
        <v>8000</v>
      </c>
      <c r="K425">
        <v>490</v>
      </c>
      <c r="L425">
        <v>1</v>
      </c>
      <c r="M425">
        <v>2007</v>
      </c>
      <c r="N425">
        <v>1</v>
      </c>
      <c r="O425">
        <v>0.05</v>
      </c>
      <c r="P425">
        <v>9000</v>
      </c>
      <c r="Q425">
        <v>121</v>
      </c>
      <c r="R425">
        <v>1</v>
      </c>
      <c r="S425" t="s">
        <v>3824</v>
      </c>
      <c r="T425">
        <v>16</v>
      </c>
      <c r="U425">
        <v>0.5</v>
      </c>
      <c r="V425">
        <v>1000</v>
      </c>
      <c r="W425">
        <v>5080</v>
      </c>
      <c r="X425">
        <v>1</v>
      </c>
      <c r="Y425">
        <v>2006</v>
      </c>
      <c r="Z425">
        <v>1</v>
      </c>
      <c r="AA425">
        <v>0.03</v>
      </c>
    </row>
    <row r="426" spans="1:27">
      <c r="A426">
        <v>1424</v>
      </c>
      <c r="B426" t="s">
        <v>4203</v>
      </c>
      <c r="C426">
        <v>150</v>
      </c>
      <c r="D426" t="s">
        <v>3823</v>
      </c>
      <c r="E426">
        <v>1</v>
      </c>
      <c r="F426">
        <v>0.129</v>
      </c>
      <c r="G426">
        <v>8001</v>
      </c>
      <c r="H426">
        <v>325</v>
      </c>
      <c r="I426">
        <v>1</v>
      </c>
      <c r="J426">
        <v>8000</v>
      </c>
      <c r="K426">
        <v>490</v>
      </c>
      <c r="L426">
        <v>1</v>
      </c>
      <c r="M426">
        <v>2007</v>
      </c>
      <c r="N426">
        <v>1</v>
      </c>
      <c r="O426">
        <v>0.05</v>
      </c>
      <c r="P426">
        <v>9000</v>
      </c>
      <c r="Q426">
        <v>121</v>
      </c>
      <c r="R426">
        <v>1</v>
      </c>
      <c r="S426" t="s">
        <v>3824</v>
      </c>
      <c r="T426">
        <v>16</v>
      </c>
      <c r="U426">
        <v>0.5</v>
      </c>
      <c r="V426">
        <v>1000</v>
      </c>
      <c r="W426">
        <v>5090</v>
      </c>
      <c r="X426">
        <v>1</v>
      </c>
      <c r="Y426">
        <v>2006</v>
      </c>
      <c r="Z426">
        <v>1</v>
      </c>
      <c r="AA426">
        <v>0.03</v>
      </c>
    </row>
    <row r="427" spans="1:27">
      <c r="A427">
        <v>1425</v>
      </c>
      <c r="B427" t="s">
        <v>4207</v>
      </c>
      <c r="C427">
        <v>150</v>
      </c>
      <c r="D427" t="s">
        <v>3823</v>
      </c>
      <c r="E427">
        <v>1</v>
      </c>
      <c r="F427">
        <v>0.13</v>
      </c>
      <c r="G427">
        <v>8001</v>
      </c>
      <c r="H427">
        <v>325</v>
      </c>
      <c r="I427">
        <v>1</v>
      </c>
      <c r="J427">
        <v>8000</v>
      </c>
      <c r="K427">
        <v>490</v>
      </c>
      <c r="L427">
        <v>1</v>
      </c>
      <c r="M427">
        <v>2007</v>
      </c>
      <c r="N427">
        <v>1</v>
      </c>
      <c r="O427">
        <v>0.05</v>
      </c>
      <c r="P427">
        <v>9000</v>
      </c>
      <c r="Q427">
        <v>121</v>
      </c>
      <c r="R427">
        <v>1</v>
      </c>
      <c r="S427" t="s">
        <v>3824</v>
      </c>
      <c r="T427">
        <v>16</v>
      </c>
      <c r="U427">
        <v>0.5</v>
      </c>
      <c r="V427">
        <v>1000</v>
      </c>
      <c r="W427">
        <v>5100</v>
      </c>
      <c r="X427">
        <v>1</v>
      </c>
      <c r="Y427">
        <v>2006</v>
      </c>
      <c r="Z427">
        <v>1</v>
      </c>
      <c r="AA427">
        <v>0.03</v>
      </c>
    </row>
    <row r="428" spans="1:27">
      <c r="A428">
        <v>1426</v>
      </c>
      <c r="B428" t="s">
        <v>4213</v>
      </c>
      <c r="C428">
        <v>150</v>
      </c>
      <c r="D428" t="s">
        <v>3823</v>
      </c>
      <c r="E428">
        <v>1</v>
      </c>
      <c r="F428">
        <v>0.13</v>
      </c>
      <c r="G428">
        <v>8001</v>
      </c>
      <c r="H428">
        <v>325</v>
      </c>
      <c r="I428">
        <v>1</v>
      </c>
      <c r="J428">
        <v>8000</v>
      </c>
      <c r="K428">
        <v>490</v>
      </c>
      <c r="L428">
        <v>1</v>
      </c>
      <c r="M428">
        <v>2007</v>
      </c>
      <c r="N428">
        <v>1</v>
      </c>
      <c r="O428">
        <v>0.05</v>
      </c>
      <c r="P428">
        <v>9000</v>
      </c>
      <c r="Q428">
        <v>122</v>
      </c>
      <c r="R428">
        <v>1</v>
      </c>
      <c r="S428" t="s">
        <v>3824</v>
      </c>
      <c r="T428">
        <v>16</v>
      </c>
      <c r="U428">
        <v>0.5</v>
      </c>
      <c r="V428">
        <v>1000</v>
      </c>
      <c r="W428">
        <v>5115</v>
      </c>
      <c r="X428">
        <v>1</v>
      </c>
      <c r="Y428">
        <v>2006</v>
      </c>
      <c r="Z428">
        <v>1</v>
      </c>
      <c r="AA428">
        <v>0.03</v>
      </c>
    </row>
    <row r="429" spans="1:27">
      <c r="A429">
        <v>1427</v>
      </c>
      <c r="B429" t="s">
        <v>4214</v>
      </c>
      <c r="C429">
        <v>150</v>
      </c>
      <c r="D429" t="s">
        <v>3823</v>
      </c>
      <c r="E429">
        <v>1</v>
      </c>
      <c r="F429">
        <v>0.13</v>
      </c>
      <c r="G429">
        <v>8001</v>
      </c>
      <c r="H429">
        <v>330</v>
      </c>
      <c r="I429">
        <v>1</v>
      </c>
      <c r="J429">
        <v>8000</v>
      </c>
      <c r="K429">
        <v>490</v>
      </c>
      <c r="L429">
        <v>1</v>
      </c>
      <c r="M429">
        <v>2007</v>
      </c>
      <c r="N429">
        <v>1</v>
      </c>
      <c r="O429">
        <v>0.05</v>
      </c>
      <c r="P429">
        <v>9000</v>
      </c>
      <c r="Q429">
        <v>122</v>
      </c>
      <c r="R429">
        <v>1</v>
      </c>
      <c r="S429" t="s">
        <v>3824</v>
      </c>
      <c r="T429">
        <v>16</v>
      </c>
      <c r="U429">
        <v>0.5</v>
      </c>
      <c r="V429">
        <v>1000</v>
      </c>
      <c r="W429">
        <v>5125</v>
      </c>
      <c r="X429">
        <v>1</v>
      </c>
      <c r="Y429">
        <v>2006</v>
      </c>
      <c r="Z429">
        <v>1</v>
      </c>
      <c r="AA429">
        <v>0.03</v>
      </c>
    </row>
    <row r="430" spans="1:27">
      <c r="A430">
        <v>1428</v>
      </c>
      <c r="B430" t="s">
        <v>4215</v>
      </c>
      <c r="C430">
        <v>150</v>
      </c>
      <c r="D430" t="s">
        <v>3823</v>
      </c>
      <c r="E430">
        <v>1</v>
      </c>
      <c r="F430">
        <v>0.13</v>
      </c>
      <c r="G430">
        <v>8001</v>
      </c>
      <c r="H430">
        <v>330</v>
      </c>
      <c r="I430">
        <v>1</v>
      </c>
      <c r="J430">
        <v>8000</v>
      </c>
      <c r="K430">
        <v>495</v>
      </c>
      <c r="L430">
        <v>1</v>
      </c>
      <c r="M430">
        <v>2007</v>
      </c>
      <c r="N430">
        <v>1</v>
      </c>
      <c r="O430">
        <v>0.05</v>
      </c>
      <c r="P430">
        <v>9000</v>
      </c>
      <c r="Q430">
        <v>122</v>
      </c>
      <c r="R430">
        <v>1</v>
      </c>
      <c r="S430" t="s">
        <v>3824</v>
      </c>
      <c r="T430">
        <v>16</v>
      </c>
      <c r="U430">
        <v>0.5</v>
      </c>
      <c r="V430">
        <v>1000</v>
      </c>
      <c r="W430">
        <v>5135</v>
      </c>
      <c r="X430">
        <v>1</v>
      </c>
      <c r="Y430">
        <v>2006</v>
      </c>
      <c r="Z430">
        <v>1</v>
      </c>
      <c r="AA430">
        <v>0.03</v>
      </c>
    </row>
    <row r="431" spans="1:27">
      <c r="A431">
        <v>1429</v>
      </c>
      <c r="B431" t="s">
        <v>4216</v>
      </c>
      <c r="C431">
        <v>150</v>
      </c>
      <c r="D431" t="s">
        <v>3823</v>
      </c>
      <c r="E431">
        <v>1</v>
      </c>
      <c r="F431">
        <v>0.13</v>
      </c>
      <c r="G431">
        <v>8001</v>
      </c>
      <c r="H431">
        <v>330</v>
      </c>
      <c r="I431">
        <v>1</v>
      </c>
      <c r="J431">
        <v>8000</v>
      </c>
      <c r="K431">
        <v>495</v>
      </c>
      <c r="L431">
        <v>1</v>
      </c>
      <c r="M431">
        <v>2007</v>
      </c>
      <c r="N431">
        <v>1</v>
      </c>
      <c r="O431">
        <v>0.05</v>
      </c>
      <c r="P431">
        <v>9000</v>
      </c>
      <c r="Q431">
        <v>123</v>
      </c>
      <c r="R431">
        <v>1</v>
      </c>
      <c r="S431" t="s">
        <v>3824</v>
      </c>
      <c r="T431">
        <v>16</v>
      </c>
      <c r="U431">
        <v>0.5</v>
      </c>
      <c r="V431">
        <v>1000</v>
      </c>
      <c r="W431">
        <v>5150</v>
      </c>
      <c r="X431">
        <v>1</v>
      </c>
      <c r="Y431">
        <v>2006</v>
      </c>
      <c r="Z431">
        <v>1</v>
      </c>
      <c r="AA431">
        <v>0.03</v>
      </c>
    </row>
    <row r="432" spans="1:27">
      <c r="A432">
        <v>1430</v>
      </c>
      <c r="B432" t="s">
        <v>4217</v>
      </c>
      <c r="C432">
        <v>150</v>
      </c>
      <c r="D432" t="s">
        <v>3823</v>
      </c>
      <c r="E432">
        <v>1</v>
      </c>
      <c r="F432">
        <v>0.13100000000000001</v>
      </c>
      <c r="G432">
        <v>8001</v>
      </c>
      <c r="H432">
        <v>330</v>
      </c>
      <c r="I432">
        <v>1</v>
      </c>
      <c r="J432">
        <v>8000</v>
      </c>
      <c r="K432">
        <v>495</v>
      </c>
      <c r="L432">
        <v>1</v>
      </c>
      <c r="M432">
        <v>2007</v>
      </c>
      <c r="N432">
        <v>1</v>
      </c>
      <c r="O432">
        <v>0.05</v>
      </c>
      <c r="P432">
        <v>9000</v>
      </c>
      <c r="Q432">
        <v>123</v>
      </c>
      <c r="R432">
        <v>1</v>
      </c>
      <c r="S432" t="s">
        <v>3824</v>
      </c>
      <c r="T432">
        <v>17</v>
      </c>
      <c r="U432">
        <v>0.5</v>
      </c>
      <c r="V432">
        <v>1000</v>
      </c>
      <c r="W432">
        <v>5160</v>
      </c>
      <c r="X432">
        <v>1</v>
      </c>
      <c r="Y432">
        <v>2006</v>
      </c>
      <c r="Z432">
        <v>1</v>
      </c>
      <c r="AA432">
        <v>0.03</v>
      </c>
    </row>
    <row r="433" spans="1:27">
      <c r="A433">
        <v>1431</v>
      </c>
      <c r="B433" t="s">
        <v>4218</v>
      </c>
      <c r="C433">
        <v>150</v>
      </c>
      <c r="D433" t="s">
        <v>3823</v>
      </c>
      <c r="E433">
        <v>1</v>
      </c>
      <c r="F433">
        <v>0.13100000000000001</v>
      </c>
      <c r="G433">
        <v>8001</v>
      </c>
      <c r="H433">
        <v>330</v>
      </c>
      <c r="I433">
        <v>1</v>
      </c>
      <c r="J433">
        <v>8000</v>
      </c>
      <c r="K433">
        <v>495</v>
      </c>
      <c r="L433">
        <v>1</v>
      </c>
      <c r="M433">
        <v>2007</v>
      </c>
      <c r="N433">
        <v>1</v>
      </c>
      <c r="O433">
        <v>0.05</v>
      </c>
      <c r="P433">
        <v>9000</v>
      </c>
      <c r="Q433">
        <v>123</v>
      </c>
      <c r="R433">
        <v>1</v>
      </c>
      <c r="S433" t="s">
        <v>3824</v>
      </c>
      <c r="T433">
        <v>17</v>
      </c>
      <c r="U433">
        <v>0.5</v>
      </c>
      <c r="V433">
        <v>1000</v>
      </c>
      <c r="W433">
        <v>5170</v>
      </c>
      <c r="X433">
        <v>1</v>
      </c>
      <c r="Y433">
        <v>2006</v>
      </c>
      <c r="Z433">
        <v>1</v>
      </c>
      <c r="AA433">
        <v>0.03</v>
      </c>
    </row>
    <row r="434" spans="1:27">
      <c r="A434">
        <v>1432</v>
      </c>
      <c r="B434" t="s">
        <v>4219</v>
      </c>
      <c r="C434">
        <v>150</v>
      </c>
      <c r="D434" t="s">
        <v>3823</v>
      </c>
      <c r="E434">
        <v>1</v>
      </c>
      <c r="F434">
        <v>0.13100000000000001</v>
      </c>
      <c r="G434">
        <v>8001</v>
      </c>
      <c r="H434">
        <v>330</v>
      </c>
      <c r="I434">
        <v>1</v>
      </c>
      <c r="J434">
        <v>8000</v>
      </c>
      <c r="K434">
        <v>495</v>
      </c>
      <c r="L434">
        <v>1</v>
      </c>
      <c r="M434">
        <v>2007</v>
      </c>
      <c r="N434">
        <v>1</v>
      </c>
      <c r="O434">
        <v>0.05</v>
      </c>
      <c r="P434">
        <v>9000</v>
      </c>
      <c r="Q434">
        <v>123</v>
      </c>
      <c r="R434">
        <v>1</v>
      </c>
      <c r="S434" t="s">
        <v>3824</v>
      </c>
      <c r="T434">
        <v>17</v>
      </c>
      <c r="U434">
        <v>0.5</v>
      </c>
      <c r="V434">
        <v>1000</v>
      </c>
      <c r="W434">
        <v>5180</v>
      </c>
      <c r="X434">
        <v>1</v>
      </c>
      <c r="Y434">
        <v>2006</v>
      </c>
      <c r="Z434">
        <v>1</v>
      </c>
      <c r="AA434">
        <v>0.03</v>
      </c>
    </row>
    <row r="435" spans="1:27">
      <c r="A435">
        <v>1433</v>
      </c>
      <c r="B435" t="s">
        <v>4193</v>
      </c>
      <c r="C435">
        <v>150</v>
      </c>
      <c r="D435" t="s">
        <v>3823</v>
      </c>
      <c r="E435">
        <v>1</v>
      </c>
      <c r="F435">
        <v>0.13100000000000001</v>
      </c>
      <c r="G435">
        <v>8001</v>
      </c>
      <c r="H435">
        <v>330</v>
      </c>
      <c r="I435">
        <v>1</v>
      </c>
      <c r="J435">
        <v>8000</v>
      </c>
      <c r="K435">
        <v>500</v>
      </c>
      <c r="L435">
        <v>1</v>
      </c>
      <c r="M435">
        <v>2007</v>
      </c>
      <c r="N435">
        <v>1</v>
      </c>
      <c r="O435">
        <v>0.05</v>
      </c>
      <c r="P435">
        <v>9000</v>
      </c>
      <c r="Q435">
        <v>124</v>
      </c>
      <c r="R435">
        <v>1</v>
      </c>
      <c r="S435" t="s">
        <v>3824</v>
      </c>
      <c r="T435">
        <v>17</v>
      </c>
      <c r="U435">
        <v>0.5</v>
      </c>
      <c r="V435">
        <v>1000</v>
      </c>
      <c r="W435">
        <v>5195</v>
      </c>
      <c r="X435">
        <v>1</v>
      </c>
      <c r="Y435">
        <v>2006</v>
      </c>
      <c r="Z435">
        <v>1</v>
      </c>
      <c r="AA435">
        <v>0.03</v>
      </c>
    </row>
    <row r="436" spans="1:27">
      <c r="A436">
        <v>1434</v>
      </c>
      <c r="B436" t="s">
        <v>4198</v>
      </c>
      <c r="C436">
        <v>150</v>
      </c>
      <c r="D436" t="s">
        <v>3823</v>
      </c>
      <c r="E436">
        <v>1</v>
      </c>
      <c r="F436">
        <v>0.13100000000000001</v>
      </c>
      <c r="G436">
        <v>8001</v>
      </c>
      <c r="H436">
        <v>335</v>
      </c>
      <c r="I436">
        <v>1</v>
      </c>
      <c r="J436">
        <v>8000</v>
      </c>
      <c r="K436">
        <v>500</v>
      </c>
      <c r="L436">
        <v>1</v>
      </c>
      <c r="M436">
        <v>2007</v>
      </c>
      <c r="N436">
        <v>1</v>
      </c>
      <c r="O436">
        <v>0.05</v>
      </c>
      <c r="P436">
        <v>9000</v>
      </c>
      <c r="Q436">
        <v>124</v>
      </c>
      <c r="R436">
        <v>1</v>
      </c>
      <c r="S436" t="s">
        <v>3824</v>
      </c>
      <c r="T436">
        <v>17</v>
      </c>
      <c r="U436">
        <v>0.5</v>
      </c>
      <c r="V436">
        <v>1000</v>
      </c>
      <c r="W436">
        <v>5205</v>
      </c>
      <c r="X436">
        <v>1</v>
      </c>
      <c r="Y436">
        <v>2006</v>
      </c>
      <c r="Z436">
        <v>1</v>
      </c>
      <c r="AA436">
        <v>0.03</v>
      </c>
    </row>
    <row r="437" spans="1:27">
      <c r="A437">
        <v>1435</v>
      </c>
      <c r="B437" t="s">
        <v>4220</v>
      </c>
      <c r="C437">
        <v>150</v>
      </c>
      <c r="D437" t="s">
        <v>3823</v>
      </c>
      <c r="E437">
        <v>1</v>
      </c>
      <c r="F437">
        <v>0.13200000000000001</v>
      </c>
      <c r="G437">
        <v>8001</v>
      </c>
      <c r="H437">
        <v>335</v>
      </c>
      <c r="I437">
        <v>1</v>
      </c>
      <c r="J437">
        <v>8000</v>
      </c>
      <c r="K437">
        <v>500</v>
      </c>
      <c r="L437">
        <v>1</v>
      </c>
      <c r="M437">
        <v>2007</v>
      </c>
      <c r="N437">
        <v>1</v>
      </c>
      <c r="O437">
        <v>0.05</v>
      </c>
      <c r="P437">
        <v>9000</v>
      </c>
      <c r="Q437">
        <v>124</v>
      </c>
      <c r="R437">
        <v>1</v>
      </c>
      <c r="S437" t="s">
        <v>3824</v>
      </c>
      <c r="T437">
        <v>17</v>
      </c>
      <c r="U437">
        <v>0.5</v>
      </c>
      <c r="V437">
        <v>1000</v>
      </c>
      <c r="W437">
        <v>5215</v>
      </c>
      <c r="X437">
        <v>1</v>
      </c>
      <c r="Y437">
        <v>2006</v>
      </c>
      <c r="Z437">
        <v>1</v>
      </c>
      <c r="AA437">
        <v>0.03</v>
      </c>
    </row>
    <row r="438" spans="1:27">
      <c r="A438">
        <v>1436</v>
      </c>
      <c r="B438" t="s">
        <v>4221</v>
      </c>
      <c r="C438">
        <v>150</v>
      </c>
      <c r="D438" t="s">
        <v>3823</v>
      </c>
      <c r="E438">
        <v>1</v>
      </c>
      <c r="F438">
        <v>0.13200000000000001</v>
      </c>
      <c r="G438">
        <v>8001</v>
      </c>
      <c r="H438">
        <v>335</v>
      </c>
      <c r="I438">
        <v>1</v>
      </c>
      <c r="J438">
        <v>8000</v>
      </c>
      <c r="K438">
        <v>500</v>
      </c>
      <c r="L438">
        <v>1</v>
      </c>
      <c r="M438">
        <v>2007</v>
      </c>
      <c r="N438">
        <v>1</v>
      </c>
      <c r="O438">
        <v>0.05</v>
      </c>
      <c r="P438">
        <v>9000</v>
      </c>
      <c r="Q438">
        <v>125</v>
      </c>
      <c r="R438">
        <v>1</v>
      </c>
      <c r="S438" t="s">
        <v>3824</v>
      </c>
      <c r="T438">
        <v>17</v>
      </c>
      <c r="U438">
        <v>0.5</v>
      </c>
      <c r="V438">
        <v>1000</v>
      </c>
      <c r="W438">
        <v>5225</v>
      </c>
      <c r="X438">
        <v>1</v>
      </c>
      <c r="Y438">
        <v>2006</v>
      </c>
      <c r="Z438">
        <v>1</v>
      </c>
      <c r="AA438">
        <v>0.03</v>
      </c>
    </row>
    <row r="439" spans="1:27">
      <c r="A439">
        <v>1437</v>
      </c>
      <c r="B439" t="s">
        <v>4222</v>
      </c>
      <c r="C439">
        <v>150</v>
      </c>
      <c r="D439" t="s">
        <v>3823</v>
      </c>
      <c r="E439">
        <v>1</v>
      </c>
      <c r="F439">
        <v>0.13200000000000001</v>
      </c>
      <c r="G439">
        <v>8001</v>
      </c>
      <c r="H439">
        <v>335</v>
      </c>
      <c r="I439">
        <v>1</v>
      </c>
      <c r="J439">
        <v>8000</v>
      </c>
      <c r="K439">
        <v>505</v>
      </c>
      <c r="L439">
        <v>1</v>
      </c>
      <c r="M439">
        <v>2007</v>
      </c>
      <c r="N439">
        <v>1</v>
      </c>
      <c r="O439">
        <v>0.05</v>
      </c>
      <c r="P439">
        <v>9000</v>
      </c>
      <c r="Q439">
        <v>125</v>
      </c>
      <c r="R439">
        <v>1</v>
      </c>
      <c r="S439" t="s">
        <v>3824</v>
      </c>
      <c r="T439">
        <v>17</v>
      </c>
      <c r="U439">
        <v>0.5</v>
      </c>
      <c r="V439">
        <v>1000</v>
      </c>
      <c r="W439">
        <v>5240</v>
      </c>
      <c r="X439">
        <v>1</v>
      </c>
      <c r="Y439">
        <v>2006</v>
      </c>
      <c r="Z439">
        <v>1</v>
      </c>
      <c r="AA439">
        <v>0.03</v>
      </c>
    </row>
    <row r="440" spans="1:27">
      <c r="A440">
        <v>1438</v>
      </c>
      <c r="B440" t="s">
        <v>4223</v>
      </c>
      <c r="C440">
        <v>150</v>
      </c>
      <c r="D440" t="s">
        <v>3823</v>
      </c>
      <c r="E440">
        <v>1</v>
      </c>
      <c r="F440">
        <v>0.13200000000000001</v>
      </c>
      <c r="G440">
        <v>8001</v>
      </c>
      <c r="H440">
        <v>335</v>
      </c>
      <c r="I440">
        <v>1</v>
      </c>
      <c r="J440">
        <v>8000</v>
      </c>
      <c r="K440">
        <v>505</v>
      </c>
      <c r="L440">
        <v>1</v>
      </c>
      <c r="M440">
        <v>2007</v>
      </c>
      <c r="N440">
        <v>1</v>
      </c>
      <c r="O440">
        <v>0.05</v>
      </c>
      <c r="P440">
        <v>9000</v>
      </c>
      <c r="Q440">
        <v>125</v>
      </c>
      <c r="R440">
        <v>1</v>
      </c>
      <c r="S440" t="s">
        <v>3824</v>
      </c>
      <c r="T440">
        <v>17</v>
      </c>
      <c r="U440">
        <v>0.5</v>
      </c>
      <c r="V440">
        <v>1000</v>
      </c>
      <c r="W440">
        <v>5250</v>
      </c>
      <c r="X440">
        <v>1</v>
      </c>
      <c r="Y440">
        <v>2006</v>
      </c>
      <c r="Z440">
        <v>1</v>
      </c>
      <c r="AA440">
        <v>0.03</v>
      </c>
    </row>
    <row r="441" spans="1:27">
      <c r="A441">
        <v>1439</v>
      </c>
      <c r="B441" t="s">
        <v>4224</v>
      </c>
      <c r="C441">
        <v>150</v>
      </c>
      <c r="D441" t="s">
        <v>3823</v>
      </c>
      <c r="E441">
        <v>1</v>
      </c>
      <c r="F441">
        <v>0.13200000000000001</v>
      </c>
      <c r="G441">
        <v>8001</v>
      </c>
      <c r="H441">
        <v>335</v>
      </c>
      <c r="I441">
        <v>1</v>
      </c>
      <c r="J441">
        <v>8000</v>
      </c>
      <c r="K441">
        <v>505</v>
      </c>
      <c r="L441">
        <v>1</v>
      </c>
      <c r="M441">
        <v>2007</v>
      </c>
      <c r="N441">
        <v>1</v>
      </c>
      <c r="O441">
        <v>0.05</v>
      </c>
      <c r="P441">
        <v>9000</v>
      </c>
      <c r="Q441">
        <v>125</v>
      </c>
      <c r="R441">
        <v>1</v>
      </c>
      <c r="S441" t="s">
        <v>3824</v>
      </c>
      <c r="T441">
        <v>17</v>
      </c>
      <c r="U441">
        <v>0.5</v>
      </c>
      <c r="V441">
        <v>1000</v>
      </c>
      <c r="W441">
        <v>5260</v>
      </c>
      <c r="X441">
        <v>1</v>
      </c>
      <c r="Y441">
        <v>2006</v>
      </c>
      <c r="Z441">
        <v>1</v>
      </c>
      <c r="AA441">
        <v>0.03</v>
      </c>
    </row>
    <row r="442" spans="1:27">
      <c r="A442">
        <v>1440</v>
      </c>
      <c r="B442" t="s">
        <v>4211</v>
      </c>
      <c r="C442">
        <v>150</v>
      </c>
      <c r="D442" t="s">
        <v>3823</v>
      </c>
      <c r="E442">
        <v>1</v>
      </c>
      <c r="F442">
        <v>0.13300000000000001</v>
      </c>
      <c r="G442">
        <v>8001</v>
      </c>
      <c r="H442">
        <v>335</v>
      </c>
      <c r="I442">
        <v>1</v>
      </c>
      <c r="J442">
        <v>8000</v>
      </c>
      <c r="K442">
        <v>505</v>
      </c>
      <c r="L442">
        <v>1</v>
      </c>
      <c r="M442">
        <v>2007</v>
      </c>
      <c r="N442">
        <v>1</v>
      </c>
      <c r="O442">
        <v>0.05</v>
      </c>
      <c r="P442">
        <v>9000</v>
      </c>
      <c r="Q442">
        <v>126</v>
      </c>
      <c r="R442">
        <v>1</v>
      </c>
      <c r="S442" t="s">
        <v>3824</v>
      </c>
      <c r="T442">
        <v>17</v>
      </c>
      <c r="U442">
        <v>0.5</v>
      </c>
      <c r="V442">
        <v>1000</v>
      </c>
      <c r="W442">
        <v>5270</v>
      </c>
      <c r="X442">
        <v>1</v>
      </c>
      <c r="Y442">
        <v>2006</v>
      </c>
      <c r="Z442">
        <v>1</v>
      </c>
      <c r="AA442">
        <v>0.03</v>
      </c>
    </row>
    <row r="443" spans="1:27">
      <c r="A443">
        <v>1441</v>
      </c>
      <c r="B443" t="s">
        <v>4225</v>
      </c>
      <c r="C443">
        <v>150</v>
      </c>
      <c r="D443" t="s">
        <v>3823</v>
      </c>
      <c r="E443">
        <v>1</v>
      </c>
      <c r="F443">
        <v>0.13300000000000001</v>
      </c>
      <c r="G443">
        <v>8001</v>
      </c>
      <c r="H443">
        <v>340</v>
      </c>
      <c r="I443">
        <v>1</v>
      </c>
      <c r="J443">
        <v>8000</v>
      </c>
      <c r="K443">
        <v>505</v>
      </c>
      <c r="L443">
        <v>1</v>
      </c>
      <c r="M443">
        <v>2007</v>
      </c>
      <c r="N443">
        <v>1</v>
      </c>
      <c r="O443">
        <v>0.05</v>
      </c>
      <c r="P443">
        <v>9000</v>
      </c>
      <c r="Q443">
        <v>126</v>
      </c>
      <c r="R443">
        <v>1</v>
      </c>
      <c r="S443" t="s">
        <v>3824</v>
      </c>
      <c r="T443">
        <v>17</v>
      </c>
      <c r="U443">
        <v>0.5</v>
      </c>
      <c r="V443">
        <v>1000</v>
      </c>
      <c r="W443">
        <v>5280</v>
      </c>
      <c r="X443">
        <v>1</v>
      </c>
      <c r="Y443">
        <v>2006</v>
      </c>
      <c r="Z443">
        <v>1</v>
      </c>
      <c r="AA443">
        <v>0.03</v>
      </c>
    </row>
    <row r="444" spans="1:27">
      <c r="A444">
        <v>1442</v>
      </c>
      <c r="B444" t="s">
        <v>4226</v>
      </c>
      <c r="C444">
        <v>150</v>
      </c>
      <c r="D444" t="s">
        <v>3823</v>
      </c>
      <c r="E444">
        <v>1</v>
      </c>
      <c r="F444">
        <v>0.13300000000000001</v>
      </c>
      <c r="G444">
        <v>8001</v>
      </c>
      <c r="H444">
        <v>340</v>
      </c>
      <c r="I444">
        <v>1</v>
      </c>
      <c r="J444">
        <v>8000</v>
      </c>
      <c r="K444">
        <v>510</v>
      </c>
      <c r="L444">
        <v>1</v>
      </c>
      <c r="M444">
        <v>2007</v>
      </c>
      <c r="N444">
        <v>1</v>
      </c>
      <c r="O444">
        <v>0.05</v>
      </c>
      <c r="P444">
        <v>9000</v>
      </c>
      <c r="Q444">
        <v>126</v>
      </c>
      <c r="R444">
        <v>1</v>
      </c>
      <c r="S444" t="s">
        <v>3824</v>
      </c>
      <c r="T444">
        <v>17</v>
      </c>
      <c r="U444">
        <v>0.5</v>
      </c>
      <c r="V444">
        <v>1000</v>
      </c>
      <c r="W444">
        <v>5295</v>
      </c>
      <c r="X444">
        <v>1</v>
      </c>
      <c r="Y444">
        <v>2006</v>
      </c>
      <c r="Z444">
        <v>1</v>
      </c>
      <c r="AA444">
        <v>0.03</v>
      </c>
    </row>
    <row r="445" spans="1:27">
      <c r="A445">
        <v>1443</v>
      </c>
      <c r="B445" t="s">
        <v>4227</v>
      </c>
      <c r="C445">
        <v>150</v>
      </c>
      <c r="D445" t="s">
        <v>3823</v>
      </c>
      <c r="E445">
        <v>1</v>
      </c>
      <c r="F445">
        <v>0.13300000000000001</v>
      </c>
      <c r="G445">
        <v>8001</v>
      </c>
      <c r="H445">
        <v>340</v>
      </c>
      <c r="I445">
        <v>1</v>
      </c>
      <c r="J445">
        <v>8000</v>
      </c>
      <c r="K445">
        <v>510</v>
      </c>
      <c r="L445">
        <v>1</v>
      </c>
      <c r="M445">
        <v>2007</v>
      </c>
      <c r="N445">
        <v>1</v>
      </c>
      <c r="O445">
        <v>0.05</v>
      </c>
      <c r="P445">
        <v>9000</v>
      </c>
      <c r="Q445">
        <v>126</v>
      </c>
      <c r="R445">
        <v>1</v>
      </c>
      <c r="S445" t="s">
        <v>3824</v>
      </c>
      <c r="T445">
        <v>17</v>
      </c>
      <c r="U445">
        <v>0.5</v>
      </c>
      <c r="V445">
        <v>1000</v>
      </c>
      <c r="W445">
        <v>5305</v>
      </c>
      <c r="X445">
        <v>1</v>
      </c>
      <c r="Y445">
        <v>2006</v>
      </c>
      <c r="Z445">
        <v>1</v>
      </c>
      <c r="AA445">
        <v>0.03</v>
      </c>
    </row>
    <row r="446" spans="1:27">
      <c r="A446">
        <v>1444</v>
      </c>
      <c r="B446" t="s">
        <v>4228</v>
      </c>
      <c r="C446">
        <v>150</v>
      </c>
      <c r="D446" t="s">
        <v>3823</v>
      </c>
      <c r="E446">
        <v>1</v>
      </c>
      <c r="F446">
        <v>0.13300000000000001</v>
      </c>
      <c r="G446">
        <v>8001</v>
      </c>
      <c r="H446">
        <v>340</v>
      </c>
      <c r="I446">
        <v>1</v>
      </c>
      <c r="J446">
        <v>8000</v>
      </c>
      <c r="K446">
        <v>510</v>
      </c>
      <c r="L446">
        <v>1</v>
      </c>
      <c r="M446">
        <v>2007</v>
      </c>
      <c r="N446">
        <v>1</v>
      </c>
      <c r="O446">
        <v>0.05</v>
      </c>
      <c r="P446">
        <v>9000</v>
      </c>
      <c r="Q446">
        <v>127</v>
      </c>
      <c r="R446">
        <v>1</v>
      </c>
      <c r="S446" t="s">
        <v>3824</v>
      </c>
      <c r="T446">
        <v>17</v>
      </c>
      <c r="U446">
        <v>0.5</v>
      </c>
      <c r="V446">
        <v>1000</v>
      </c>
      <c r="W446">
        <v>5315</v>
      </c>
      <c r="X446">
        <v>1</v>
      </c>
      <c r="Y446">
        <v>2006</v>
      </c>
      <c r="Z446">
        <v>1</v>
      </c>
      <c r="AA446">
        <v>0.03</v>
      </c>
    </row>
    <row r="447" spans="1:27">
      <c r="A447">
        <v>1445</v>
      </c>
      <c r="B447" t="s">
        <v>4229</v>
      </c>
      <c r="C447">
        <v>150</v>
      </c>
      <c r="D447" t="s">
        <v>3823</v>
      </c>
      <c r="E447">
        <v>1</v>
      </c>
      <c r="F447">
        <v>0.13400000000000001</v>
      </c>
      <c r="G447">
        <v>8001</v>
      </c>
      <c r="H447">
        <v>340</v>
      </c>
      <c r="I447">
        <v>1</v>
      </c>
      <c r="J447">
        <v>8000</v>
      </c>
      <c r="K447">
        <v>510</v>
      </c>
      <c r="L447">
        <v>1</v>
      </c>
      <c r="M447">
        <v>2007</v>
      </c>
      <c r="N447">
        <v>1</v>
      </c>
      <c r="O447">
        <v>0.05</v>
      </c>
      <c r="P447">
        <v>9000</v>
      </c>
      <c r="Q447">
        <v>127</v>
      </c>
      <c r="R447">
        <v>1</v>
      </c>
      <c r="S447" t="s">
        <v>3824</v>
      </c>
      <c r="T447">
        <v>17</v>
      </c>
      <c r="U447">
        <v>0.5</v>
      </c>
      <c r="V447">
        <v>1000</v>
      </c>
      <c r="W447">
        <v>5325</v>
      </c>
      <c r="X447">
        <v>1</v>
      </c>
      <c r="Y447">
        <v>2006</v>
      </c>
      <c r="Z447">
        <v>1</v>
      </c>
      <c r="AA447">
        <v>0.03</v>
      </c>
    </row>
    <row r="448" spans="1:27">
      <c r="A448">
        <v>1446</v>
      </c>
      <c r="B448" t="s">
        <v>4230</v>
      </c>
      <c r="C448">
        <v>150</v>
      </c>
      <c r="D448" t="s">
        <v>3823</v>
      </c>
      <c r="E448">
        <v>1</v>
      </c>
      <c r="F448">
        <v>0.13400000000000001</v>
      </c>
      <c r="G448">
        <v>8001</v>
      </c>
      <c r="H448">
        <v>340</v>
      </c>
      <c r="I448">
        <v>1</v>
      </c>
      <c r="J448">
        <v>8000</v>
      </c>
      <c r="K448">
        <v>510</v>
      </c>
      <c r="L448">
        <v>1</v>
      </c>
      <c r="M448">
        <v>2007</v>
      </c>
      <c r="N448">
        <v>1</v>
      </c>
      <c r="O448">
        <v>0.05</v>
      </c>
      <c r="P448">
        <v>9000</v>
      </c>
      <c r="Q448">
        <v>127</v>
      </c>
      <c r="R448">
        <v>1</v>
      </c>
      <c r="S448" t="s">
        <v>3824</v>
      </c>
      <c r="T448">
        <v>17</v>
      </c>
      <c r="U448">
        <v>0.5</v>
      </c>
      <c r="V448">
        <v>1000</v>
      </c>
      <c r="W448">
        <v>5335</v>
      </c>
      <c r="X448">
        <v>1</v>
      </c>
      <c r="Y448">
        <v>2006</v>
      </c>
      <c r="Z448">
        <v>1</v>
      </c>
      <c r="AA448">
        <v>0.03</v>
      </c>
    </row>
    <row r="449" spans="1:27">
      <c r="A449">
        <v>1447</v>
      </c>
      <c r="B449" t="s">
        <v>4231</v>
      </c>
      <c r="C449">
        <v>150</v>
      </c>
      <c r="D449" t="s">
        <v>3823</v>
      </c>
      <c r="E449">
        <v>1</v>
      </c>
      <c r="F449">
        <v>0.13400000000000001</v>
      </c>
      <c r="G449">
        <v>8001</v>
      </c>
      <c r="H449">
        <v>340</v>
      </c>
      <c r="I449">
        <v>1</v>
      </c>
      <c r="J449">
        <v>8000</v>
      </c>
      <c r="K449">
        <v>515</v>
      </c>
      <c r="L449">
        <v>1</v>
      </c>
      <c r="M449">
        <v>2007</v>
      </c>
      <c r="N449">
        <v>1</v>
      </c>
      <c r="O449">
        <v>0.05</v>
      </c>
      <c r="P449">
        <v>9000</v>
      </c>
      <c r="Q449">
        <v>128</v>
      </c>
      <c r="R449">
        <v>1</v>
      </c>
      <c r="S449" t="s">
        <v>3824</v>
      </c>
      <c r="T449">
        <v>17</v>
      </c>
      <c r="U449">
        <v>0.5</v>
      </c>
      <c r="V449">
        <v>1000</v>
      </c>
      <c r="W449">
        <v>5345</v>
      </c>
      <c r="X449">
        <v>1</v>
      </c>
      <c r="Y449">
        <v>2006</v>
      </c>
      <c r="Z449">
        <v>1</v>
      </c>
      <c r="AA449">
        <v>0.03</v>
      </c>
    </row>
    <row r="450" spans="1:27">
      <c r="A450">
        <v>1448</v>
      </c>
      <c r="B450" t="s">
        <v>4232</v>
      </c>
      <c r="C450">
        <v>150</v>
      </c>
      <c r="D450" t="s">
        <v>3823</v>
      </c>
      <c r="E450">
        <v>1</v>
      </c>
      <c r="F450">
        <v>0.13400000000000001</v>
      </c>
      <c r="G450">
        <v>8001</v>
      </c>
      <c r="H450">
        <v>345</v>
      </c>
      <c r="I450">
        <v>1</v>
      </c>
      <c r="J450">
        <v>8000</v>
      </c>
      <c r="K450">
        <v>515</v>
      </c>
      <c r="L450">
        <v>1</v>
      </c>
      <c r="M450">
        <v>2007</v>
      </c>
      <c r="N450">
        <v>1</v>
      </c>
      <c r="O450">
        <v>0.05</v>
      </c>
      <c r="P450">
        <v>9000</v>
      </c>
      <c r="Q450">
        <v>128</v>
      </c>
      <c r="R450">
        <v>1</v>
      </c>
      <c r="S450" t="s">
        <v>3824</v>
      </c>
      <c r="T450">
        <v>17</v>
      </c>
      <c r="U450">
        <v>0.5</v>
      </c>
      <c r="V450">
        <v>1000</v>
      </c>
      <c r="W450">
        <v>5360</v>
      </c>
      <c r="X450">
        <v>1</v>
      </c>
      <c r="Y450">
        <v>2006</v>
      </c>
      <c r="Z450">
        <v>1</v>
      </c>
      <c r="AA450">
        <v>0.03</v>
      </c>
    </row>
    <row r="451" spans="1:27">
      <c r="A451">
        <v>1449</v>
      </c>
      <c r="B451" t="s">
        <v>4233</v>
      </c>
      <c r="C451">
        <v>150</v>
      </c>
      <c r="D451" t="s">
        <v>3823</v>
      </c>
      <c r="E451">
        <v>1</v>
      </c>
      <c r="F451">
        <v>0.13400000000000001</v>
      </c>
      <c r="G451">
        <v>8001</v>
      </c>
      <c r="H451">
        <v>345</v>
      </c>
      <c r="I451">
        <v>1</v>
      </c>
      <c r="J451">
        <v>8000</v>
      </c>
      <c r="K451">
        <v>515</v>
      </c>
      <c r="L451">
        <v>1</v>
      </c>
      <c r="M451">
        <v>2007</v>
      </c>
      <c r="N451">
        <v>1</v>
      </c>
      <c r="O451">
        <v>0.05</v>
      </c>
      <c r="P451">
        <v>9000</v>
      </c>
      <c r="Q451">
        <v>128</v>
      </c>
      <c r="R451">
        <v>1</v>
      </c>
      <c r="S451" t="s">
        <v>3824</v>
      </c>
      <c r="T451">
        <v>17</v>
      </c>
      <c r="U451">
        <v>0.5</v>
      </c>
      <c r="V451">
        <v>1000</v>
      </c>
      <c r="W451">
        <v>5370</v>
      </c>
      <c r="X451">
        <v>1</v>
      </c>
      <c r="Y451">
        <v>2006</v>
      </c>
      <c r="Z451">
        <v>1</v>
      </c>
      <c r="AA451">
        <v>0.03</v>
      </c>
    </row>
    <row r="452" spans="1:27">
      <c r="A452">
        <v>1450</v>
      </c>
      <c r="B452" t="s">
        <v>4234</v>
      </c>
      <c r="C452">
        <v>150</v>
      </c>
      <c r="D452" t="s">
        <v>3823</v>
      </c>
      <c r="E452">
        <v>1</v>
      </c>
      <c r="F452">
        <v>0.13500000000000001</v>
      </c>
      <c r="G452">
        <v>8001</v>
      </c>
      <c r="H452">
        <v>345</v>
      </c>
      <c r="I452">
        <v>1</v>
      </c>
      <c r="J452">
        <v>8000</v>
      </c>
      <c r="K452">
        <v>515</v>
      </c>
      <c r="L452">
        <v>1</v>
      </c>
      <c r="M452">
        <v>2007</v>
      </c>
      <c r="N452">
        <v>1</v>
      </c>
      <c r="O452">
        <v>0.05</v>
      </c>
      <c r="P452">
        <v>9000</v>
      </c>
      <c r="Q452">
        <v>128</v>
      </c>
      <c r="R452">
        <v>1</v>
      </c>
      <c r="S452" t="s">
        <v>3824</v>
      </c>
      <c r="T452">
        <v>17</v>
      </c>
      <c r="U452">
        <v>0.5</v>
      </c>
      <c r="V452">
        <v>1000</v>
      </c>
      <c r="W452">
        <v>5380</v>
      </c>
      <c r="X452">
        <v>1</v>
      </c>
      <c r="Y452">
        <v>2006</v>
      </c>
      <c r="Z452">
        <v>1</v>
      </c>
      <c r="AA452">
        <v>0.03</v>
      </c>
    </row>
    <row r="453" spans="1:27">
      <c r="A453">
        <v>1451</v>
      </c>
      <c r="B453" t="s">
        <v>4235</v>
      </c>
      <c r="C453">
        <v>150</v>
      </c>
      <c r="D453" t="s">
        <v>3823</v>
      </c>
      <c r="E453">
        <v>1</v>
      </c>
      <c r="F453">
        <v>0.13500000000000001</v>
      </c>
      <c r="G453">
        <v>8001</v>
      </c>
      <c r="H453">
        <v>345</v>
      </c>
      <c r="I453">
        <v>1</v>
      </c>
      <c r="J453">
        <v>8000</v>
      </c>
      <c r="K453">
        <v>515</v>
      </c>
      <c r="L453">
        <v>1</v>
      </c>
      <c r="M453">
        <v>2007</v>
      </c>
      <c r="N453">
        <v>1</v>
      </c>
      <c r="O453">
        <v>0.05</v>
      </c>
      <c r="P453">
        <v>9000</v>
      </c>
      <c r="Q453">
        <v>129</v>
      </c>
      <c r="R453">
        <v>1</v>
      </c>
      <c r="S453" t="s">
        <v>3824</v>
      </c>
      <c r="T453">
        <v>17</v>
      </c>
      <c r="U453">
        <v>0.5</v>
      </c>
      <c r="V453">
        <v>1000</v>
      </c>
      <c r="W453">
        <v>5390</v>
      </c>
      <c r="X453">
        <v>1</v>
      </c>
      <c r="Y453">
        <v>2006</v>
      </c>
      <c r="Z453">
        <v>1</v>
      </c>
      <c r="AA453">
        <v>0.03</v>
      </c>
    </row>
    <row r="454" spans="1:27">
      <c r="A454">
        <v>1452</v>
      </c>
      <c r="B454" t="s">
        <v>4236</v>
      </c>
      <c r="C454">
        <v>150</v>
      </c>
      <c r="D454" t="s">
        <v>3823</v>
      </c>
      <c r="E454">
        <v>1</v>
      </c>
      <c r="F454">
        <v>0.13500000000000001</v>
      </c>
      <c r="G454">
        <v>8001</v>
      </c>
      <c r="H454">
        <v>345</v>
      </c>
      <c r="I454">
        <v>1</v>
      </c>
      <c r="J454">
        <v>8000</v>
      </c>
      <c r="K454">
        <v>520</v>
      </c>
      <c r="L454">
        <v>1</v>
      </c>
      <c r="M454">
        <v>2007</v>
      </c>
      <c r="N454">
        <v>1</v>
      </c>
      <c r="O454">
        <v>0.05</v>
      </c>
      <c r="P454">
        <v>9000</v>
      </c>
      <c r="Q454">
        <v>129</v>
      </c>
      <c r="R454">
        <v>1</v>
      </c>
      <c r="S454" t="s">
        <v>3824</v>
      </c>
      <c r="T454">
        <v>17</v>
      </c>
      <c r="U454">
        <v>0.5</v>
      </c>
      <c r="V454">
        <v>1000</v>
      </c>
      <c r="W454">
        <v>5400</v>
      </c>
      <c r="X454">
        <v>1</v>
      </c>
      <c r="Y454">
        <v>2006</v>
      </c>
      <c r="Z454">
        <v>1</v>
      </c>
      <c r="AA454">
        <v>0.03</v>
      </c>
    </row>
    <row r="455" spans="1:27">
      <c r="A455">
        <v>1453</v>
      </c>
      <c r="B455" t="s">
        <v>4237</v>
      </c>
      <c r="C455">
        <v>150</v>
      </c>
      <c r="D455" t="s">
        <v>3823</v>
      </c>
      <c r="E455">
        <v>1</v>
      </c>
      <c r="F455">
        <v>0.13500000000000001</v>
      </c>
      <c r="G455">
        <v>8001</v>
      </c>
      <c r="H455">
        <v>345</v>
      </c>
      <c r="I455">
        <v>1</v>
      </c>
      <c r="J455">
        <v>8000</v>
      </c>
      <c r="K455">
        <v>520</v>
      </c>
      <c r="L455">
        <v>1</v>
      </c>
      <c r="M455">
        <v>2007</v>
      </c>
      <c r="N455">
        <v>1</v>
      </c>
      <c r="O455">
        <v>0.05</v>
      </c>
      <c r="P455">
        <v>9000</v>
      </c>
      <c r="Q455">
        <v>129</v>
      </c>
      <c r="R455">
        <v>1</v>
      </c>
      <c r="S455" t="s">
        <v>3824</v>
      </c>
      <c r="T455">
        <v>17</v>
      </c>
      <c r="U455">
        <v>0.5</v>
      </c>
      <c r="V455">
        <v>1000</v>
      </c>
      <c r="W455">
        <v>5410</v>
      </c>
      <c r="X455">
        <v>1</v>
      </c>
      <c r="Y455">
        <v>2006</v>
      </c>
      <c r="Z455">
        <v>1</v>
      </c>
      <c r="AA455">
        <v>0.03</v>
      </c>
    </row>
    <row r="456" spans="1:27">
      <c r="A456">
        <v>1454</v>
      </c>
      <c r="B456" t="s">
        <v>4238</v>
      </c>
      <c r="C456">
        <v>150</v>
      </c>
      <c r="D456" t="s">
        <v>3823</v>
      </c>
      <c r="E456">
        <v>1</v>
      </c>
      <c r="F456">
        <v>0.13500000000000001</v>
      </c>
      <c r="G456">
        <v>8001</v>
      </c>
      <c r="H456">
        <v>345</v>
      </c>
      <c r="I456">
        <v>1</v>
      </c>
      <c r="J456">
        <v>8000</v>
      </c>
      <c r="K456">
        <v>520</v>
      </c>
      <c r="L456">
        <v>1</v>
      </c>
      <c r="M456">
        <v>2007</v>
      </c>
      <c r="N456">
        <v>1</v>
      </c>
      <c r="O456">
        <v>0.05</v>
      </c>
      <c r="P456">
        <v>9000</v>
      </c>
      <c r="Q456">
        <v>129</v>
      </c>
      <c r="R456">
        <v>1</v>
      </c>
      <c r="S456" t="s">
        <v>3824</v>
      </c>
      <c r="T456">
        <v>17</v>
      </c>
      <c r="U456">
        <v>0.5</v>
      </c>
      <c r="V456">
        <v>1000</v>
      </c>
      <c r="W456">
        <v>5420</v>
      </c>
      <c r="X456">
        <v>1</v>
      </c>
      <c r="Y456">
        <v>2006</v>
      </c>
      <c r="Z456">
        <v>1</v>
      </c>
      <c r="AA456">
        <v>0.03</v>
      </c>
    </row>
    <row r="457" spans="1:27">
      <c r="A457">
        <v>1455</v>
      </c>
      <c r="B457" t="s">
        <v>4239</v>
      </c>
      <c r="C457">
        <v>150</v>
      </c>
      <c r="D457" t="s">
        <v>3823</v>
      </c>
      <c r="E457">
        <v>1</v>
      </c>
      <c r="F457">
        <v>0.13500000000000001</v>
      </c>
      <c r="G457">
        <v>8001</v>
      </c>
      <c r="H457">
        <v>350</v>
      </c>
      <c r="I457">
        <v>1</v>
      </c>
      <c r="J457">
        <v>8000</v>
      </c>
      <c r="K457">
        <v>520</v>
      </c>
      <c r="L457">
        <v>1</v>
      </c>
      <c r="M457">
        <v>2007</v>
      </c>
      <c r="N457">
        <v>1</v>
      </c>
      <c r="O457">
        <v>0.05</v>
      </c>
      <c r="P457">
        <v>9000</v>
      </c>
      <c r="Q457">
        <v>130</v>
      </c>
      <c r="R457">
        <v>1</v>
      </c>
      <c r="S457" t="s">
        <v>3824</v>
      </c>
      <c r="T457">
        <v>17</v>
      </c>
      <c r="U457">
        <v>0.5</v>
      </c>
      <c r="V457">
        <v>1000</v>
      </c>
      <c r="W457">
        <v>5430</v>
      </c>
      <c r="X457">
        <v>1</v>
      </c>
      <c r="Y457">
        <v>2006</v>
      </c>
      <c r="Z457">
        <v>1</v>
      </c>
      <c r="AA457">
        <v>0.03</v>
      </c>
    </row>
    <row r="458" spans="1:27">
      <c r="A458">
        <v>1456</v>
      </c>
      <c r="B458" t="s">
        <v>4240</v>
      </c>
      <c r="C458">
        <v>150</v>
      </c>
      <c r="D458" t="s">
        <v>3823</v>
      </c>
      <c r="E458">
        <v>1</v>
      </c>
      <c r="F458">
        <v>0.13600000000000001</v>
      </c>
      <c r="G458">
        <v>8001</v>
      </c>
      <c r="H458">
        <v>350</v>
      </c>
      <c r="I458">
        <v>1</v>
      </c>
      <c r="J458">
        <v>8000</v>
      </c>
      <c r="K458">
        <v>520</v>
      </c>
      <c r="L458">
        <v>1</v>
      </c>
      <c r="M458">
        <v>2007</v>
      </c>
      <c r="N458">
        <v>1</v>
      </c>
      <c r="O458">
        <v>0.05</v>
      </c>
      <c r="P458">
        <v>9000</v>
      </c>
      <c r="Q458">
        <v>130</v>
      </c>
      <c r="R458">
        <v>1</v>
      </c>
      <c r="S458" t="s">
        <v>3824</v>
      </c>
      <c r="T458">
        <v>17</v>
      </c>
      <c r="U458">
        <v>0.5</v>
      </c>
      <c r="V458">
        <v>1000</v>
      </c>
      <c r="W458">
        <v>5440</v>
      </c>
      <c r="X458">
        <v>1</v>
      </c>
      <c r="Y458">
        <v>2006</v>
      </c>
      <c r="Z458">
        <v>1</v>
      </c>
      <c r="AA458">
        <v>0.03</v>
      </c>
    </row>
    <row r="459" spans="1:27">
      <c r="A459">
        <v>1457</v>
      </c>
      <c r="B459" t="s">
        <v>4241</v>
      </c>
      <c r="C459">
        <v>150</v>
      </c>
      <c r="D459" t="s">
        <v>3823</v>
      </c>
      <c r="E459">
        <v>1</v>
      </c>
      <c r="F459">
        <v>0.13600000000000001</v>
      </c>
      <c r="G459">
        <v>8001</v>
      </c>
      <c r="H459">
        <v>350</v>
      </c>
      <c r="I459">
        <v>1</v>
      </c>
      <c r="J459">
        <v>8000</v>
      </c>
      <c r="K459">
        <v>525</v>
      </c>
      <c r="L459">
        <v>1</v>
      </c>
      <c r="M459">
        <v>2007</v>
      </c>
      <c r="N459">
        <v>1</v>
      </c>
      <c r="O459">
        <v>0.05</v>
      </c>
      <c r="P459">
        <v>9000</v>
      </c>
      <c r="Q459">
        <v>130</v>
      </c>
      <c r="R459">
        <v>1</v>
      </c>
      <c r="S459" t="s">
        <v>3824</v>
      </c>
      <c r="T459">
        <v>17</v>
      </c>
      <c r="U459">
        <v>0.5</v>
      </c>
      <c r="V459">
        <v>1000</v>
      </c>
      <c r="W459">
        <v>5450</v>
      </c>
      <c r="X459">
        <v>1</v>
      </c>
      <c r="Y459">
        <v>2006</v>
      </c>
      <c r="Z459">
        <v>1</v>
      </c>
      <c r="AA459">
        <v>0.03</v>
      </c>
    </row>
    <row r="460" spans="1:27">
      <c r="A460">
        <v>1458</v>
      </c>
      <c r="B460" t="s">
        <v>4240</v>
      </c>
      <c r="C460">
        <v>150</v>
      </c>
      <c r="D460" t="s">
        <v>3823</v>
      </c>
      <c r="E460">
        <v>1</v>
      </c>
      <c r="F460">
        <v>0.13600000000000001</v>
      </c>
      <c r="G460">
        <v>8001</v>
      </c>
      <c r="H460">
        <v>350</v>
      </c>
      <c r="I460">
        <v>1</v>
      </c>
      <c r="J460">
        <v>8000</v>
      </c>
      <c r="K460">
        <v>525</v>
      </c>
      <c r="L460">
        <v>1</v>
      </c>
      <c r="M460">
        <v>2007</v>
      </c>
      <c r="N460">
        <v>1</v>
      </c>
      <c r="O460">
        <v>0.05</v>
      </c>
      <c r="P460">
        <v>9000</v>
      </c>
      <c r="Q460">
        <v>130</v>
      </c>
      <c r="R460">
        <v>1</v>
      </c>
      <c r="S460" t="s">
        <v>3824</v>
      </c>
      <c r="T460">
        <v>17</v>
      </c>
      <c r="U460">
        <v>0.5</v>
      </c>
      <c r="V460">
        <v>1000</v>
      </c>
      <c r="W460">
        <v>5460</v>
      </c>
      <c r="X460">
        <v>1</v>
      </c>
      <c r="Y460">
        <v>2006</v>
      </c>
      <c r="Z460">
        <v>1</v>
      </c>
      <c r="AA460">
        <v>0.03</v>
      </c>
    </row>
    <row r="461" spans="1:27">
      <c r="A461">
        <v>1459</v>
      </c>
      <c r="B461" t="s">
        <v>4242</v>
      </c>
      <c r="C461">
        <v>150</v>
      </c>
      <c r="D461" t="s">
        <v>3823</v>
      </c>
      <c r="E461">
        <v>1</v>
      </c>
      <c r="F461">
        <v>0.13600000000000001</v>
      </c>
      <c r="G461">
        <v>8001</v>
      </c>
      <c r="H461">
        <v>350</v>
      </c>
      <c r="I461">
        <v>1</v>
      </c>
      <c r="J461">
        <v>8000</v>
      </c>
      <c r="K461">
        <v>525</v>
      </c>
      <c r="L461">
        <v>1</v>
      </c>
      <c r="M461">
        <v>2007</v>
      </c>
      <c r="N461">
        <v>1</v>
      </c>
      <c r="O461">
        <v>0.05</v>
      </c>
      <c r="P461">
        <v>9000</v>
      </c>
      <c r="Q461">
        <v>131</v>
      </c>
      <c r="R461">
        <v>1</v>
      </c>
      <c r="S461" t="s">
        <v>3824</v>
      </c>
      <c r="T461">
        <v>18</v>
      </c>
      <c r="U461">
        <v>0.5</v>
      </c>
      <c r="V461">
        <v>1000</v>
      </c>
      <c r="W461">
        <v>5470</v>
      </c>
      <c r="X461">
        <v>1</v>
      </c>
      <c r="Y461">
        <v>2006</v>
      </c>
      <c r="Z461">
        <v>1</v>
      </c>
      <c r="AA461">
        <v>0.03</v>
      </c>
    </row>
    <row r="462" spans="1:27">
      <c r="A462">
        <v>1460</v>
      </c>
      <c r="B462" t="s">
        <v>4243</v>
      </c>
      <c r="C462">
        <v>150</v>
      </c>
      <c r="D462" t="s">
        <v>3823</v>
      </c>
      <c r="E462">
        <v>1</v>
      </c>
      <c r="F462">
        <v>0.13600000000000001</v>
      </c>
      <c r="G462">
        <v>8001</v>
      </c>
      <c r="H462">
        <v>350</v>
      </c>
      <c r="I462">
        <v>1</v>
      </c>
      <c r="J462">
        <v>8000</v>
      </c>
      <c r="K462">
        <v>525</v>
      </c>
      <c r="L462">
        <v>1</v>
      </c>
      <c r="M462">
        <v>2007</v>
      </c>
      <c r="N462">
        <v>1</v>
      </c>
      <c r="O462">
        <v>0.05</v>
      </c>
      <c r="P462">
        <v>9000</v>
      </c>
      <c r="Q462">
        <v>131</v>
      </c>
      <c r="R462">
        <v>1</v>
      </c>
      <c r="S462" t="s">
        <v>3824</v>
      </c>
      <c r="T462">
        <v>18</v>
      </c>
      <c r="U462">
        <v>0.5</v>
      </c>
      <c r="V462">
        <v>1000</v>
      </c>
      <c r="W462">
        <v>5480</v>
      </c>
      <c r="X462">
        <v>1</v>
      </c>
      <c r="Y462">
        <v>2006</v>
      </c>
      <c r="Z462">
        <v>1</v>
      </c>
      <c r="AA462">
        <v>0.03</v>
      </c>
    </row>
    <row r="463" spans="1:27">
      <c r="A463">
        <v>1461</v>
      </c>
      <c r="B463" t="s">
        <v>4244</v>
      </c>
      <c r="C463">
        <v>150</v>
      </c>
      <c r="D463" t="s">
        <v>3823</v>
      </c>
      <c r="E463">
        <v>1</v>
      </c>
      <c r="F463">
        <v>0.13700000000000001</v>
      </c>
      <c r="G463">
        <v>8001</v>
      </c>
      <c r="H463">
        <v>350</v>
      </c>
      <c r="I463">
        <v>1</v>
      </c>
      <c r="J463">
        <v>8000</v>
      </c>
      <c r="K463">
        <v>525</v>
      </c>
      <c r="L463">
        <v>1</v>
      </c>
      <c r="M463">
        <v>2007</v>
      </c>
      <c r="N463">
        <v>1</v>
      </c>
      <c r="O463">
        <v>0.05</v>
      </c>
      <c r="P463">
        <v>9000</v>
      </c>
      <c r="Q463">
        <v>131</v>
      </c>
      <c r="R463">
        <v>1</v>
      </c>
      <c r="S463" t="s">
        <v>3824</v>
      </c>
      <c r="T463">
        <v>18</v>
      </c>
      <c r="U463">
        <v>0.5</v>
      </c>
      <c r="V463">
        <v>1000</v>
      </c>
      <c r="W463">
        <v>5490</v>
      </c>
      <c r="X463">
        <v>1</v>
      </c>
      <c r="Y463">
        <v>2006</v>
      </c>
      <c r="Z463">
        <v>1</v>
      </c>
      <c r="AA463">
        <v>0.03</v>
      </c>
    </row>
    <row r="464" spans="1:27">
      <c r="A464">
        <v>1462</v>
      </c>
      <c r="B464" t="s">
        <v>4245</v>
      </c>
      <c r="C464">
        <v>150</v>
      </c>
      <c r="D464" t="s">
        <v>3823</v>
      </c>
      <c r="E464">
        <v>1</v>
      </c>
      <c r="F464">
        <v>0.13700000000000001</v>
      </c>
      <c r="G464">
        <v>8001</v>
      </c>
      <c r="H464">
        <v>350</v>
      </c>
      <c r="I464">
        <v>1</v>
      </c>
      <c r="J464">
        <v>8000</v>
      </c>
      <c r="K464">
        <v>530</v>
      </c>
      <c r="L464">
        <v>1</v>
      </c>
      <c r="M464">
        <v>2007</v>
      </c>
      <c r="N464">
        <v>1</v>
      </c>
      <c r="O464">
        <v>0.05</v>
      </c>
      <c r="P464">
        <v>9000</v>
      </c>
      <c r="Q464">
        <v>131</v>
      </c>
      <c r="R464">
        <v>1</v>
      </c>
      <c r="S464" t="s">
        <v>3824</v>
      </c>
      <c r="T464">
        <v>18</v>
      </c>
      <c r="U464">
        <v>0.5</v>
      </c>
      <c r="V464">
        <v>1000</v>
      </c>
      <c r="W464">
        <v>5500</v>
      </c>
      <c r="X464">
        <v>1</v>
      </c>
      <c r="Y464">
        <v>2006</v>
      </c>
      <c r="Z464">
        <v>1</v>
      </c>
      <c r="AA464">
        <v>0.03</v>
      </c>
    </row>
    <row r="465" spans="1:27">
      <c r="A465">
        <v>1463</v>
      </c>
      <c r="B465" t="s">
        <v>4246</v>
      </c>
      <c r="C465">
        <v>150</v>
      </c>
      <c r="D465" t="s">
        <v>3823</v>
      </c>
      <c r="E465">
        <v>1</v>
      </c>
      <c r="F465">
        <v>0.13700000000000001</v>
      </c>
      <c r="G465">
        <v>8001</v>
      </c>
      <c r="H465">
        <v>355</v>
      </c>
      <c r="I465">
        <v>1</v>
      </c>
      <c r="J465">
        <v>8000</v>
      </c>
      <c r="K465">
        <v>530</v>
      </c>
      <c r="L465">
        <v>1</v>
      </c>
      <c r="M465">
        <v>2007</v>
      </c>
      <c r="N465">
        <v>1</v>
      </c>
      <c r="O465">
        <v>0.05</v>
      </c>
      <c r="P465">
        <v>9000</v>
      </c>
      <c r="Q465">
        <v>132</v>
      </c>
      <c r="R465">
        <v>1</v>
      </c>
      <c r="S465" t="s">
        <v>3824</v>
      </c>
      <c r="T465">
        <v>18</v>
      </c>
      <c r="U465">
        <v>0.5</v>
      </c>
      <c r="V465">
        <v>1000</v>
      </c>
      <c r="W465">
        <v>5510</v>
      </c>
      <c r="X465">
        <v>1</v>
      </c>
      <c r="Y465">
        <v>2006</v>
      </c>
      <c r="Z465">
        <v>1</v>
      </c>
      <c r="AA465">
        <v>0.03</v>
      </c>
    </row>
    <row r="466" spans="1:27">
      <c r="A466">
        <v>1464</v>
      </c>
      <c r="B466" t="s">
        <v>4247</v>
      </c>
      <c r="C466">
        <v>150</v>
      </c>
      <c r="D466" t="s">
        <v>3823</v>
      </c>
      <c r="E466">
        <v>1</v>
      </c>
      <c r="F466">
        <v>0.13700000000000001</v>
      </c>
      <c r="G466">
        <v>8001</v>
      </c>
      <c r="H466">
        <v>355</v>
      </c>
      <c r="I466">
        <v>1</v>
      </c>
      <c r="J466">
        <v>8000</v>
      </c>
      <c r="K466">
        <v>530</v>
      </c>
      <c r="L466">
        <v>1</v>
      </c>
      <c r="M466">
        <v>2007</v>
      </c>
      <c r="N466">
        <v>1</v>
      </c>
      <c r="O466">
        <v>0.05</v>
      </c>
      <c r="P466">
        <v>9000</v>
      </c>
      <c r="Q466">
        <v>132</v>
      </c>
      <c r="R466">
        <v>1</v>
      </c>
      <c r="S466" t="s">
        <v>3824</v>
      </c>
      <c r="T466">
        <v>18</v>
      </c>
      <c r="U466">
        <v>0.5</v>
      </c>
      <c r="V466">
        <v>1000</v>
      </c>
      <c r="W466">
        <v>5520</v>
      </c>
      <c r="X466">
        <v>1</v>
      </c>
      <c r="Y466">
        <v>2006</v>
      </c>
      <c r="Z466">
        <v>1</v>
      </c>
      <c r="AA466">
        <v>0.03</v>
      </c>
    </row>
    <row r="467" spans="1:27">
      <c r="A467">
        <v>1465</v>
      </c>
      <c r="B467" t="s">
        <v>4248</v>
      </c>
      <c r="C467">
        <v>150</v>
      </c>
      <c r="D467" t="s">
        <v>3823</v>
      </c>
      <c r="E467">
        <v>1</v>
      </c>
      <c r="F467">
        <v>0.13700000000000001</v>
      </c>
      <c r="G467">
        <v>8001</v>
      </c>
      <c r="H467">
        <v>355</v>
      </c>
      <c r="I467">
        <v>1</v>
      </c>
      <c r="J467">
        <v>8000</v>
      </c>
      <c r="K467">
        <v>530</v>
      </c>
      <c r="L467">
        <v>1</v>
      </c>
      <c r="M467">
        <v>2007</v>
      </c>
      <c r="N467">
        <v>1</v>
      </c>
      <c r="O467">
        <v>0.05</v>
      </c>
      <c r="P467">
        <v>9000</v>
      </c>
      <c r="Q467">
        <v>132</v>
      </c>
      <c r="R467">
        <v>1</v>
      </c>
      <c r="S467" t="s">
        <v>3824</v>
      </c>
      <c r="T467">
        <v>18</v>
      </c>
      <c r="U467">
        <v>0.5</v>
      </c>
      <c r="V467">
        <v>1000</v>
      </c>
      <c r="W467">
        <v>5530</v>
      </c>
      <c r="X467">
        <v>1</v>
      </c>
      <c r="Y467">
        <v>2006</v>
      </c>
      <c r="Z467">
        <v>1</v>
      </c>
      <c r="AA467">
        <v>0.03</v>
      </c>
    </row>
    <row r="468" spans="1:27">
      <c r="A468">
        <v>1466</v>
      </c>
      <c r="B468" t="s">
        <v>4249</v>
      </c>
      <c r="C468">
        <v>150</v>
      </c>
      <c r="D468" t="s">
        <v>3823</v>
      </c>
      <c r="E468">
        <v>1</v>
      </c>
      <c r="F468">
        <v>0.13700000000000001</v>
      </c>
      <c r="G468">
        <v>8001</v>
      </c>
      <c r="H468">
        <v>355</v>
      </c>
      <c r="I468">
        <v>1</v>
      </c>
      <c r="J468">
        <v>8000</v>
      </c>
      <c r="K468">
        <v>530</v>
      </c>
      <c r="L468">
        <v>1</v>
      </c>
      <c r="M468">
        <v>2007</v>
      </c>
      <c r="N468">
        <v>1</v>
      </c>
      <c r="O468">
        <v>0.05</v>
      </c>
      <c r="P468">
        <v>9000</v>
      </c>
      <c r="Q468">
        <v>132</v>
      </c>
      <c r="R468">
        <v>1</v>
      </c>
      <c r="S468" t="s">
        <v>3824</v>
      </c>
      <c r="T468">
        <v>18</v>
      </c>
      <c r="U468">
        <v>0.5</v>
      </c>
      <c r="V468">
        <v>1000</v>
      </c>
      <c r="W468">
        <v>5540</v>
      </c>
      <c r="X468">
        <v>1</v>
      </c>
      <c r="Y468">
        <v>2006</v>
      </c>
      <c r="Z468">
        <v>1</v>
      </c>
      <c r="AA468">
        <v>0.03</v>
      </c>
    </row>
    <row r="469" spans="1:27">
      <c r="A469">
        <v>1467</v>
      </c>
      <c r="B469" t="s">
        <v>4250</v>
      </c>
      <c r="C469">
        <v>150</v>
      </c>
      <c r="D469" t="s">
        <v>3823</v>
      </c>
      <c r="E469">
        <v>1</v>
      </c>
      <c r="F469">
        <v>0.13800000000000001</v>
      </c>
      <c r="G469">
        <v>8001</v>
      </c>
      <c r="H469">
        <v>355</v>
      </c>
      <c r="I469">
        <v>1</v>
      </c>
      <c r="J469">
        <v>8000</v>
      </c>
      <c r="K469">
        <v>535</v>
      </c>
      <c r="L469">
        <v>1</v>
      </c>
      <c r="M469">
        <v>2007</v>
      </c>
      <c r="N469">
        <v>1</v>
      </c>
      <c r="O469">
        <v>0.05</v>
      </c>
      <c r="P469">
        <v>9000</v>
      </c>
      <c r="Q469">
        <v>133</v>
      </c>
      <c r="R469">
        <v>1</v>
      </c>
      <c r="S469" t="s">
        <v>3824</v>
      </c>
      <c r="T469">
        <v>18</v>
      </c>
      <c r="U469">
        <v>0.5</v>
      </c>
      <c r="V469">
        <v>1000</v>
      </c>
      <c r="W469">
        <v>5550</v>
      </c>
      <c r="X469">
        <v>1</v>
      </c>
      <c r="Y469">
        <v>2006</v>
      </c>
      <c r="Z469">
        <v>1</v>
      </c>
      <c r="AA469">
        <v>0.03</v>
      </c>
    </row>
    <row r="470" spans="1:27">
      <c r="A470">
        <v>1468</v>
      </c>
      <c r="B470" t="s">
        <v>4251</v>
      </c>
      <c r="C470">
        <v>150</v>
      </c>
      <c r="D470" t="s">
        <v>3823</v>
      </c>
      <c r="E470">
        <v>1</v>
      </c>
      <c r="F470">
        <v>0.13800000000000001</v>
      </c>
      <c r="G470">
        <v>8001</v>
      </c>
      <c r="H470">
        <v>355</v>
      </c>
      <c r="I470">
        <v>1</v>
      </c>
      <c r="J470">
        <v>8000</v>
      </c>
      <c r="K470">
        <v>535</v>
      </c>
      <c r="L470">
        <v>1</v>
      </c>
      <c r="M470">
        <v>2007</v>
      </c>
      <c r="N470">
        <v>1</v>
      </c>
      <c r="O470">
        <v>0.05</v>
      </c>
      <c r="P470">
        <v>9000</v>
      </c>
      <c r="Q470">
        <v>133</v>
      </c>
      <c r="R470">
        <v>1</v>
      </c>
      <c r="S470" t="s">
        <v>3824</v>
      </c>
      <c r="T470">
        <v>18</v>
      </c>
      <c r="U470">
        <v>0.5</v>
      </c>
      <c r="V470">
        <v>1000</v>
      </c>
      <c r="W470">
        <v>5560</v>
      </c>
      <c r="X470">
        <v>1</v>
      </c>
      <c r="Y470">
        <v>2006</v>
      </c>
      <c r="Z470">
        <v>1</v>
      </c>
      <c r="AA470">
        <v>0.03</v>
      </c>
    </row>
    <row r="471" spans="1:27">
      <c r="A471">
        <v>1469</v>
      </c>
      <c r="B471" t="s">
        <v>4241</v>
      </c>
      <c r="C471">
        <v>150</v>
      </c>
      <c r="D471" t="s">
        <v>3823</v>
      </c>
      <c r="E471">
        <v>1</v>
      </c>
      <c r="F471">
        <v>0.13800000000000001</v>
      </c>
      <c r="G471">
        <v>8001</v>
      </c>
      <c r="H471">
        <v>355</v>
      </c>
      <c r="I471">
        <v>1</v>
      </c>
      <c r="J471">
        <v>8000</v>
      </c>
      <c r="K471">
        <v>535</v>
      </c>
      <c r="L471">
        <v>1</v>
      </c>
      <c r="M471">
        <v>2007</v>
      </c>
      <c r="N471">
        <v>1</v>
      </c>
      <c r="O471">
        <v>0.05</v>
      </c>
      <c r="P471">
        <v>9000</v>
      </c>
      <c r="Q471">
        <v>133</v>
      </c>
      <c r="R471">
        <v>1</v>
      </c>
      <c r="S471" t="s">
        <v>3824</v>
      </c>
      <c r="T471">
        <v>18</v>
      </c>
      <c r="U471">
        <v>0.5</v>
      </c>
      <c r="V471">
        <v>1000</v>
      </c>
      <c r="W471">
        <v>5570</v>
      </c>
      <c r="X471">
        <v>1</v>
      </c>
      <c r="Y471">
        <v>2006</v>
      </c>
      <c r="Z471">
        <v>1</v>
      </c>
      <c r="AA471">
        <v>0.03</v>
      </c>
    </row>
    <row r="472" spans="1:27">
      <c r="A472">
        <v>1470</v>
      </c>
      <c r="B472" t="s">
        <v>4252</v>
      </c>
      <c r="C472">
        <v>150</v>
      </c>
      <c r="D472" t="s">
        <v>3823</v>
      </c>
      <c r="E472">
        <v>1</v>
      </c>
      <c r="F472">
        <v>0.13800000000000001</v>
      </c>
      <c r="G472">
        <v>8001</v>
      </c>
      <c r="H472">
        <v>355</v>
      </c>
      <c r="I472">
        <v>1</v>
      </c>
      <c r="J472">
        <v>8000</v>
      </c>
      <c r="K472">
        <v>535</v>
      </c>
      <c r="L472">
        <v>1</v>
      </c>
      <c r="M472">
        <v>2007</v>
      </c>
      <c r="N472">
        <v>1</v>
      </c>
      <c r="O472">
        <v>0.05</v>
      </c>
      <c r="P472">
        <v>9000</v>
      </c>
      <c r="Q472">
        <v>133</v>
      </c>
      <c r="R472">
        <v>1</v>
      </c>
      <c r="S472" t="s">
        <v>3824</v>
      </c>
      <c r="T472">
        <v>18</v>
      </c>
      <c r="U472">
        <v>0.5</v>
      </c>
      <c r="V472">
        <v>1000</v>
      </c>
      <c r="W472">
        <v>5580</v>
      </c>
      <c r="X472">
        <v>1</v>
      </c>
      <c r="Y472">
        <v>2006</v>
      </c>
      <c r="Z472">
        <v>1</v>
      </c>
      <c r="AA472">
        <v>0.03</v>
      </c>
    </row>
    <row r="473" spans="1:27">
      <c r="A473">
        <v>1471</v>
      </c>
      <c r="B473" t="s">
        <v>4253</v>
      </c>
      <c r="C473">
        <v>150</v>
      </c>
      <c r="D473" t="s">
        <v>3823</v>
      </c>
      <c r="E473">
        <v>1</v>
      </c>
      <c r="F473">
        <v>0.13800000000000001</v>
      </c>
      <c r="G473">
        <v>8001</v>
      </c>
      <c r="H473">
        <v>360</v>
      </c>
      <c r="I473">
        <v>1</v>
      </c>
      <c r="J473">
        <v>8000</v>
      </c>
      <c r="K473">
        <v>535</v>
      </c>
      <c r="L473">
        <v>1</v>
      </c>
      <c r="M473">
        <v>2007</v>
      </c>
      <c r="N473">
        <v>1</v>
      </c>
      <c r="O473">
        <v>0.05</v>
      </c>
      <c r="P473">
        <v>9000</v>
      </c>
      <c r="Q473">
        <v>134</v>
      </c>
      <c r="R473">
        <v>1</v>
      </c>
      <c r="S473" t="s">
        <v>3824</v>
      </c>
      <c r="T473">
        <v>18</v>
      </c>
      <c r="U473">
        <v>0.5</v>
      </c>
      <c r="V473">
        <v>1000</v>
      </c>
      <c r="W473">
        <v>5590</v>
      </c>
      <c r="X473">
        <v>1</v>
      </c>
      <c r="Y473">
        <v>2006</v>
      </c>
      <c r="Z473">
        <v>1</v>
      </c>
      <c r="AA473">
        <v>0.03</v>
      </c>
    </row>
    <row r="474" spans="1:27">
      <c r="A474">
        <v>1472</v>
      </c>
      <c r="B474" t="s">
        <v>4251</v>
      </c>
      <c r="C474">
        <v>150</v>
      </c>
      <c r="D474" t="s">
        <v>3823</v>
      </c>
      <c r="E474">
        <v>1</v>
      </c>
      <c r="F474">
        <v>0.13800000000000001</v>
      </c>
      <c r="G474">
        <v>8001</v>
      </c>
      <c r="H474">
        <v>360</v>
      </c>
      <c r="I474">
        <v>1</v>
      </c>
      <c r="J474">
        <v>8000</v>
      </c>
      <c r="K474">
        <v>535</v>
      </c>
      <c r="L474">
        <v>1</v>
      </c>
      <c r="M474">
        <v>2007</v>
      </c>
      <c r="N474">
        <v>1</v>
      </c>
      <c r="O474">
        <v>0.05</v>
      </c>
      <c r="P474">
        <v>9000</v>
      </c>
      <c r="Q474">
        <v>134</v>
      </c>
      <c r="R474">
        <v>1</v>
      </c>
      <c r="S474" t="s">
        <v>3824</v>
      </c>
      <c r="T474">
        <v>18</v>
      </c>
      <c r="U474">
        <v>0.5</v>
      </c>
      <c r="V474">
        <v>1000</v>
      </c>
      <c r="W474">
        <v>5600</v>
      </c>
      <c r="X474">
        <v>1</v>
      </c>
      <c r="Y474">
        <v>2006</v>
      </c>
      <c r="Z474">
        <v>1</v>
      </c>
      <c r="AA474">
        <v>0.03</v>
      </c>
    </row>
    <row r="475" spans="1:27">
      <c r="A475">
        <v>1473</v>
      </c>
      <c r="B475" t="s">
        <v>4254</v>
      </c>
      <c r="C475">
        <v>150</v>
      </c>
      <c r="D475" t="s">
        <v>3823</v>
      </c>
      <c r="E475">
        <v>1</v>
      </c>
      <c r="F475">
        <v>0.13900000000000001</v>
      </c>
      <c r="G475">
        <v>8001</v>
      </c>
      <c r="H475">
        <v>360</v>
      </c>
      <c r="I475">
        <v>1</v>
      </c>
      <c r="J475">
        <v>8000</v>
      </c>
      <c r="K475">
        <v>540</v>
      </c>
      <c r="L475">
        <v>1</v>
      </c>
      <c r="M475">
        <v>2007</v>
      </c>
      <c r="N475">
        <v>1</v>
      </c>
      <c r="O475">
        <v>0.05</v>
      </c>
      <c r="P475">
        <v>9000</v>
      </c>
      <c r="Q475">
        <v>134</v>
      </c>
      <c r="R475">
        <v>1</v>
      </c>
      <c r="S475" t="s">
        <v>3824</v>
      </c>
      <c r="T475">
        <v>18</v>
      </c>
      <c r="U475">
        <v>0.5</v>
      </c>
      <c r="V475">
        <v>1000</v>
      </c>
      <c r="W475">
        <v>5610</v>
      </c>
      <c r="X475">
        <v>1</v>
      </c>
      <c r="Y475">
        <v>2006</v>
      </c>
      <c r="Z475">
        <v>1</v>
      </c>
      <c r="AA475">
        <v>0.03</v>
      </c>
    </row>
    <row r="476" spans="1:27">
      <c r="A476">
        <v>1474</v>
      </c>
      <c r="B476" t="s">
        <v>4255</v>
      </c>
      <c r="C476">
        <v>150</v>
      </c>
      <c r="D476" t="s">
        <v>3823</v>
      </c>
      <c r="E476">
        <v>1</v>
      </c>
      <c r="F476">
        <v>0.13900000000000001</v>
      </c>
      <c r="G476">
        <v>8001</v>
      </c>
      <c r="H476">
        <v>360</v>
      </c>
      <c r="I476">
        <v>1</v>
      </c>
      <c r="J476">
        <v>8000</v>
      </c>
      <c r="K476">
        <v>540</v>
      </c>
      <c r="L476">
        <v>1</v>
      </c>
      <c r="M476">
        <v>2007</v>
      </c>
      <c r="N476">
        <v>1</v>
      </c>
      <c r="O476">
        <v>0.05</v>
      </c>
      <c r="P476">
        <v>9000</v>
      </c>
      <c r="Q476">
        <v>134</v>
      </c>
      <c r="R476">
        <v>1</v>
      </c>
      <c r="S476" t="s">
        <v>3824</v>
      </c>
      <c r="T476">
        <v>18</v>
      </c>
      <c r="U476">
        <v>0.5</v>
      </c>
      <c r="V476">
        <v>1000</v>
      </c>
      <c r="W476">
        <v>5615</v>
      </c>
      <c r="X476">
        <v>1</v>
      </c>
      <c r="Y476">
        <v>2006</v>
      </c>
      <c r="Z476">
        <v>1</v>
      </c>
      <c r="AA476">
        <v>0.03</v>
      </c>
    </row>
    <row r="477" spans="1:27">
      <c r="A477">
        <v>1475</v>
      </c>
      <c r="B477" t="s">
        <v>4256</v>
      </c>
      <c r="C477">
        <v>150</v>
      </c>
      <c r="D477" t="s">
        <v>3823</v>
      </c>
      <c r="E477">
        <v>1</v>
      </c>
      <c r="F477">
        <v>0.13900000000000001</v>
      </c>
      <c r="G477">
        <v>8001</v>
      </c>
      <c r="H477">
        <v>360</v>
      </c>
      <c r="I477">
        <v>1</v>
      </c>
      <c r="J477">
        <v>8000</v>
      </c>
      <c r="K477">
        <v>540</v>
      </c>
      <c r="L477">
        <v>1</v>
      </c>
      <c r="M477">
        <v>2007</v>
      </c>
      <c r="N477">
        <v>1</v>
      </c>
      <c r="O477">
        <v>0.05</v>
      </c>
      <c r="P477">
        <v>9000</v>
      </c>
      <c r="Q477">
        <v>134</v>
      </c>
      <c r="R477">
        <v>1</v>
      </c>
      <c r="S477" t="s">
        <v>3824</v>
      </c>
      <c r="T477">
        <v>18</v>
      </c>
      <c r="U477">
        <v>0.5</v>
      </c>
      <c r="V477">
        <v>1000</v>
      </c>
      <c r="W477">
        <v>5625</v>
      </c>
      <c r="X477">
        <v>1</v>
      </c>
      <c r="Y477">
        <v>2006</v>
      </c>
      <c r="Z477">
        <v>1</v>
      </c>
      <c r="AA477">
        <v>0.03</v>
      </c>
    </row>
    <row r="478" spans="1:27">
      <c r="A478">
        <v>1476</v>
      </c>
      <c r="B478" t="s">
        <v>4257</v>
      </c>
      <c r="C478">
        <v>150</v>
      </c>
      <c r="D478" t="s">
        <v>3823</v>
      </c>
      <c r="E478">
        <v>1</v>
      </c>
      <c r="F478">
        <v>0.13900000000000001</v>
      </c>
      <c r="G478">
        <v>8001</v>
      </c>
      <c r="H478">
        <v>360</v>
      </c>
      <c r="I478">
        <v>1</v>
      </c>
      <c r="J478">
        <v>8000</v>
      </c>
      <c r="K478">
        <v>540</v>
      </c>
      <c r="L478">
        <v>1</v>
      </c>
      <c r="M478">
        <v>2007</v>
      </c>
      <c r="N478">
        <v>1</v>
      </c>
      <c r="O478">
        <v>0.05</v>
      </c>
      <c r="P478">
        <v>9000</v>
      </c>
      <c r="Q478">
        <v>135</v>
      </c>
      <c r="R478">
        <v>1</v>
      </c>
      <c r="S478" t="s">
        <v>3824</v>
      </c>
      <c r="T478">
        <v>18</v>
      </c>
      <c r="U478">
        <v>0.5</v>
      </c>
      <c r="V478">
        <v>1000</v>
      </c>
      <c r="W478">
        <v>5635</v>
      </c>
      <c r="X478">
        <v>1</v>
      </c>
      <c r="Y478">
        <v>2006</v>
      </c>
      <c r="Z478">
        <v>1</v>
      </c>
      <c r="AA478">
        <v>0.03</v>
      </c>
    </row>
    <row r="479" spans="1:27">
      <c r="A479">
        <v>1477</v>
      </c>
      <c r="B479" t="s">
        <v>4258</v>
      </c>
      <c r="C479">
        <v>150</v>
      </c>
      <c r="D479" t="s">
        <v>3823</v>
      </c>
      <c r="E479">
        <v>1</v>
      </c>
      <c r="F479">
        <v>0.13900000000000001</v>
      </c>
      <c r="G479">
        <v>8001</v>
      </c>
      <c r="H479">
        <v>360</v>
      </c>
      <c r="I479">
        <v>1</v>
      </c>
      <c r="J479">
        <v>8000</v>
      </c>
      <c r="K479">
        <v>540</v>
      </c>
      <c r="L479">
        <v>1</v>
      </c>
      <c r="M479">
        <v>2007</v>
      </c>
      <c r="N479">
        <v>1</v>
      </c>
      <c r="O479">
        <v>0.05</v>
      </c>
      <c r="P479">
        <v>9000</v>
      </c>
      <c r="Q479">
        <v>135</v>
      </c>
      <c r="R479">
        <v>1</v>
      </c>
      <c r="S479" t="s">
        <v>3824</v>
      </c>
      <c r="T479">
        <v>18</v>
      </c>
      <c r="U479">
        <v>0.5</v>
      </c>
      <c r="V479">
        <v>1000</v>
      </c>
      <c r="W479">
        <v>5645</v>
      </c>
      <c r="X479">
        <v>1</v>
      </c>
      <c r="Y479">
        <v>2006</v>
      </c>
      <c r="Z479">
        <v>1</v>
      </c>
      <c r="AA479">
        <v>0.03</v>
      </c>
    </row>
    <row r="480" spans="1:27">
      <c r="A480">
        <v>1478</v>
      </c>
      <c r="B480" t="s">
        <v>4246</v>
      </c>
      <c r="C480">
        <v>150</v>
      </c>
      <c r="D480" t="s">
        <v>3823</v>
      </c>
      <c r="E480">
        <v>1</v>
      </c>
      <c r="F480">
        <v>0.13900000000000001</v>
      </c>
      <c r="G480">
        <v>8001</v>
      </c>
      <c r="H480">
        <v>360</v>
      </c>
      <c r="I480">
        <v>1</v>
      </c>
      <c r="J480">
        <v>8000</v>
      </c>
      <c r="K480">
        <v>545</v>
      </c>
      <c r="L480">
        <v>1</v>
      </c>
      <c r="M480">
        <v>2007</v>
      </c>
      <c r="N480">
        <v>1</v>
      </c>
      <c r="O480">
        <v>0.05</v>
      </c>
      <c r="P480">
        <v>9000</v>
      </c>
      <c r="Q480">
        <v>135</v>
      </c>
      <c r="R480">
        <v>1</v>
      </c>
      <c r="S480" t="s">
        <v>3824</v>
      </c>
      <c r="T480">
        <v>18</v>
      </c>
      <c r="U480">
        <v>0.5</v>
      </c>
      <c r="V480">
        <v>1000</v>
      </c>
      <c r="W480">
        <v>5655</v>
      </c>
      <c r="X480">
        <v>1</v>
      </c>
      <c r="Y480">
        <v>2006</v>
      </c>
      <c r="Z480">
        <v>1</v>
      </c>
      <c r="AA480">
        <v>0.03</v>
      </c>
    </row>
    <row r="481" spans="1:27">
      <c r="A481">
        <v>1479</v>
      </c>
      <c r="B481" t="s">
        <v>4259</v>
      </c>
      <c r="C481">
        <v>150</v>
      </c>
      <c r="D481" t="s">
        <v>3823</v>
      </c>
      <c r="E481">
        <v>1</v>
      </c>
      <c r="F481">
        <v>0.14000000000000001</v>
      </c>
      <c r="G481">
        <v>8001</v>
      </c>
      <c r="H481">
        <v>360</v>
      </c>
      <c r="I481">
        <v>1</v>
      </c>
      <c r="J481">
        <v>8000</v>
      </c>
      <c r="K481">
        <v>545</v>
      </c>
      <c r="L481">
        <v>1</v>
      </c>
      <c r="M481">
        <v>2007</v>
      </c>
      <c r="N481">
        <v>1</v>
      </c>
      <c r="O481">
        <v>0.05</v>
      </c>
      <c r="P481">
        <v>9000</v>
      </c>
      <c r="Q481">
        <v>135</v>
      </c>
      <c r="R481">
        <v>1</v>
      </c>
      <c r="S481" t="s">
        <v>3824</v>
      </c>
      <c r="T481">
        <v>18</v>
      </c>
      <c r="U481">
        <v>0.5</v>
      </c>
      <c r="V481">
        <v>1000</v>
      </c>
      <c r="W481">
        <v>5665</v>
      </c>
      <c r="X481">
        <v>1</v>
      </c>
      <c r="Y481">
        <v>2006</v>
      </c>
      <c r="Z481">
        <v>1</v>
      </c>
      <c r="AA481">
        <v>0.03</v>
      </c>
    </row>
    <row r="482" spans="1:27">
      <c r="A482">
        <v>1480</v>
      </c>
      <c r="B482" t="s">
        <v>4260</v>
      </c>
      <c r="C482">
        <v>150</v>
      </c>
      <c r="D482" t="s">
        <v>3823</v>
      </c>
      <c r="E482">
        <v>1</v>
      </c>
      <c r="F482">
        <v>0.14000000000000001</v>
      </c>
      <c r="G482">
        <v>8001</v>
      </c>
      <c r="H482">
        <v>365</v>
      </c>
      <c r="I482">
        <v>1</v>
      </c>
      <c r="J482">
        <v>8000</v>
      </c>
      <c r="K482">
        <v>545</v>
      </c>
      <c r="L482">
        <v>1</v>
      </c>
      <c r="M482">
        <v>2007</v>
      </c>
      <c r="N482">
        <v>1</v>
      </c>
      <c r="O482">
        <v>0.05</v>
      </c>
      <c r="P482">
        <v>9000</v>
      </c>
      <c r="Q482">
        <v>136</v>
      </c>
      <c r="R482">
        <v>1</v>
      </c>
      <c r="S482" t="s">
        <v>3824</v>
      </c>
      <c r="T482">
        <v>18</v>
      </c>
      <c r="U482">
        <v>0.5</v>
      </c>
      <c r="V482">
        <v>1000</v>
      </c>
      <c r="W482">
        <v>5670</v>
      </c>
      <c r="X482">
        <v>1</v>
      </c>
      <c r="Y482">
        <v>2006</v>
      </c>
      <c r="Z482">
        <v>1</v>
      </c>
      <c r="AA482">
        <v>0.03</v>
      </c>
    </row>
    <row r="483" spans="1:27">
      <c r="A483">
        <v>1481</v>
      </c>
      <c r="B483" t="s">
        <v>4261</v>
      </c>
      <c r="C483">
        <v>150</v>
      </c>
      <c r="D483" t="s">
        <v>3823</v>
      </c>
      <c r="E483">
        <v>1</v>
      </c>
      <c r="F483">
        <v>0.14000000000000001</v>
      </c>
      <c r="G483">
        <v>8001</v>
      </c>
      <c r="H483">
        <v>365</v>
      </c>
      <c r="I483">
        <v>1</v>
      </c>
      <c r="J483">
        <v>8000</v>
      </c>
      <c r="K483">
        <v>545</v>
      </c>
      <c r="L483">
        <v>1</v>
      </c>
      <c r="M483">
        <v>2007</v>
      </c>
      <c r="N483">
        <v>1</v>
      </c>
      <c r="O483">
        <v>0.05</v>
      </c>
      <c r="P483">
        <v>9000</v>
      </c>
      <c r="Q483">
        <v>136</v>
      </c>
      <c r="R483">
        <v>1</v>
      </c>
      <c r="S483" t="s">
        <v>3824</v>
      </c>
      <c r="T483">
        <v>18</v>
      </c>
      <c r="U483">
        <v>0.5</v>
      </c>
      <c r="V483">
        <v>1000</v>
      </c>
      <c r="W483">
        <v>5680</v>
      </c>
      <c r="X483">
        <v>1</v>
      </c>
      <c r="Y483">
        <v>2006</v>
      </c>
      <c r="Z483">
        <v>1</v>
      </c>
      <c r="AA483">
        <v>0.03</v>
      </c>
    </row>
    <row r="484" spans="1:27">
      <c r="A484">
        <v>1482</v>
      </c>
      <c r="B484" t="s">
        <v>4262</v>
      </c>
      <c r="C484">
        <v>150</v>
      </c>
      <c r="D484" t="s">
        <v>3823</v>
      </c>
      <c r="E484">
        <v>1</v>
      </c>
      <c r="F484">
        <v>0.14000000000000001</v>
      </c>
      <c r="G484">
        <v>8001</v>
      </c>
      <c r="H484">
        <v>365</v>
      </c>
      <c r="I484">
        <v>1</v>
      </c>
      <c r="J484">
        <v>8000</v>
      </c>
      <c r="K484">
        <v>545</v>
      </c>
      <c r="L484">
        <v>1</v>
      </c>
      <c r="M484">
        <v>2007</v>
      </c>
      <c r="N484">
        <v>1</v>
      </c>
      <c r="O484">
        <v>0.05</v>
      </c>
      <c r="P484">
        <v>9000</v>
      </c>
      <c r="Q484">
        <v>136</v>
      </c>
      <c r="R484">
        <v>1</v>
      </c>
      <c r="S484" t="s">
        <v>3824</v>
      </c>
      <c r="T484">
        <v>18</v>
      </c>
      <c r="U484">
        <v>0.5</v>
      </c>
      <c r="V484">
        <v>1000</v>
      </c>
      <c r="W484">
        <v>5690</v>
      </c>
      <c r="X484">
        <v>1</v>
      </c>
      <c r="Y484">
        <v>2006</v>
      </c>
      <c r="Z484">
        <v>1</v>
      </c>
      <c r="AA484">
        <v>0.03</v>
      </c>
    </row>
    <row r="485" spans="1:27">
      <c r="A485">
        <v>1483</v>
      </c>
      <c r="B485" t="s">
        <v>4263</v>
      </c>
      <c r="C485">
        <v>150</v>
      </c>
      <c r="D485" t="s">
        <v>3823</v>
      </c>
      <c r="E485">
        <v>1</v>
      </c>
      <c r="F485">
        <v>0.14000000000000001</v>
      </c>
      <c r="G485">
        <v>8001</v>
      </c>
      <c r="H485">
        <v>365</v>
      </c>
      <c r="I485">
        <v>1</v>
      </c>
      <c r="J485">
        <v>8000</v>
      </c>
      <c r="K485">
        <v>545</v>
      </c>
      <c r="L485">
        <v>1</v>
      </c>
      <c r="M485">
        <v>2007</v>
      </c>
      <c r="N485">
        <v>1</v>
      </c>
      <c r="O485">
        <v>0.05</v>
      </c>
      <c r="P485">
        <v>9000</v>
      </c>
      <c r="Q485">
        <v>136</v>
      </c>
      <c r="R485">
        <v>1</v>
      </c>
      <c r="S485" t="s">
        <v>3824</v>
      </c>
      <c r="T485">
        <v>18</v>
      </c>
      <c r="U485">
        <v>0.5</v>
      </c>
      <c r="V485">
        <v>1000</v>
      </c>
      <c r="W485">
        <v>5700</v>
      </c>
      <c r="X485">
        <v>1</v>
      </c>
      <c r="Y485">
        <v>2006</v>
      </c>
      <c r="Z485">
        <v>1</v>
      </c>
      <c r="AA485">
        <v>0.03</v>
      </c>
    </row>
    <row r="486" spans="1:27">
      <c r="A486">
        <v>1484</v>
      </c>
      <c r="B486" t="s">
        <v>4257</v>
      </c>
      <c r="C486">
        <v>150</v>
      </c>
      <c r="D486" t="s">
        <v>3823</v>
      </c>
      <c r="E486">
        <v>1</v>
      </c>
      <c r="F486">
        <v>0.14000000000000001</v>
      </c>
      <c r="G486">
        <v>8001</v>
      </c>
      <c r="H486">
        <v>365</v>
      </c>
      <c r="I486">
        <v>1</v>
      </c>
      <c r="J486">
        <v>8000</v>
      </c>
      <c r="K486">
        <v>550</v>
      </c>
      <c r="L486">
        <v>1</v>
      </c>
      <c r="M486">
        <v>2007</v>
      </c>
      <c r="N486">
        <v>1</v>
      </c>
      <c r="O486">
        <v>0.05</v>
      </c>
      <c r="P486">
        <v>9000</v>
      </c>
      <c r="Q486">
        <v>137</v>
      </c>
      <c r="R486">
        <v>1</v>
      </c>
      <c r="S486" t="s">
        <v>3824</v>
      </c>
      <c r="T486">
        <v>18</v>
      </c>
      <c r="U486">
        <v>0.5</v>
      </c>
      <c r="V486">
        <v>1000</v>
      </c>
      <c r="W486">
        <v>5710</v>
      </c>
      <c r="X486">
        <v>1</v>
      </c>
      <c r="Y486">
        <v>2006</v>
      </c>
      <c r="Z486">
        <v>1</v>
      </c>
      <c r="AA486">
        <v>0.03</v>
      </c>
    </row>
    <row r="487" spans="1:27">
      <c r="A487">
        <v>1485</v>
      </c>
      <c r="B487" t="s">
        <v>4264</v>
      </c>
      <c r="C487">
        <v>150</v>
      </c>
      <c r="D487" t="s">
        <v>3823</v>
      </c>
      <c r="E487">
        <v>1</v>
      </c>
      <c r="F487">
        <v>0.14099999999999999</v>
      </c>
      <c r="G487">
        <v>8001</v>
      </c>
      <c r="H487">
        <v>365</v>
      </c>
      <c r="I487">
        <v>1</v>
      </c>
      <c r="J487">
        <v>8000</v>
      </c>
      <c r="K487">
        <v>550</v>
      </c>
      <c r="L487">
        <v>1</v>
      </c>
      <c r="M487">
        <v>2007</v>
      </c>
      <c r="N487">
        <v>1</v>
      </c>
      <c r="O487">
        <v>0.05</v>
      </c>
      <c r="P487">
        <v>9000</v>
      </c>
      <c r="Q487">
        <v>137</v>
      </c>
      <c r="R487">
        <v>1</v>
      </c>
      <c r="S487" t="s">
        <v>3824</v>
      </c>
      <c r="T487">
        <v>18</v>
      </c>
      <c r="U487">
        <v>0.5</v>
      </c>
      <c r="V487">
        <v>1000</v>
      </c>
      <c r="W487">
        <v>5715</v>
      </c>
      <c r="X487">
        <v>1</v>
      </c>
      <c r="Y487">
        <v>2006</v>
      </c>
      <c r="Z487">
        <v>1</v>
      </c>
      <c r="AA487">
        <v>0.03</v>
      </c>
    </row>
    <row r="488" spans="1:27">
      <c r="A488">
        <v>1486</v>
      </c>
      <c r="B488" t="s">
        <v>4265</v>
      </c>
      <c r="C488">
        <v>150</v>
      </c>
      <c r="D488" t="s">
        <v>3823</v>
      </c>
      <c r="E488">
        <v>1</v>
      </c>
      <c r="F488">
        <v>0.14099999999999999</v>
      </c>
      <c r="G488">
        <v>8001</v>
      </c>
      <c r="H488">
        <v>365</v>
      </c>
      <c r="I488">
        <v>1</v>
      </c>
      <c r="J488">
        <v>8000</v>
      </c>
      <c r="K488">
        <v>550</v>
      </c>
      <c r="L488">
        <v>1</v>
      </c>
      <c r="M488">
        <v>2007</v>
      </c>
      <c r="N488">
        <v>1</v>
      </c>
      <c r="O488">
        <v>0.05</v>
      </c>
      <c r="P488">
        <v>9000</v>
      </c>
      <c r="Q488">
        <v>137</v>
      </c>
      <c r="R488">
        <v>1</v>
      </c>
      <c r="S488" t="s">
        <v>3824</v>
      </c>
      <c r="T488">
        <v>18</v>
      </c>
      <c r="U488">
        <v>0.5</v>
      </c>
      <c r="V488">
        <v>1000</v>
      </c>
      <c r="W488">
        <v>5725</v>
      </c>
      <c r="X488">
        <v>1</v>
      </c>
      <c r="Y488">
        <v>2006</v>
      </c>
      <c r="Z488">
        <v>1</v>
      </c>
      <c r="AA488">
        <v>0.03</v>
      </c>
    </row>
    <row r="489" spans="1:27">
      <c r="A489">
        <v>1487</v>
      </c>
      <c r="B489" t="s">
        <v>4266</v>
      </c>
      <c r="C489">
        <v>150</v>
      </c>
      <c r="D489" t="s">
        <v>3823</v>
      </c>
      <c r="E489">
        <v>1</v>
      </c>
      <c r="F489">
        <v>0.14099999999999999</v>
      </c>
      <c r="G489">
        <v>8001</v>
      </c>
      <c r="H489">
        <v>365</v>
      </c>
      <c r="I489">
        <v>1</v>
      </c>
      <c r="J489">
        <v>8000</v>
      </c>
      <c r="K489">
        <v>550</v>
      </c>
      <c r="L489">
        <v>1</v>
      </c>
      <c r="M489">
        <v>2007</v>
      </c>
      <c r="N489">
        <v>1</v>
      </c>
      <c r="O489">
        <v>0.05</v>
      </c>
      <c r="P489">
        <v>9000</v>
      </c>
      <c r="Q489">
        <v>137</v>
      </c>
      <c r="R489">
        <v>1</v>
      </c>
      <c r="S489" t="s">
        <v>3824</v>
      </c>
      <c r="T489">
        <v>18</v>
      </c>
      <c r="U489">
        <v>0.5</v>
      </c>
      <c r="V489">
        <v>1000</v>
      </c>
      <c r="W489">
        <v>5735</v>
      </c>
      <c r="X489">
        <v>1</v>
      </c>
      <c r="Y489">
        <v>2006</v>
      </c>
      <c r="Z489">
        <v>1</v>
      </c>
      <c r="AA489">
        <v>0.03</v>
      </c>
    </row>
    <row r="490" spans="1:27">
      <c r="A490">
        <v>1488</v>
      </c>
      <c r="B490" t="s">
        <v>4267</v>
      </c>
      <c r="C490">
        <v>150</v>
      </c>
      <c r="D490" t="s">
        <v>3823</v>
      </c>
      <c r="E490">
        <v>1</v>
      </c>
      <c r="F490">
        <v>0.14099999999999999</v>
      </c>
      <c r="G490">
        <v>8001</v>
      </c>
      <c r="H490">
        <v>365</v>
      </c>
      <c r="I490">
        <v>1</v>
      </c>
      <c r="J490">
        <v>8000</v>
      </c>
      <c r="K490">
        <v>550</v>
      </c>
      <c r="L490">
        <v>1</v>
      </c>
      <c r="M490">
        <v>2007</v>
      </c>
      <c r="N490">
        <v>1</v>
      </c>
      <c r="O490">
        <v>0.05</v>
      </c>
      <c r="P490">
        <v>9000</v>
      </c>
      <c r="Q490">
        <v>137</v>
      </c>
      <c r="R490">
        <v>1</v>
      </c>
      <c r="S490" t="s">
        <v>3824</v>
      </c>
      <c r="T490">
        <v>18</v>
      </c>
      <c r="U490">
        <v>0.5</v>
      </c>
      <c r="V490">
        <v>1000</v>
      </c>
      <c r="W490">
        <v>5740</v>
      </c>
      <c r="X490">
        <v>1</v>
      </c>
      <c r="Y490">
        <v>2006</v>
      </c>
      <c r="Z490">
        <v>1</v>
      </c>
      <c r="AA490">
        <v>0.03</v>
      </c>
    </row>
    <row r="491" spans="1:27">
      <c r="A491">
        <v>1489</v>
      </c>
      <c r="B491" t="s">
        <v>4268</v>
      </c>
      <c r="C491">
        <v>150</v>
      </c>
      <c r="D491" t="s">
        <v>3823</v>
      </c>
      <c r="E491">
        <v>1</v>
      </c>
      <c r="F491">
        <v>0.14099999999999999</v>
      </c>
      <c r="G491">
        <v>8001</v>
      </c>
      <c r="H491">
        <v>370</v>
      </c>
      <c r="I491">
        <v>1</v>
      </c>
      <c r="J491">
        <v>8000</v>
      </c>
      <c r="K491">
        <v>550</v>
      </c>
      <c r="L491">
        <v>1</v>
      </c>
      <c r="M491">
        <v>2007</v>
      </c>
      <c r="N491">
        <v>1</v>
      </c>
      <c r="O491">
        <v>0.05</v>
      </c>
      <c r="P491">
        <v>9000</v>
      </c>
      <c r="Q491">
        <v>138</v>
      </c>
      <c r="R491">
        <v>1</v>
      </c>
      <c r="S491" t="s">
        <v>3824</v>
      </c>
      <c r="T491">
        <v>18</v>
      </c>
      <c r="U491">
        <v>0.5</v>
      </c>
      <c r="V491">
        <v>1000</v>
      </c>
      <c r="W491">
        <v>5750</v>
      </c>
      <c r="X491">
        <v>1</v>
      </c>
      <c r="Y491">
        <v>2006</v>
      </c>
      <c r="Z491">
        <v>1</v>
      </c>
      <c r="AA491">
        <v>0.03</v>
      </c>
    </row>
    <row r="492" spans="1:27">
      <c r="A492">
        <v>1490</v>
      </c>
      <c r="B492" t="s">
        <v>4269</v>
      </c>
      <c r="C492">
        <v>150</v>
      </c>
      <c r="D492" t="s">
        <v>3823</v>
      </c>
      <c r="E492">
        <v>1</v>
      </c>
      <c r="F492">
        <v>0.14099999999999999</v>
      </c>
      <c r="G492">
        <v>8001</v>
      </c>
      <c r="H492">
        <v>370</v>
      </c>
      <c r="I492">
        <v>1</v>
      </c>
      <c r="J492">
        <v>8000</v>
      </c>
      <c r="K492">
        <v>555</v>
      </c>
      <c r="L492">
        <v>1</v>
      </c>
      <c r="M492">
        <v>2007</v>
      </c>
      <c r="N492">
        <v>1</v>
      </c>
      <c r="O492">
        <v>0.05</v>
      </c>
      <c r="P492">
        <v>9000</v>
      </c>
      <c r="Q492">
        <v>138</v>
      </c>
      <c r="R492">
        <v>1</v>
      </c>
      <c r="S492" t="s">
        <v>3824</v>
      </c>
      <c r="T492">
        <v>18</v>
      </c>
      <c r="U492">
        <v>0.5</v>
      </c>
      <c r="V492">
        <v>1000</v>
      </c>
      <c r="W492">
        <v>5760</v>
      </c>
      <c r="X492">
        <v>1</v>
      </c>
      <c r="Y492">
        <v>2006</v>
      </c>
      <c r="Z492">
        <v>1</v>
      </c>
      <c r="AA492">
        <v>0.03</v>
      </c>
    </row>
    <row r="493" spans="1:27">
      <c r="A493">
        <v>1491</v>
      </c>
      <c r="B493" t="s">
        <v>4270</v>
      </c>
      <c r="C493">
        <v>150</v>
      </c>
      <c r="D493" t="s">
        <v>3823</v>
      </c>
      <c r="E493">
        <v>1</v>
      </c>
      <c r="F493">
        <v>0.14099999999999999</v>
      </c>
      <c r="G493">
        <v>8001</v>
      </c>
      <c r="H493">
        <v>370</v>
      </c>
      <c r="I493">
        <v>1</v>
      </c>
      <c r="J493">
        <v>8000</v>
      </c>
      <c r="K493">
        <v>555</v>
      </c>
      <c r="L493">
        <v>1</v>
      </c>
      <c r="M493">
        <v>2007</v>
      </c>
      <c r="N493">
        <v>1</v>
      </c>
      <c r="O493">
        <v>0.05</v>
      </c>
      <c r="P493">
        <v>9000</v>
      </c>
      <c r="Q493">
        <v>138</v>
      </c>
      <c r="R493">
        <v>1</v>
      </c>
      <c r="S493" t="s">
        <v>3824</v>
      </c>
      <c r="T493">
        <v>18</v>
      </c>
      <c r="U493">
        <v>0.5</v>
      </c>
      <c r="V493">
        <v>1000</v>
      </c>
      <c r="W493">
        <v>5765</v>
      </c>
      <c r="X493">
        <v>1</v>
      </c>
      <c r="Y493">
        <v>2006</v>
      </c>
      <c r="Z493">
        <v>1</v>
      </c>
      <c r="AA493">
        <v>0.03</v>
      </c>
    </row>
    <row r="494" spans="1:27">
      <c r="A494">
        <v>1492</v>
      </c>
      <c r="B494" t="s">
        <v>4271</v>
      </c>
      <c r="C494">
        <v>150</v>
      </c>
      <c r="D494" t="s">
        <v>3823</v>
      </c>
      <c r="E494">
        <v>1</v>
      </c>
      <c r="F494">
        <v>0.14199999999999999</v>
      </c>
      <c r="G494">
        <v>8001</v>
      </c>
      <c r="H494">
        <v>370</v>
      </c>
      <c r="I494">
        <v>1</v>
      </c>
      <c r="J494">
        <v>8000</v>
      </c>
      <c r="K494">
        <v>555</v>
      </c>
      <c r="L494">
        <v>1</v>
      </c>
      <c r="M494">
        <v>2007</v>
      </c>
      <c r="N494">
        <v>1</v>
      </c>
      <c r="O494">
        <v>0.05</v>
      </c>
      <c r="P494">
        <v>9000</v>
      </c>
      <c r="Q494">
        <v>138</v>
      </c>
      <c r="R494">
        <v>1</v>
      </c>
      <c r="S494" t="s">
        <v>3824</v>
      </c>
      <c r="T494">
        <v>18</v>
      </c>
      <c r="U494">
        <v>0.5</v>
      </c>
      <c r="V494">
        <v>1000</v>
      </c>
      <c r="W494">
        <v>5775</v>
      </c>
      <c r="X494">
        <v>1</v>
      </c>
      <c r="Y494">
        <v>2006</v>
      </c>
      <c r="Z494">
        <v>1</v>
      </c>
      <c r="AA494">
        <v>0.03</v>
      </c>
    </row>
    <row r="495" spans="1:27">
      <c r="A495">
        <v>1493</v>
      </c>
      <c r="B495" t="s">
        <v>4272</v>
      </c>
      <c r="C495">
        <v>150</v>
      </c>
      <c r="D495" t="s">
        <v>3823</v>
      </c>
      <c r="E495">
        <v>1</v>
      </c>
      <c r="F495">
        <v>0.14199999999999999</v>
      </c>
      <c r="G495">
        <v>8001</v>
      </c>
      <c r="H495">
        <v>370</v>
      </c>
      <c r="I495">
        <v>1</v>
      </c>
      <c r="J495">
        <v>8000</v>
      </c>
      <c r="K495">
        <v>555</v>
      </c>
      <c r="L495">
        <v>1</v>
      </c>
      <c r="M495">
        <v>2007</v>
      </c>
      <c r="N495">
        <v>1</v>
      </c>
      <c r="O495">
        <v>0.05</v>
      </c>
      <c r="P495">
        <v>9000</v>
      </c>
      <c r="Q495">
        <v>138</v>
      </c>
      <c r="R495">
        <v>1</v>
      </c>
      <c r="S495" t="s">
        <v>3824</v>
      </c>
      <c r="T495">
        <v>19</v>
      </c>
      <c r="U495">
        <v>0.5</v>
      </c>
      <c r="V495">
        <v>1000</v>
      </c>
      <c r="W495">
        <v>5785</v>
      </c>
      <c r="X495">
        <v>1</v>
      </c>
      <c r="Y495">
        <v>2006</v>
      </c>
      <c r="Z495">
        <v>1</v>
      </c>
      <c r="AA495">
        <v>0.03</v>
      </c>
    </row>
    <row r="496" spans="1:27">
      <c r="A496">
        <v>1494</v>
      </c>
      <c r="B496" t="s">
        <v>4273</v>
      </c>
      <c r="C496">
        <v>150</v>
      </c>
      <c r="D496" t="s">
        <v>3823</v>
      </c>
      <c r="E496">
        <v>1</v>
      </c>
      <c r="F496">
        <v>0.14199999999999999</v>
      </c>
      <c r="G496">
        <v>8001</v>
      </c>
      <c r="H496">
        <v>370</v>
      </c>
      <c r="I496">
        <v>1</v>
      </c>
      <c r="J496">
        <v>8000</v>
      </c>
      <c r="K496">
        <v>555</v>
      </c>
      <c r="L496">
        <v>1</v>
      </c>
      <c r="M496">
        <v>2007</v>
      </c>
      <c r="N496">
        <v>1</v>
      </c>
      <c r="O496">
        <v>0.05</v>
      </c>
      <c r="P496">
        <v>9000</v>
      </c>
      <c r="Q496">
        <v>139</v>
      </c>
      <c r="R496">
        <v>1</v>
      </c>
      <c r="S496" t="s">
        <v>3824</v>
      </c>
      <c r="T496">
        <v>19</v>
      </c>
      <c r="U496">
        <v>0.5</v>
      </c>
      <c r="V496">
        <v>1000</v>
      </c>
      <c r="W496">
        <v>5790</v>
      </c>
      <c r="X496">
        <v>1</v>
      </c>
      <c r="Y496">
        <v>2006</v>
      </c>
      <c r="Z496">
        <v>1</v>
      </c>
      <c r="AA496">
        <v>0.03</v>
      </c>
    </row>
    <row r="497" spans="1:27">
      <c r="A497">
        <v>1495</v>
      </c>
      <c r="B497" t="s">
        <v>4274</v>
      </c>
      <c r="C497">
        <v>150</v>
      </c>
      <c r="D497" t="s">
        <v>3823</v>
      </c>
      <c r="E497">
        <v>1</v>
      </c>
      <c r="F497">
        <v>0.14199999999999999</v>
      </c>
      <c r="G497">
        <v>8001</v>
      </c>
      <c r="H497">
        <v>370</v>
      </c>
      <c r="I497">
        <v>1</v>
      </c>
      <c r="J497">
        <v>8000</v>
      </c>
      <c r="K497">
        <v>555</v>
      </c>
      <c r="L497">
        <v>1</v>
      </c>
      <c r="M497">
        <v>2007</v>
      </c>
      <c r="N497">
        <v>1</v>
      </c>
      <c r="O497">
        <v>0.05</v>
      </c>
      <c r="P497">
        <v>9000</v>
      </c>
      <c r="Q497">
        <v>139</v>
      </c>
      <c r="R497">
        <v>1</v>
      </c>
      <c r="S497" t="s">
        <v>3824</v>
      </c>
      <c r="T497">
        <v>19</v>
      </c>
      <c r="U497">
        <v>0.5</v>
      </c>
      <c r="V497">
        <v>1000</v>
      </c>
      <c r="W497">
        <v>5800</v>
      </c>
      <c r="X497">
        <v>1</v>
      </c>
      <c r="Y497">
        <v>2006</v>
      </c>
      <c r="Z497">
        <v>1</v>
      </c>
      <c r="AA497">
        <v>0.03</v>
      </c>
    </row>
    <row r="498" spans="1:27">
      <c r="A498">
        <v>1496</v>
      </c>
      <c r="B498" t="s">
        <v>4275</v>
      </c>
      <c r="C498">
        <v>150</v>
      </c>
      <c r="D498" t="s">
        <v>3823</v>
      </c>
      <c r="E498">
        <v>1</v>
      </c>
      <c r="F498">
        <v>0.14199999999999999</v>
      </c>
      <c r="G498">
        <v>8001</v>
      </c>
      <c r="H498">
        <v>370</v>
      </c>
      <c r="I498">
        <v>1</v>
      </c>
      <c r="J498">
        <v>8000</v>
      </c>
      <c r="K498">
        <v>560</v>
      </c>
      <c r="L498">
        <v>1</v>
      </c>
      <c r="M498">
        <v>2007</v>
      </c>
      <c r="N498">
        <v>1</v>
      </c>
      <c r="O498">
        <v>0.05</v>
      </c>
      <c r="P498">
        <v>9000</v>
      </c>
      <c r="Q498">
        <v>139</v>
      </c>
      <c r="R498">
        <v>1</v>
      </c>
      <c r="S498" t="s">
        <v>3824</v>
      </c>
      <c r="T498">
        <v>19</v>
      </c>
      <c r="U498">
        <v>0.5</v>
      </c>
      <c r="V498">
        <v>1000</v>
      </c>
      <c r="W498">
        <v>5810</v>
      </c>
      <c r="X498">
        <v>1</v>
      </c>
      <c r="Y498">
        <v>2006</v>
      </c>
      <c r="Z498">
        <v>1</v>
      </c>
      <c r="AA498">
        <v>0.03</v>
      </c>
    </row>
    <row r="499" spans="1:27">
      <c r="A499">
        <v>1497</v>
      </c>
      <c r="B499" t="s">
        <v>4259</v>
      </c>
      <c r="C499">
        <v>150</v>
      </c>
      <c r="D499" t="s">
        <v>3823</v>
      </c>
      <c r="E499">
        <v>1</v>
      </c>
      <c r="F499">
        <v>0.14199999999999999</v>
      </c>
      <c r="G499">
        <v>8001</v>
      </c>
      <c r="H499">
        <v>370</v>
      </c>
      <c r="I499">
        <v>1</v>
      </c>
      <c r="J499">
        <v>8000</v>
      </c>
      <c r="K499">
        <v>560</v>
      </c>
      <c r="L499">
        <v>1</v>
      </c>
      <c r="M499">
        <v>2007</v>
      </c>
      <c r="N499">
        <v>1</v>
      </c>
      <c r="O499">
        <v>0.05</v>
      </c>
      <c r="P499">
        <v>9000</v>
      </c>
      <c r="Q499">
        <v>139</v>
      </c>
      <c r="R499">
        <v>1</v>
      </c>
      <c r="S499" t="s">
        <v>3824</v>
      </c>
      <c r="T499">
        <v>19</v>
      </c>
      <c r="U499">
        <v>0.5</v>
      </c>
      <c r="V499">
        <v>1000</v>
      </c>
      <c r="W499">
        <v>5815</v>
      </c>
      <c r="X499">
        <v>1</v>
      </c>
      <c r="Y499">
        <v>2006</v>
      </c>
      <c r="Z499">
        <v>1</v>
      </c>
      <c r="AA499">
        <v>0.03</v>
      </c>
    </row>
    <row r="500" spans="1:27">
      <c r="A500">
        <v>1498</v>
      </c>
      <c r="B500" t="s">
        <v>4276</v>
      </c>
      <c r="C500">
        <v>150</v>
      </c>
      <c r="D500" t="s">
        <v>3823</v>
      </c>
      <c r="E500">
        <v>1</v>
      </c>
      <c r="F500">
        <v>0.14199999999999999</v>
      </c>
      <c r="G500">
        <v>8001</v>
      </c>
      <c r="H500">
        <v>375</v>
      </c>
      <c r="I500">
        <v>1</v>
      </c>
      <c r="J500">
        <v>8000</v>
      </c>
      <c r="K500">
        <v>560</v>
      </c>
      <c r="L500">
        <v>1</v>
      </c>
      <c r="M500">
        <v>2007</v>
      </c>
      <c r="N500">
        <v>1</v>
      </c>
      <c r="O500">
        <v>0.05</v>
      </c>
      <c r="P500">
        <v>9000</v>
      </c>
      <c r="Q500">
        <v>139</v>
      </c>
      <c r="R500">
        <v>1</v>
      </c>
      <c r="S500" t="s">
        <v>3824</v>
      </c>
      <c r="T500">
        <v>19</v>
      </c>
      <c r="U500">
        <v>0.5</v>
      </c>
      <c r="V500">
        <v>1000</v>
      </c>
      <c r="W500">
        <v>5825</v>
      </c>
      <c r="X500">
        <v>1</v>
      </c>
      <c r="Y500">
        <v>2006</v>
      </c>
      <c r="Z500">
        <v>1</v>
      </c>
      <c r="AA500">
        <v>0.03</v>
      </c>
    </row>
    <row r="501" spans="1:27">
      <c r="A501">
        <v>1499</v>
      </c>
      <c r="B501" t="s">
        <v>4277</v>
      </c>
      <c r="C501">
        <v>150</v>
      </c>
      <c r="D501" t="s">
        <v>3823</v>
      </c>
      <c r="E501">
        <v>1</v>
      </c>
      <c r="F501">
        <v>0.14299999999999999</v>
      </c>
      <c r="G501">
        <v>8001</v>
      </c>
      <c r="H501">
        <v>375</v>
      </c>
      <c r="I501">
        <v>1</v>
      </c>
      <c r="J501">
        <v>8000</v>
      </c>
      <c r="K501">
        <v>560</v>
      </c>
      <c r="L501">
        <v>1</v>
      </c>
      <c r="M501">
        <v>2007</v>
      </c>
      <c r="N501">
        <v>1</v>
      </c>
      <c r="O501">
        <v>0.05</v>
      </c>
      <c r="P501">
        <v>9000</v>
      </c>
      <c r="Q501">
        <v>140</v>
      </c>
      <c r="R501">
        <v>1</v>
      </c>
      <c r="S501" t="s">
        <v>3824</v>
      </c>
      <c r="T501">
        <v>19</v>
      </c>
      <c r="U501">
        <v>0.5</v>
      </c>
      <c r="V501">
        <v>1000</v>
      </c>
      <c r="W501">
        <v>5830</v>
      </c>
      <c r="X501">
        <v>1</v>
      </c>
      <c r="Y501">
        <v>2006</v>
      </c>
      <c r="Z501">
        <v>1</v>
      </c>
      <c r="AA501">
        <v>0.03</v>
      </c>
    </row>
    <row r="502" spans="1:27">
      <c r="A502">
        <v>1500</v>
      </c>
      <c r="B502" t="s">
        <v>4278</v>
      </c>
      <c r="C502">
        <v>150</v>
      </c>
      <c r="D502" t="s">
        <v>3823</v>
      </c>
      <c r="E502">
        <v>1</v>
      </c>
      <c r="F502">
        <v>0.14299999999999999</v>
      </c>
      <c r="G502">
        <v>8001</v>
      </c>
      <c r="H502">
        <v>375</v>
      </c>
      <c r="I502">
        <v>1</v>
      </c>
      <c r="J502">
        <v>8000</v>
      </c>
      <c r="K502">
        <v>560</v>
      </c>
      <c r="L502">
        <v>1</v>
      </c>
      <c r="M502">
        <v>2007</v>
      </c>
      <c r="N502">
        <v>1</v>
      </c>
      <c r="O502">
        <v>0.05</v>
      </c>
      <c r="P502">
        <v>9000</v>
      </c>
      <c r="Q502">
        <v>140</v>
      </c>
      <c r="R502">
        <v>1</v>
      </c>
      <c r="S502" t="s">
        <v>3824</v>
      </c>
      <c r="T502">
        <v>19</v>
      </c>
      <c r="U502">
        <v>0.5</v>
      </c>
      <c r="V502">
        <v>1000</v>
      </c>
      <c r="W502">
        <v>5840</v>
      </c>
      <c r="X502">
        <v>1</v>
      </c>
      <c r="Y502">
        <v>2006</v>
      </c>
      <c r="Z502">
        <v>1</v>
      </c>
      <c r="AA502">
        <v>0.03</v>
      </c>
    </row>
    <row r="503" spans="1:27">
      <c r="A503">
        <v>1501</v>
      </c>
      <c r="B503" t="s">
        <v>4279</v>
      </c>
      <c r="C503">
        <v>150</v>
      </c>
      <c r="D503" t="s">
        <v>3823</v>
      </c>
      <c r="E503">
        <v>1</v>
      </c>
      <c r="F503">
        <v>0.14299999999999999</v>
      </c>
      <c r="G503">
        <v>8001</v>
      </c>
      <c r="H503">
        <v>375</v>
      </c>
      <c r="I503">
        <v>1</v>
      </c>
      <c r="J503">
        <v>8000</v>
      </c>
      <c r="K503">
        <v>560</v>
      </c>
      <c r="L503">
        <v>1</v>
      </c>
      <c r="M503">
        <v>2007</v>
      </c>
      <c r="N503">
        <v>1</v>
      </c>
      <c r="O503">
        <v>0.05</v>
      </c>
      <c r="P503">
        <v>9000</v>
      </c>
      <c r="Q503">
        <v>140</v>
      </c>
      <c r="R503">
        <v>1</v>
      </c>
      <c r="S503" t="s">
        <v>3824</v>
      </c>
      <c r="T503">
        <v>19</v>
      </c>
      <c r="U503">
        <v>0.5</v>
      </c>
      <c r="V503">
        <v>1000</v>
      </c>
      <c r="W503">
        <v>5850</v>
      </c>
      <c r="X503">
        <v>1</v>
      </c>
      <c r="Y503">
        <v>2006</v>
      </c>
      <c r="Z503">
        <v>1</v>
      </c>
      <c r="AA503">
        <v>0.03</v>
      </c>
    </row>
    <row r="504" spans="1:27">
      <c r="A504">
        <v>1502</v>
      </c>
      <c r="B504" t="s">
        <v>4280</v>
      </c>
      <c r="C504">
        <v>150</v>
      </c>
      <c r="D504" t="s">
        <v>3823</v>
      </c>
      <c r="E504">
        <v>1</v>
      </c>
      <c r="F504">
        <v>0.14299999999999999</v>
      </c>
      <c r="G504">
        <v>8001</v>
      </c>
      <c r="H504">
        <v>375</v>
      </c>
      <c r="I504">
        <v>1</v>
      </c>
      <c r="J504">
        <v>8000</v>
      </c>
      <c r="K504">
        <v>560</v>
      </c>
      <c r="L504">
        <v>1</v>
      </c>
      <c r="M504">
        <v>2007</v>
      </c>
      <c r="N504">
        <v>1</v>
      </c>
      <c r="O504">
        <v>0.05</v>
      </c>
      <c r="P504">
        <v>9000</v>
      </c>
      <c r="Q504">
        <v>140</v>
      </c>
      <c r="R504">
        <v>1</v>
      </c>
      <c r="S504" t="s">
        <v>3824</v>
      </c>
      <c r="T504">
        <v>19</v>
      </c>
      <c r="U504">
        <v>0.5</v>
      </c>
      <c r="V504">
        <v>1000</v>
      </c>
      <c r="W504">
        <v>5855</v>
      </c>
      <c r="X504">
        <v>1</v>
      </c>
      <c r="Y504">
        <v>2006</v>
      </c>
      <c r="Z504">
        <v>1</v>
      </c>
      <c r="AA504">
        <v>0.03</v>
      </c>
    </row>
    <row r="505" spans="1:27">
      <c r="A505">
        <v>1503</v>
      </c>
      <c r="B505" t="s">
        <v>4281</v>
      </c>
      <c r="C505">
        <v>150</v>
      </c>
      <c r="D505" t="s">
        <v>3823</v>
      </c>
      <c r="E505">
        <v>1</v>
      </c>
      <c r="F505">
        <v>0.14299999999999999</v>
      </c>
      <c r="G505">
        <v>8001</v>
      </c>
      <c r="H505">
        <v>375</v>
      </c>
      <c r="I505">
        <v>1</v>
      </c>
      <c r="J505">
        <v>8000</v>
      </c>
      <c r="K505">
        <v>565</v>
      </c>
      <c r="L505">
        <v>1</v>
      </c>
      <c r="M505">
        <v>2007</v>
      </c>
      <c r="N505">
        <v>1</v>
      </c>
      <c r="O505">
        <v>0.05</v>
      </c>
      <c r="P505">
        <v>9000</v>
      </c>
      <c r="Q505">
        <v>140</v>
      </c>
      <c r="R505">
        <v>1</v>
      </c>
      <c r="S505" t="s">
        <v>3824</v>
      </c>
      <c r="T505">
        <v>19</v>
      </c>
      <c r="U505">
        <v>0.5</v>
      </c>
      <c r="V505">
        <v>1000</v>
      </c>
      <c r="W505">
        <v>5865</v>
      </c>
      <c r="X505">
        <v>1</v>
      </c>
      <c r="Y505">
        <v>2006</v>
      </c>
      <c r="Z505">
        <v>1</v>
      </c>
      <c r="AA505">
        <v>0.03</v>
      </c>
    </row>
    <row r="506" spans="1:27">
      <c r="A506">
        <v>1504</v>
      </c>
      <c r="B506" t="s">
        <v>4282</v>
      </c>
      <c r="C506">
        <v>150</v>
      </c>
      <c r="D506" t="s">
        <v>3823</v>
      </c>
      <c r="E506">
        <v>1</v>
      </c>
      <c r="F506">
        <v>0.14299999999999999</v>
      </c>
      <c r="G506">
        <v>8001</v>
      </c>
      <c r="H506">
        <v>375</v>
      </c>
      <c r="I506">
        <v>1</v>
      </c>
      <c r="J506">
        <v>8000</v>
      </c>
      <c r="K506">
        <v>565</v>
      </c>
      <c r="L506">
        <v>1</v>
      </c>
      <c r="M506">
        <v>2007</v>
      </c>
      <c r="N506">
        <v>1</v>
      </c>
      <c r="O506">
        <v>0.05</v>
      </c>
      <c r="P506">
        <v>9000</v>
      </c>
      <c r="Q506">
        <v>141</v>
      </c>
      <c r="R506">
        <v>1</v>
      </c>
      <c r="S506" t="s">
        <v>3824</v>
      </c>
      <c r="T506">
        <v>19</v>
      </c>
      <c r="U506">
        <v>0.5</v>
      </c>
      <c r="V506">
        <v>1000</v>
      </c>
      <c r="W506">
        <v>5870</v>
      </c>
      <c r="X506">
        <v>1</v>
      </c>
      <c r="Y506">
        <v>2006</v>
      </c>
      <c r="Z506">
        <v>1</v>
      </c>
      <c r="AA506">
        <v>0.03</v>
      </c>
    </row>
    <row r="507" spans="1:27">
      <c r="A507">
        <v>1505</v>
      </c>
      <c r="B507" t="s">
        <v>4283</v>
      </c>
      <c r="C507">
        <v>150</v>
      </c>
      <c r="D507" t="s">
        <v>3823</v>
      </c>
      <c r="E507">
        <v>1</v>
      </c>
      <c r="F507">
        <v>0.14299999999999999</v>
      </c>
      <c r="G507">
        <v>8001</v>
      </c>
      <c r="H507">
        <v>375</v>
      </c>
      <c r="I507">
        <v>1</v>
      </c>
      <c r="J507">
        <v>8000</v>
      </c>
      <c r="K507">
        <v>565</v>
      </c>
      <c r="L507">
        <v>1</v>
      </c>
      <c r="M507">
        <v>2007</v>
      </c>
      <c r="N507">
        <v>1</v>
      </c>
      <c r="O507">
        <v>0.05</v>
      </c>
      <c r="P507">
        <v>9000</v>
      </c>
      <c r="Q507">
        <v>141</v>
      </c>
      <c r="R507">
        <v>1</v>
      </c>
      <c r="S507" t="s">
        <v>3824</v>
      </c>
      <c r="T507">
        <v>19</v>
      </c>
      <c r="U507">
        <v>0.5</v>
      </c>
      <c r="V507">
        <v>1000</v>
      </c>
      <c r="W507">
        <v>5880</v>
      </c>
      <c r="X507">
        <v>1</v>
      </c>
      <c r="Y507">
        <v>2006</v>
      </c>
      <c r="Z507">
        <v>1</v>
      </c>
      <c r="AA507">
        <v>0.03</v>
      </c>
    </row>
    <row r="508" spans="1:27">
      <c r="A508">
        <v>1506</v>
      </c>
      <c r="B508" t="s">
        <v>4284</v>
      </c>
      <c r="C508">
        <v>150</v>
      </c>
      <c r="D508" t="s">
        <v>3823</v>
      </c>
      <c r="E508">
        <v>1</v>
      </c>
      <c r="F508">
        <v>0.14399999999999999</v>
      </c>
      <c r="G508">
        <v>8001</v>
      </c>
      <c r="H508">
        <v>375</v>
      </c>
      <c r="I508">
        <v>1</v>
      </c>
      <c r="J508">
        <v>8000</v>
      </c>
      <c r="K508">
        <v>565</v>
      </c>
      <c r="L508">
        <v>1</v>
      </c>
      <c r="M508">
        <v>2007</v>
      </c>
      <c r="N508">
        <v>1</v>
      </c>
      <c r="O508">
        <v>0.05</v>
      </c>
      <c r="P508">
        <v>9000</v>
      </c>
      <c r="Q508">
        <v>141</v>
      </c>
      <c r="R508">
        <v>1</v>
      </c>
      <c r="S508" t="s">
        <v>3824</v>
      </c>
      <c r="T508">
        <v>19</v>
      </c>
      <c r="U508">
        <v>0.5</v>
      </c>
      <c r="V508">
        <v>1000</v>
      </c>
      <c r="W508">
        <v>5885</v>
      </c>
      <c r="X508">
        <v>1</v>
      </c>
      <c r="Y508">
        <v>2006</v>
      </c>
      <c r="Z508">
        <v>1</v>
      </c>
      <c r="AA508">
        <v>0.03</v>
      </c>
    </row>
    <row r="509" spans="1:27">
      <c r="A509">
        <v>1507</v>
      </c>
      <c r="B509" t="s">
        <v>4285</v>
      </c>
      <c r="C509">
        <v>150</v>
      </c>
      <c r="D509" t="s">
        <v>3823</v>
      </c>
      <c r="E509">
        <v>1</v>
      </c>
      <c r="F509">
        <v>0.14399999999999999</v>
      </c>
      <c r="G509">
        <v>8001</v>
      </c>
      <c r="H509">
        <v>375</v>
      </c>
      <c r="I509">
        <v>1</v>
      </c>
      <c r="J509">
        <v>8000</v>
      </c>
      <c r="K509">
        <v>565</v>
      </c>
      <c r="L509">
        <v>1</v>
      </c>
      <c r="M509">
        <v>2007</v>
      </c>
      <c r="N509">
        <v>1</v>
      </c>
      <c r="O509">
        <v>0.05</v>
      </c>
      <c r="P509">
        <v>9000</v>
      </c>
      <c r="Q509">
        <v>141</v>
      </c>
      <c r="R509">
        <v>1</v>
      </c>
      <c r="S509" t="s">
        <v>3824</v>
      </c>
      <c r="T509">
        <v>19</v>
      </c>
      <c r="U509">
        <v>0.5</v>
      </c>
      <c r="V509">
        <v>1000</v>
      </c>
      <c r="W509">
        <v>5895</v>
      </c>
      <c r="X509">
        <v>1</v>
      </c>
      <c r="Y509">
        <v>2006</v>
      </c>
      <c r="Z509">
        <v>1</v>
      </c>
      <c r="AA509">
        <v>0.03</v>
      </c>
    </row>
    <row r="510" spans="1:27">
      <c r="A510">
        <v>1508</v>
      </c>
      <c r="B510" t="s">
        <v>4286</v>
      </c>
      <c r="C510">
        <v>150</v>
      </c>
      <c r="D510" t="s">
        <v>3823</v>
      </c>
      <c r="E510">
        <v>1</v>
      </c>
      <c r="F510">
        <v>0.14399999999999999</v>
      </c>
      <c r="G510">
        <v>8001</v>
      </c>
      <c r="H510">
        <v>380</v>
      </c>
      <c r="I510">
        <v>1</v>
      </c>
      <c r="J510">
        <v>8000</v>
      </c>
      <c r="K510">
        <v>565</v>
      </c>
      <c r="L510">
        <v>1</v>
      </c>
      <c r="M510">
        <v>2007</v>
      </c>
      <c r="N510">
        <v>1</v>
      </c>
      <c r="O510">
        <v>0.05</v>
      </c>
      <c r="P510">
        <v>9000</v>
      </c>
      <c r="Q510">
        <v>141</v>
      </c>
      <c r="R510">
        <v>1</v>
      </c>
      <c r="S510" t="s">
        <v>3824</v>
      </c>
      <c r="T510">
        <v>19</v>
      </c>
      <c r="U510">
        <v>0.5</v>
      </c>
      <c r="V510">
        <v>1000</v>
      </c>
      <c r="W510">
        <v>5900</v>
      </c>
      <c r="X510">
        <v>1</v>
      </c>
      <c r="Y510">
        <v>2006</v>
      </c>
      <c r="Z510">
        <v>1</v>
      </c>
      <c r="AA510">
        <v>0.03</v>
      </c>
    </row>
    <row r="511" spans="1:27">
      <c r="A511">
        <v>1509</v>
      </c>
      <c r="B511" t="s">
        <v>4283</v>
      </c>
      <c r="C511">
        <v>150</v>
      </c>
      <c r="D511" t="s">
        <v>3823</v>
      </c>
      <c r="E511">
        <v>1</v>
      </c>
      <c r="F511">
        <v>0.14399999999999999</v>
      </c>
      <c r="G511">
        <v>8001</v>
      </c>
      <c r="H511">
        <v>380</v>
      </c>
      <c r="I511">
        <v>1</v>
      </c>
      <c r="J511">
        <v>8000</v>
      </c>
      <c r="K511">
        <v>565</v>
      </c>
      <c r="L511">
        <v>1</v>
      </c>
      <c r="M511">
        <v>2007</v>
      </c>
      <c r="N511">
        <v>1</v>
      </c>
      <c r="O511">
        <v>0.05</v>
      </c>
      <c r="P511">
        <v>9000</v>
      </c>
      <c r="Q511">
        <v>141</v>
      </c>
      <c r="R511">
        <v>1</v>
      </c>
      <c r="S511" t="s">
        <v>3824</v>
      </c>
      <c r="T511">
        <v>19</v>
      </c>
      <c r="U511">
        <v>0.5</v>
      </c>
      <c r="V511">
        <v>1000</v>
      </c>
      <c r="W511">
        <v>5905</v>
      </c>
      <c r="X511">
        <v>1</v>
      </c>
      <c r="Y511">
        <v>2006</v>
      </c>
      <c r="Z511">
        <v>1</v>
      </c>
      <c r="AA511">
        <v>0.03</v>
      </c>
    </row>
    <row r="512" spans="1:27">
      <c r="A512">
        <v>1510</v>
      </c>
      <c r="B512" t="s">
        <v>4287</v>
      </c>
      <c r="C512">
        <v>150</v>
      </c>
      <c r="D512" t="s">
        <v>3823</v>
      </c>
      <c r="E512">
        <v>1</v>
      </c>
      <c r="F512">
        <v>0.14399999999999999</v>
      </c>
      <c r="G512">
        <v>8001</v>
      </c>
      <c r="H512">
        <v>380</v>
      </c>
      <c r="I512">
        <v>1</v>
      </c>
      <c r="J512">
        <v>8000</v>
      </c>
      <c r="K512">
        <v>570</v>
      </c>
      <c r="L512">
        <v>1</v>
      </c>
      <c r="M512">
        <v>2007</v>
      </c>
      <c r="N512">
        <v>1</v>
      </c>
      <c r="O512">
        <v>0.05</v>
      </c>
      <c r="P512">
        <v>9000</v>
      </c>
      <c r="Q512">
        <v>142</v>
      </c>
      <c r="R512">
        <v>1</v>
      </c>
      <c r="S512" t="s">
        <v>3824</v>
      </c>
      <c r="T512">
        <v>19</v>
      </c>
      <c r="U512">
        <v>0.5</v>
      </c>
      <c r="V512">
        <v>1000</v>
      </c>
      <c r="W512">
        <v>5915</v>
      </c>
      <c r="X512">
        <v>1</v>
      </c>
      <c r="Y512">
        <v>2006</v>
      </c>
      <c r="Z512">
        <v>1</v>
      </c>
      <c r="AA512">
        <v>0.03</v>
      </c>
    </row>
    <row r="513" spans="1:27">
      <c r="A513">
        <v>1511</v>
      </c>
      <c r="B513" t="s">
        <v>4288</v>
      </c>
      <c r="C513">
        <v>150</v>
      </c>
      <c r="D513" t="s">
        <v>3823</v>
      </c>
      <c r="E513">
        <v>1</v>
      </c>
      <c r="F513">
        <v>0.14399999999999999</v>
      </c>
      <c r="G513">
        <v>8001</v>
      </c>
      <c r="H513">
        <v>380</v>
      </c>
      <c r="I513">
        <v>1</v>
      </c>
      <c r="J513">
        <v>8000</v>
      </c>
      <c r="K513">
        <v>570</v>
      </c>
      <c r="L513">
        <v>1</v>
      </c>
      <c r="M513">
        <v>2007</v>
      </c>
      <c r="N513">
        <v>1</v>
      </c>
      <c r="O513">
        <v>0.05</v>
      </c>
      <c r="P513">
        <v>9000</v>
      </c>
      <c r="Q513">
        <v>142</v>
      </c>
      <c r="R513">
        <v>1</v>
      </c>
      <c r="S513" t="s">
        <v>3824</v>
      </c>
      <c r="T513">
        <v>19</v>
      </c>
      <c r="U513">
        <v>0.5</v>
      </c>
      <c r="V513">
        <v>1000</v>
      </c>
      <c r="W513">
        <v>5920</v>
      </c>
      <c r="X513">
        <v>1</v>
      </c>
      <c r="Y513">
        <v>2006</v>
      </c>
      <c r="Z513">
        <v>1</v>
      </c>
      <c r="AA513">
        <v>0.03</v>
      </c>
    </row>
    <row r="514" spans="1:27">
      <c r="A514">
        <v>1512</v>
      </c>
      <c r="B514" t="s">
        <v>4289</v>
      </c>
      <c r="C514">
        <v>150</v>
      </c>
      <c r="D514" t="s">
        <v>3823</v>
      </c>
      <c r="E514">
        <v>1</v>
      </c>
      <c r="F514">
        <v>0.14399999999999999</v>
      </c>
      <c r="G514">
        <v>8001</v>
      </c>
      <c r="H514">
        <v>380</v>
      </c>
      <c r="I514">
        <v>1</v>
      </c>
      <c r="J514">
        <v>8000</v>
      </c>
      <c r="K514">
        <v>570</v>
      </c>
      <c r="L514">
        <v>1</v>
      </c>
      <c r="M514">
        <v>2007</v>
      </c>
      <c r="N514">
        <v>1</v>
      </c>
      <c r="O514">
        <v>0.05</v>
      </c>
      <c r="P514">
        <v>9000</v>
      </c>
      <c r="Q514">
        <v>142</v>
      </c>
      <c r="R514">
        <v>1</v>
      </c>
      <c r="S514" t="s">
        <v>3824</v>
      </c>
      <c r="T514">
        <v>19</v>
      </c>
      <c r="U514">
        <v>0.5</v>
      </c>
      <c r="V514">
        <v>1000</v>
      </c>
      <c r="W514">
        <v>5930</v>
      </c>
      <c r="X514">
        <v>1</v>
      </c>
      <c r="Y514">
        <v>2006</v>
      </c>
      <c r="Z514">
        <v>1</v>
      </c>
      <c r="AA514">
        <v>0.03</v>
      </c>
    </row>
    <row r="515" spans="1:27">
      <c r="A515">
        <v>1513</v>
      </c>
      <c r="B515" t="s">
        <v>4283</v>
      </c>
      <c r="C515">
        <v>150</v>
      </c>
      <c r="D515" t="s">
        <v>3823</v>
      </c>
      <c r="E515">
        <v>1</v>
      </c>
      <c r="F515">
        <v>0.14399999999999999</v>
      </c>
      <c r="G515">
        <v>8001</v>
      </c>
      <c r="H515">
        <v>380</v>
      </c>
      <c r="I515">
        <v>1</v>
      </c>
      <c r="J515">
        <v>8000</v>
      </c>
      <c r="K515">
        <v>570</v>
      </c>
      <c r="L515">
        <v>1</v>
      </c>
      <c r="M515">
        <v>2007</v>
      </c>
      <c r="N515">
        <v>1</v>
      </c>
      <c r="O515">
        <v>0.05</v>
      </c>
      <c r="P515">
        <v>9000</v>
      </c>
      <c r="Q515">
        <v>142</v>
      </c>
      <c r="R515">
        <v>1</v>
      </c>
      <c r="S515" t="s">
        <v>3824</v>
      </c>
      <c r="T515">
        <v>19</v>
      </c>
      <c r="U515">
        <v>0.5</v>
      </c>
      <c r="V515">
        <v>1000</v>
      </c>
      <c r="W515">
        <v>5935</v>
      </c>
      <c r="X515">
        <v>1</v>
      </c>
      <c r="Y515">
        <v>2006</v>
      </c>
      <c r="Z515">
        <v>1</v>
      </c>
      <c r="AA515">
        <v>0.03</v>
      </c>
    </row>
    <row r="516" spans="1:27">
      <c r="A516">
        <v>1514</v>
      </c>
      <c r="B516" t="s">
        <v>4290</v>
      </c>
      <c r="C516">
        <v>150</v>
      </c>
      <c r="D516" t="s">
        <v>3823</v>
      </c>
      <c r="E516">
        <v>1</v>
      </c>
      <c r="F516">
        <v>0.14499999999999999</v>
      </c>
      <c r="G516">
        <v>8001</v>
      </c>
      <c r="H516">
        <v>380</v>
      </c>
      <c r="I516">
        <v>1</v>
      </c>
      <c r="J516">
        <v>8000</v>
      </c>
      <c r="K516">
        <v>570</v>
      </c>
      <c r="L516">
        <v>1</v>
      </c>
      <c r="M516">
        <v>2007</v>
      </c>
      <c r="N516">
        <v>1</v>
      </c>
      <c r="O516">
        <v>0.05</v>
      </c>
      <c r="P516">
        <v>9000</v>
      </c>
      <c r="Q516">
        <v>142</v>
      </c>
      <c r="R516">
        <v>1</v>
      </c>
      <c r="S516" t="s">
        <v>3824</v>
      </c>
      <c r="T516">
        <v>19</v>
      </c>
      <c r="U516">
        <v>0.5</v>
      </c>
      <c r="V516">
        <v>1000</v>
      </c>
      <c r="W516">
        <v>5940</v>
      </c>
      <c r="X516">
        <v>1</v>
      </c>
      <c r="Y516">
        <v>2006</v>
      </c>
      <c r="Z516">
        <v>1</v>
      </c>
      <c r="AA516">
        <v>0.03</v>
      </c>
    </row>
    <row r="517" spans="1:27">
      <c r="A517">
        <v>1515</v>
      </c>
      <c r="B517" t="s">
        <v>4291</v>
      </c>
      <c r="C517">
        <v>150</v>
      </c>
      <c r="D517" t="s">
        <v>3823</v>
      </c>
      <c r="E517">
        <v>1</v>
      </c>
      <c r="F517">
        <v>0.14499999999999999</v>
      </c>
      <c r="G517">
        <v>8001</v>
      </c>
      <c r="H517">
        <v>380</v>
      </c>
      <c r="I517">
        <v>1</v>
      </c>
      <c r="J517">
        <v>8000</v>
      </c>
      <c r="K517">
        <v>570</v>
      </c>
      <c r="L517">
        <v>1</v>
      </c>
      <c r="M517">
        <v>2007</v>
      </c>
      <c r="N517">
        <v>1</v>
      </c>
      <c r="O517">
        <v>0.05</v>
      </c>
      <c r="P517">
        <v>9000</v>
      </c>
      <c r="Q517">
        <v>143</v>
      </c>
      <c r="R517">
        <v>1</v>
      </c>
      <c r="S517" t="s">
        <v>3824</v>
      </c>
      <c r="T517">
        <v>19</v>
      </c>
      <c r="U517">
        <v>0.5</v>
      </c>
      <c r="V517">
        <v>1000</v>
      </c>
      <c r="W517">
        <v>5950</v>
      </c>
      <c r="X517">
        <v>1</v>
      </c>
      <c r="Y517">
        <v>2006</v>
      </c>
      <c r="Z517">
        <v>1</v>
      </c>
      <c r="AA517">
        <v>0.03</v>
      </c>
    </row>
    <row r="518" spans="1:27">
      <c r="A518">
        <v>1516</v>
      </c>
      <c r="B518" t="s">
        <v>4292</v>
      </c>
      <c r="C518">
        <v>150</v>
      </c>
      <c r="D518" t="s">
        <v>3823</v>
      </c>
      <c r="E518">
        <v>1</v>
      </c>
      <c r="F518">
        <v>0.14499999999999999</v>
      </c>
      <c r="G518">
        <v>8001</v>
      </c>
      <c r="H518">
        <v>380</v>
      </c>
      <c r="I518">
        <v>1</v>
      </c>
      <c r="J518">
        <v>8000</v>
      </c>
      <c r="K518">
        <v>570</v>
      </c>
      <c r="L518">
        <v>1</v>
      </c>
      <c r="M518">
        <v>2007</v>
      </c>
      <c r="N518">
        <v>1</v>
      </c>
      <c r="O518">
        <v>0.05</v>
      </c>
      <c r="P518">
        <v>9000</v>
      </c>
      <c r="Q518">
        <v>143</v>
      </c>
      <c r="R518">
        <v>1</v>
      </c>
      <c r="S518" t="s">
        <v>3824</v>
      </c>
      <c r="T518">
        <v>19</v>
      </c>
      <c r="U518">
        <v>0.5</v>
      </c>
      <c r="V518">
        <v>1000</v>
      </c>
      <c r="W518">
        <v>5955</v>
      </c>
      <c r="X518">
        <v>1</v>
      </c>
      <c r="Y518">
        <v>2006</v>
      </c>
      <c r="Z518">
        <v>1</v>
      </c>
      <c r="AA518">
        <v>0.03</v>
      </c>
    </row>
    <row r="519" spans="1:27">
      <c r="A519">
        <v>1517</v>
      </c>
      <c r="B519" t="s">
        <v>4293</v>
      </c>
      <c r="C519">
        <v>150</v>
      </c>
      <c r="D519" t="s">
        <v>3823</v>
      </c>
      <c r="E519">
        <v>1</v>
      </c>
      <c r="F519">
        <v>0.14499999999999999</v>
      </c>
      <c r="G519">
        <v>8001</v>
      </c>
      <c r="H519">
        <v>380</v>
      </c>
      <c r="I519">
        <v>1</v>
      </c>
      <c r="J519">
        <v>8000</v>
      </c>
      <c r="K519">
        <v>570</v>
      </c>
      <c r="L519">
        <v>1</v>
      </c>
      <c r="M519">
        <v>2007</v>
      </c>
      <c r="N519">
        <v>1</v>
      </c>
      <c r="O519">
        <v>0.05</v>
      </c>
      <c r="P519">
        <v>9000</v>
      </c>
      <c r="Q519">
        <v>143</v>
      </c>
      <c r="R519">
        <v>1</v>
      </c>
      <c r="S519" t="s">
        <v>3824</v>
      </c>
      <c r="T519">
        <v>19</v>
      </c>
      <c r="U519">
        <v>0.5</v>
      </c>
      <c r="V519">
        <v>1000</v>
      </c>
      <c r="W519">
        <v>5965</v>
      </c>
      <c r="X519">
        <v>1</v>
      </c>
      <c r="Y519">
        <v>2006</v>
      </c>
      <c r="Z519">
        <v>1</v>
      </c>
      <c r="AA519">
        <v>0.03</v>
      </c>
    </row>
    <row r="520" spans="1:27">
      <c r="A520">
        <v>1518</v>
      </c>
      <c r="B520" t="s">
        <v>4294</v>
      </c>
      <c r="C520">
        <v>150</v>
      </c>
      <c r="D520" t="s">
        <v>3823</v>
      </c>
      <c r="E520">
        <v>1</v>
      </c>
      <c r="F520">
        <v>0.14499999999999999</v>
      </c>
      <c r="G520">
        <v>8001</v>
      </c>
      <c r="H520">
        <v>380</v>
      </c>
      <c r="I520">
        <v>1</v>
      </c>
      <c r="J520">
        <v>8000</v>
      </c>
      <c r="K520">
        <v>575</v>
      </c>
      <c r="L520">
        <v>1</v>
      </c>
      <c r="M520">
        <v>2007</v>
      </c>
      <c r="N520">
        <v>1</v>
      </c>
      <c r="O520">
        <v>0.05</v>
      </c>
      <c r="P520">
        <v>9000</v>
      </c>
      <c r="Q520">
        <v>143</v>
      </c>
      <c r="R520">
        <v>1</v>
      </c>
      <c r="S520" t="s">
        <v>3824</v>
      </c>
      <c r="T520">
        <v>19</v>
      </c>
      <c r="U520">
        <v>0.5</v>
      </c>
      <c r="V520">
        <v>1000</v>
      </c>
      <c r="W520">
        <v>5970</v>
      </c>
      <c r="X520">
        <v>1</v>
      </c>
      <c r="Y520">
        <v>2006</v>
      </c>
      <c r="Z520">
        <v>1</v>
      </c>
      <c r="AA520">
        <v>0.03</v>
      </c>
    </row>
    <row r="521" spans="1:27">
      <c r="A521">
        <v>1519</v>
      </c>
      <c r="B521" t="s">
        <v>4292</v>
      </c>
      <c r="C521">
        <v>150</v>
      </c>
      <c r="D521" t="s">
        <v>3823</v>
      </c>
      <c r="E521">
        <v>1</v>
      </c>
      <c r="F521">
        <v>0.14499999999999999</v>
      </c>
      <c r="G521">
        <v>8001</v>
      </c>
      <c r="H521">
        <v>380</v>
      </c>
      <c r="I521">
        <v>1</v>
      </c>
      <c r="J521">
        <v>8000</v>
      </c>
      <c r="K521">
        <v>575</v>
      </c>
      <c r="L521">
        <v>1</v>
      </c>
      <c r="M521">
        <v>2007</v>
      </c>
      <c r="N521">
        <v>1</v>
      </c>
      <c r="O521">
        <v>0.05</v>
      </c>
      <c r="P521">
        <v>9000</v>
      </c>
      <c r="Q521">
        <v>143</v>
      </c>
      <c r="R521">
        <v>1</v>
      </c>
      <c r="S521" t="s">
        <v>3824</v>
      </c>
      <c r="T521">
        <v>19</v>
      </c>
      <c r="U521">
        <v>0.5</v>
      </c>
      <c r="V521">
        <v>1000</v>
      </c>
      <c r="W521">
        <v>5975</v>
      </c>
      <c r="X521">
        <v>1</v>
      </c>
      <c r="Y521">
        <v>2006</v>
      </c>
      <c r="Z521">
        <v>1</v>
      </c>
      <c r="AA521">
        <v>0.03</v>
      </c>
    </row>
    <row r="522" spans="1:27">
      <c r="A522">
        <v>1520</v>
      </c>
      <c r="B522" t="s">
        <v>4295</v>
      </c>
      <c r="C522">
        <v>150</v>
      </c>
      <c r="D522" t="s">
        <v>3823</v>
      </c>
      <c r="E522">
        <v>1</v>
      </c>
      <c r="F522">
        <v>0.14499999999999999</v>
      </c>
      <c r="G522">
        <v>8001</v>
      </c>
      <c r="H522">
        <v>385</v>
      </c>
      <c r="I522">
        <v>1</v>
      </c>
      <c r="J522">
        <v>8000</v>
      </c>
      <c r="K522">
        <v>575</v>
      </c>
      <c r="L522">
        <v>1</v>
      </c>
      <c r="M522">
        <v>2007</v>
      </c>
      <c r="N522">
        <v>1</v>
      </c>
      <c r="O522">
        <v>0.05</v>
      </c>
      <c r="P522">
        <v>9000</v>
      </c>
      <c r="Q522">
        <v>143</v>
      </c>
      <c r="R522">
        <v>1</v>
      </c>
      <c r="S522" t="s">
        <v>3824</v>
      </c>
      <c r="T522">
        <v>19</v>
      </c>
      <c r="U522">
        <v>0.5</v>
      </c>
      <c r="V522">
        <v>1000</v>
      </c>
      <c r="W522">
        <v>5980</v>
      </c>
      <c r="X522">
        <v>1</v>
      </c>
      <c r="Y522">
        <v>2006</v>
      </c>
      <c r="Z522">
        <v>1</v>
      </c>
      <c r="AA522">
        <v>0.03</v>
      </c>
    </row>
    <row r="523" spans="1:27">
      <c r="A523">
        <v>1521</v>
      </c>
      <c r="B523" t="s">
        <v>4296</v>
      </c>
      <c r="C523">
        <v>150</v>
      </c>
      <c r="D523" t="s">
        <v>3823</v>
      </c>
      <c r="E523">
        <v>1</v>
      </c>
      <c r="F523">
        <v>0.14499999999999999</v>
      </c>
      <c r="G523">
        <v>8001</v>
      </c>
      <c r="H523">
        <v>385</v>
      </c>
      <c r="I523">
        <v>1</v>
      </c>
      <c r="J523">
        <v>8000</v>
      </c>
      <c r="K523">
        <v>575</v>
      </c>
      <c r="L523">
        <v>1</v>
      </c>
      <c r="M523">
        <v>2007</v>
      </c>
      <c r="N523">
        <v>1</v>
      </c>
      <c r="O523">
        <v>0.05</v>
      </c>
      <c r="P523">
        <v>9000</v>
      </c>
      <c r="Q523">
        <v>143</v>
      </c>
      <c r="R523">
        <v>1</v>
      </c>
      <c r="S523" t="s">
        <v>3824</v>
      </c>
      <c r="T523">
        <v>19</v>
      </c>
      <c r="U523">
        <v>0.5</v>
      </c>
      <c r="V523">
        <v>1000</v>
      </c>
      <c r="W523">
        <v>5990</v>
      </c>
      <c r="X523">
        <v>1</v>
      </c>
      <c r="Y523">
        <v>2006</v>
      </c>
      <c r="Z523">
        <v>1</v>
      </c>
      <c r="AA523">
        <v>0.03</v>
      </c>
    </row>
    <row r="524" spans="1:27">
      <c r="A524">
        <v>1522</v>
      </c>
      <c r="B524" t="s">
        <v>4297</v>
      </c>
      <c r="C524">
        <v>150</v>
      </c>
      <c r="D524" t="s">
        <v>3823</v>
      </c>
      <c r="E524">
        <v>1</v>
      </c>
      <c r="F524">
        <v>0.14499999999999999</v>
      </c>
      <c r="G524">
        <v>8001</v>
      </c>
      <c r="H524">
        <v>385</v>
      </c>
      <c r="I524">
        <v>1</v>
      </c>
      <c r="J524">
        <v>8000</v>
      </c>
      <c r="K524">
        <v>575</v>
      </c>
      <c r="L524">
        <v>1</v>
      </c>
      <c r="M524">
        <v>2007</v>
      </c>
      <c r="N524">
        <v>1</v>
      </c>
      <c r="O524">
        <v>0.05</v>
      </c>
      <c r="P524">
        <v>9000</v>
      </c>
      <c r="Q524">
        <v>144</v>
      </c>
      <c r="R524">
        <v>1</v>
      </c>
      <c r="S524" t="s">
        <v>3824</v>
      </c>
      <c r="T524">
        <v>19</v>
      </c>
      <c r="U524">
        <v>0.5</v>
      </c>
      <c r="V524">
        <v>1000</v>
      </c>
      <c r="W524">
        <v>5995</v>
      </c>
      <c r="X524">
        <v>1</v>
      </c>
      <c r="Y524">
        <v>2006</v>
      </c>
      <c r="Z524">
        <v>1</v>
      </c>
      <c r="AA524">
        <v>0.03</v>
      </c>
    </row>
    <row r="525" spans="1:27">
      <c r="A525">
        <v>1523</v>
      </c>
      <c r="B525" t="s">
        <v>4284</v>
      </c>
      <c r="C525">
        <v>150</v>
      </c>
      <c r="D525" t="s">
        <v>3823</v>
      </c>
      <c r="E525">
        <v>1</v>
      </c>
      <c r="F525">
        <v>0.14599999999999999</v>
      </c>
      <c r="G525">
        <v>8001</v>
      </c>
      <c r="H525">
        <v>385</v>
      </c>
      <c r="I525">
        <v>1</v>
      </c>
      <c r="J525">
        <v>8000</v>
      </c>
      <c r="K525">
        <v>575</v>
      </c>
      <c r="L525">
        <v>1</v>
      </c>
      <c r="M525">
        <v>2007</v>
      </c>
      <c r="N525">
        <v>1</v>
      </c>
      <c r="O525">
        <v>0.05</v>
      </c>
      <c r="P525">
        <v>9000</v>
      </c>
      <c r="Q525">
        <v>144</v>
      </c>
      <c r="R525">
        <v>1</v>
      </c>
      <c r="S525" t="s">
        <v>3824</v>
      </c>
      <c r="T525">
        <v>19</v>
      </c>
      <c r="U525">
        <v>0.5</v>
      </c>
      <c r="V525">
        <v>1000</v>
      </c>
      <c r="W525">
        <v>6000</v>
      </c>
      <c r="X525">
        <v>1</v>
      </c>
      <c r="Y525">
        <v>2006</v>
      </c>
      <c r="Z525">
        <v>1</v>
      </c>
      <c r="AA525">
        <v>0.03</v>
      </c>
    </row>
    <row r="526" spans="1:27">
      <c r="A526">
        <v>1524</v>
      </c>
      <c r="B526" t="s">
        <v>4298</v>
      </c>
      <c r="C526">
        <v>150</v>
      </c>
      <c r="D526" t="s">
        <v>3823</v>
      </c>
      <c r="E526">
        <v>1</v>
      </c>
      <c r="F526">
        <v>0.14599999999999999</v>
      </c>
      <c r="G526">
        <v>8001</v>
      </c>
      <c r="H526">
        <v>385</v>
      </c>
      <c r="I526">
        <v>1</v>
      </c>
      <c r="J526">
        <v>8000</v>
      </c>
      <c r="K526">
        <v>575</v>
      </c>
      <c r="L526">
        <v>1</v>
      </c>
      <c r="M526">
        <v>2007</v>
      </c>
      <c r="N526">
        <v>1</v>
      </c>
      <c r="O526">
        <v>0.05</v>
      </c>
      <c r="P526">
        <v>9000</v>
      </c>
      <c r="Q526">
        <v>144</v>
      </c>
      <c r="R526">
        <v>1</v>
      </c>
      <c r="S526" t="s">
        <v>3824</v>
      </c>
      <c r="T526">
        <v>19</v>
      </c>
      <c r="U526">
        <v>0.5</v>
      </c>
      <c r="V526">
        <v>1000</v>
      </c>
      <c r="W526">
        <v>6010</v>
      </c>
      <c r="X526">
        <v>1</v>
      </c>
      <c r="Y526">
        <v>2006</v>
      </c>
      <c r="Z526">
        <v>1</v>
      </c>
      <c r="AA526">
        <v>0.03</v>
      </c>
    </row>
    <row r="527" spans="1:27">
      <c r="A527">
        <v>1525</v>
      </c>
      <c r="B527" t="s">
        <v>4291</v>
      </c>
      <c r="C527">
        <v>150</v>
      </c>
      <c r="D527" t="s">
        <v>3823</v>
      </c>
      <c r="E527">
        <v>1</v>
      </c>
      <c r="F527">
        <v>0.14599999999999999</v>
      </c>
      <c r="G527">
        <v>8001</v>
      </c>
      <c r="H527">
        <v>385</v>
      </c>
      <c r="I527">
        <v>1</v>
      </c>
      <c r="J527">
        <v>8000</v>
      </c>
      <c r="K527">
        <v>575</v>
      </c>
      <c r="L527">
        <v>1</v>
      </c>
      <c r="M527">
        <v>2007</v>
      </c>
      <c r="N527">
        <v>1</v>
      </c>
      <c r="O527">
        <v>0.05</v>
      </c>
      <c r="P527">
        <v>9000</v>
      </c>
      <c r="Q527">
        <v>144</v>
      </c>
      <c r="R527">
        <v>1</v>
      </c>
      <c r="S527" t="s">
        <v>3824</v>
      </c>
      <c r="T527">
        <v>19</v>
      </c>
      <c r="U527">
        <v>0.5</v>
      </c>
      <c r="V527">
        <v>1000</v>
      </c>
      <c r="W527">
        <v>6015</v>
      </c>
      <c r="X527">
        <v>1</v>
      </c>
      <c r="Y527">
        <v>2006</v>
      </c>
      <c r="Z527">
        <v>1</v>
      </c>
      <c r="AA527">
        <v>0.03</v>
      </c>
    </row>
    <row r="528" spans="1:27">
      <c r="A528">
        <v>1526</v>
      </c>
      <c r="B528" t="s">
        <v>4299</v>
      </c>
      <c r="C528">
        <v>150</v>
      </c>
      <c r="D528" t="s">
        <v>3823</v>
      </c>
      <c r="E528">
        <v>1</v>
      </c>
      <c r="F528">
        <v>0.14599999999999999</v>
      </c>
      <c r="G528">
        <v>8001</v>
      </c>
      <c r="H528">
        <v>385</v>
      </c>
      <c r="I528">
        <v>1</v>
      </c>
      <c r="J528">
        <v>8000</v>
      </c>
      <c r="K528">
        <v>580</v>
      </c>
      <c r="L528">
        <v>1</v>
      </c>
      <c r="M528">
        <v>2007</v>
      </c>
      <c r="N528">
        <v>1</v>
      </c>
      <c r="O528">
        <v>0.05</v>
      </c>
      <c r="P528">
        <v>9000</v>
      </c>
      <c r="Q528">
        <v>144</v>
      </c>
      <c r="R528">
        <v>1</v>
      </c>
      <c r="S528" t="s">
        <v>3824</v>
      </c>
      <c r="T528">
        <v>19</v>
      </c>
      <c r="U528">
        <v>0.5</v>
      </c>
      <c r="V528">
        <v>1000</v>
      </c>
      <c r="W528">
        <v>6020</v>
      </c>
      <c r="X528">
        <v>1</v>
      </c>
      <c r="Y528">
        <v>2006</v>
      </c>
      <c r="Z528">
        <v>1</v>
      </c>
      <c r="AA528">
        <v>0.03</v>
      </c>
    </row>
    <row r="529" spans="1:27">
      <c r="A529">
        <v>1527</v>
      </c>
      <c r="B529" t="s">
        <v>4298</v>
      </c>
      <c r="C529">
        <v>150</v>
      </c>
      <c r="D529" t="s">
        <v>3823</v>
      </c>
      <c r="E529">
        <v>1</v>
      </c>
      <c r="F529">
        <v>0.14599999999999999</v>
      </c>
      <c r="G529">
        <v>8001</v>
      </c>
      <c r="H529">
        <v>385</v>
      </c>
      <c r="I529">
        <v>1</v>
      </c>
      <c r="J529">
        <v>8000</v>
      </c>
      <c r="K529">
        <v>580</v>
      </c>
      <c r="L529">
        <v>1</v>
      </c>
      <c r="M529">
        <v>2007</v>
      </c>
      <c r="N529">
        <v>1</v>
      </c>
      <c r="O529">
        <v>0.05</v>
      </c>
      <c r="P529">
        <v>9000</v>
      </c>
      <c r="Q529">
        <v>144</v>
      </c>
      <c r="R529">
        <v>1</v>
      </c>
      <c r="S529" t="s">
        <v>3824</v>
      </c>
      <c r="T529">
        <v>19</v>
      </c>
      <c r="U529">
        <v>0.5</v>
      </c>
      <c r="V529">
        <v>1000</v>
      </c>
      <c r="W529">
        <v>6025</v>
      </c>
      <c r="X529">
        <v>1</v>
      </c>
      <c r="Y529">
        <v>2006</v>
      </c>
      <c r="Z529">
        <v>1</v>
      </c>
      <c r="AA529">
        <v>0.03</v>
      </c>
    </row>
    <row r="530" spans="1:27">
      <c r="A530">
        <v>1528</v>
      </c>
      <c r="B530" t="s">
        <v>4300</v>
      </c>
      <c r="C530">
        <v>150</v>
      </c>
      <c r="D530" t="s">
        <v>3823</v>
      </c>
      <c r="E530">
        <v>1</v>
      </c>
      <c r="F530">
        <v>0.14599999999999999</v>
      </c>
      <c r="G530">
        <v>8001</v>
      </c>
      <c r="H530">
        <v>385</v>
      </c>
      <c r="I530">
        <v>1</v>
      </c>
      <c r="J530">
        <v>8000</v>
      </c>
      <c r="K530">
        <v>580</v>
      </c>
      <c r="L530">
        <v>1</v>
      </c>
      <c r="M530">
        <v>2007</v>
      </c>
      <c r="N530">
        <v>1</v>
      </c>
      <c r="O530">
        <v>0.05</v>
      </c>
      <c r="P530">
        <v>9000</v>
      </c>
      <c r="Q530">
        <v>145</v>
      </c>
      <c r="R530">
        <v>1</v>
      </c>
      <c r="S530" t="s">
        <v>3824</v>
      </c>
      <c r="T530">
        <v>19</v>
      </c>
      <c r="U530">
        <v>0.5</v>
      </c>
      <c r="V530">
        <v>1000</v>
      </c>
      <c r="W530">
        <v>6030</v>
      </c>
      <c r="X530">
        <v>1</v>
      </c>
      <c r="Y530">
        <v>2006</v>
      </c>
      <c r="Z530">
        <v>1</v>
      </c>
      <c r="AA530">
        <v>0.03</v>
      </c>
    </row>
    <row r="531" spans="1:27">
      <c r="A531">
        <v>1529</v>
      </c>
      <c r="B531" t="s">
        <v>4292</v>
      </c>
      <c r="C531">
        <v>150</v>
      </c>
      <c r="D531" t="s">
        <v>3823</v>
      </c>
      <c r="E531">
        <v>1</v>
      </c>
      <c r="F531">
        <v>0.14599999999999999</v>
      </c>
      <c r="G531">
        <v>8001</v>
      </c>
      <c r="H531">
        <v>385</v>
      </c>
      <c r="I531">
        <v>1</v>
      </c>
      <c r="J531">
        <v>8000</v>
      </c>
      <c r="K531">
        <v>580</v>
      </c>
      <c r="L531">
        <v>1</v>
      </c>
      <c r="M531">
        <v>2007</v>
      </c>
      <c r="N531">
        <v>1</v>
      </c>
      <c r="O531">
        <v>0.05</v>
      </c>
      <c r="P531">
        <v>9000</v>
      </c>
      <c r="Q531">
        <v>145</v>
      </c>
      <c r="R531">
        <v>1</v>
      </c>
      <c r="S531" t="s">
        <v>3824</v>
      </c>
      <c r="T531">
        <v>19</v>
      </c>
      <c r="U531">
        <v>0.5</v>
      </c>
      <c r="V531">
        <v>1000</v>
      </c>
      <c r="W531">
        <v>6035</v>
      </c>
      <c r="X531">
        <v>1</v>
      </c>
      <c r="Y531">
        <v>2006</v>
      </c>
      <c r="Z531">
        <v>1</v>
      </c>
      <c r="AA531">
        <v>0.03</v>
      </c>
    </row>
    <row r="532" spans="1:27">
      <c r="A532">
        <v>1530</v>
      </c>
      <c r="B532" t="s">
        <v>4287</v>
      </c>
      <c r="C532">
        <v>150</v>
      </c>
      <c r="D532" t="s">
        <v>3823</v>
      </c>
      <c r="E532">
        <v>1</v>
      </c>
      <c r="F532">
        <v>0.14599999999999999</v>
      </c>
      <c r="G532">
        <v>8001</v>
      </c>
      <c r="H532">
        <v>385</v>
      </c>
      <c r="I532">
        <v>1</v>
      </c>
      <c r="J532">
        <v>8000</v>
      </c>
      <c r="K532">
        <v>580</v>
      </c>
      <c r="L532">
        <v>1</v>
      </c>
      <c r="M532">
        <v>2007</v>
      </c>
      <c r="N532">
        <v>1</v>
      </c>
      <c r="O532">
        <v>0.05</v>
      </c>
      <c r="P532">
        <v>9000</v>
      </c>
      <c r="Q532">
        <v>145</v>
      </c>
      <c r="R532">
        <v>1</v>
      </c>
      <c r="S532" t="s">
        <v>3824</v>
      </c>
      <c r="T532">
        <v>19</v>
      </c>
      <c r="U532">
        <v>0.5</v>
      </c>
      <c r="V532">
        <v>1000</v>
      </c>
      <c r="W532">
        <v>6045</v>
      </c>
      <c r="X532">
        <v>1</v>
      </c>
      <c r="Y532">
        <v>2006</v>
      </c>
      <c r="Z532">
        <v>1</v>
      </c>
      <c r="AA532">
        <v>0.03</v>
      </c>
    </row>
    <row r="533" spans="1:27">
      <c r="A533">
        <v>1531</v>
      </c>
      <c r="B533" t="s">
        <v>4301</v>
      </c>
      <c r="C533">
        <v>150</v>
      </c>
      <c r="D533" t="s">
        <v>3823</v>
      </c>
      <c r="E533">
        <v>1</v>
      </c>
      <c r="F533">
        <v>0.14599999999999999</v>
      </c>
      <c r="G533">
        <v>8001</v>
      </c>
      <c r="H533">
        <v>385</v>
      </c>
      <c r="I533">
        <v>1</v>
      </c>
      <c r="J533">
        <v>8000</v>
      </c>
      <c r="K533">
        <v>580</v>
      </c>
      <c r="L533">
        <v>1</v>
      </c>
      <c r="M533">
        <v>2007</v>
      </c>
      <c r="N533">
        <v>1</v>
      </c>
      <c r="O533">
        <v>0.05</v>
      </c>
      <c r="P533">
        <v>9000</v>
      </c>
      <c r="Q533">
        <v>145</v>
      </c>
      <c r="R533">
        <v>1</v>
      </c>
      <c r="S533" t="s">
        <v>3824</v>
      </c>
      <c r="T533">
        <v>19</v>
      </c>
      <c r="U533">
        <v>0.5</v>
      </c>
      <c r="V533">
        <v>1000</v>
      </c>
      <c r="W533">
        <v>6050</v>
      </c>
      <c r="X533">
        <v>1</v>
      </c>
      <c r="Y533">
        <v>2006</v>
      </c>
      <c r="Z533">
        <v>1</v>
      </c>
      <c r="AA533">
        <v>0.03</v>
      </c>
    </row>
    <row r="534" spans="1:27">
      <c r="A534">
        <v>1532</v>
      </c>
      <c r="B534" t="s">
        <v>4302</v>
      </c>
      <c r="C534">
        <v>150</v>
      </c>
      <c r="D534" t="s">
        <v>3823</v>
      </c>
      <c r="E534">
        <v>1</v>
      </c>
      <c r="F534">
        <v>0.14699999999999999</v>
      </c>
      <c r="G534">
        <v>8001</v>
      </c>
      <c r="H534">
        <v>385</v>
      </c>
      <c r="I534">
        <v>1</v>
      </c>
      <c r="J534">
        <v>8000</v>
      </c>
      <c r="K534">
        <v>580</v>
      </c>
      <c r="L534">
        <v>1</v>
      </c>
      <c r="M534">
        <v>2007</v>
      </c>
      <c r="N534">
        <v>1</v>
      </c>
      <c r="O534">
        <v>0.05</v>
      </c>
      <c r="P534">
        <v>9000</v>
      </c>
      <c r="Q534">
        <v>145</v>
      </c>
      <c r="R534">
        <v>1</v>
      </c>
      <c r="S534" t="s">
        <v>3824</v>
      </c>
      <c r="T534">
        <v>19</v>
      </c>
      <c r="U534">
        <v>0.5</v>
      </c>
      <c r="V534">
        <v>1000</v>
      </c>
      <c r="W534">
        <v>6055</v>
      </c>
      <c r="X534">
        <v>1</v>
      </c>
      <c r="Y534">
        <v>2006</v>
      </c>
      <c r="Z534">
        <v>1</v>
      </c>
      <c r="AA534">
        <v>0.03</v>
      </c>
    </row>
    <row r="535" spans="1:27">
      <c r="A535">
        <v>1533</v>
      </c>
      <c r="B535" t="s">
        <v>4303</v>
      </c>
      <c r="C535">
        <v>150</v>
      </c>
      <c r="D535" t="s">
        <v>3823</v>
      </c>
      <c r="E535">
        <v>1</v>
      </c>
      <c r="F535">
        <v>0.14699999999999999</v>
      </c>
      <c r="G535">
        <v>8001</v>
      </c>
      <c r="H535">
        <v>390</v>
      </c>
      <c r="I535">
        <v>1</v>
      </c>
      <c r="J535">
        <v>8000</v>
      </c>
      <c r="K535">
        <v>580</v>
      </c>
      <c r="L535">
        <v>1</v>
      </c>
      <c r="M535">
        <v>2007</v>
      </c>
      <c r="N535">
        <v>1</v>
      </c>
      <c r="O535">
        <v>0.05</v>
      </c>
      <c r="P535">
        <v>9000</v>
      </c>
      <c r="Q535">
        <v>145</v>
      </c>
      <c r="R535">
        <v>1</v>
      </c>
      <c r="S535" t="s">
        <v>3824</v>
      </c>
      <c r="T535">
        <v>19</v>
      </c>
      <c r="U535">
        <v>0.5</v>
      </c>
      <c r="V535">
        <v>1000</v>
      </c>
      <c r="W535">
        <v>6060</v>
      </c>
      <c r="X535">
        <v>1</v>
      </c>
      <c r="Y535">
        <v>2006</v>
      </c>
      <c r="Z535">
        <v>1</v>
      </c>
      <c r="AA535">
        <v>0.03</v>
      </c>
    </row>
    <row r="536" spans="1:27">
      <c r="A536">
        <v>1534</v>
      </c>
      <c r="B536" t="s">
        <v>4304</v>
      </c>
      <c r="C536">
        <v>150</v>
      </c>
      <c r="D536" t="s">
        <v>3823</v>
      </c>
      <c r="E536">
        <v>1</v>
      </c>
      <c r="F536">
        <v>0.14699999999999999</v>
      </c>
      <c r="G536">
        <v>8001</v>
      </c>
      <c r="H536">
        <v>390</v>
      </c>
      <c r="I536">
        <v>1</v>
      </c>
      <c r="J536">
        <v>8000</v>
      </c>
      <c r="K536">
        <v>580</v>
      </c>
      <c r="L536">
        <v>1</v>
      </c>
      <c r="M536">
        <v>2007</v>
      </c>
      <c r="N536">
        <v>1</v>
      </c>
      <c r="O536">
        <v>0.05</v>
      </c>
      <c r="P536">
        <v>9000</v>
      </c>
      <c r="Q536">
        <v>145</v>
      </c>
      <c r="R536">
        <v>1</v>
      </c>
      <c r="S536" t="s">
        <v>3824</v>
      </c>
      <c r="T536">
        <v>19</v>
      </c>
      <c r="U536">
        <v>0.5</v>
      </c>
      <c r="V536">
        <v>1000</v>
      </c>
      <c r="W536">
        <v>6065</v>
      </c>
      <c r="X536">
        <v>1</v>
      </c>
      <c r="Y536">
        <v>2006</v>
      </c>
      <c r="Z536">
        <v>1</v>
      </c>
      <c r="AA536">
        <v>0.03</v>
      </c>
    </row>
    <row r="537" spans="1:27">
      <c r="A537">
        <v>1535</v>
      </c>
      <c r="B537" t="s">
        <v>4305</v>
      </c>
      <c r="C537">
        <v>150</v>
      </c>
      <c r="D537" t="s">
        <v>3823</v>
      </c>
      <c r="E537">
        <v>1</v>
      </c>
      <c r="F537">
        <v>0.14699999999999999</v>
      </c>
      <c r="G537">
        <v>8001</v>
      </c>
      <c r="H537">
        <v>390</v>
      </c>
      <c r="I537">
        <v>1</v>
      </c>
      <c r="J537">
        <v>8000</v>
      </c>
      <c r="K537">
        <v>585</v>
      </c>
      <c r="L537">
        <v>1</v>
      </c>
      <c r="M537">
        <v>2007</v>
      </c>
      <c r="N537">
        <v>1</v>
      </c>
      <c r="O537">
        <v>0.05</v>
      </c>
      <c r="P537">
        <v>9000</v>
      </c>
      <c r="Q537">
        <v>146</v>
      </c>
      <c r="R537">
        <v>1</v>
      </c>
      <c r="S537" t="s">
        <v>3824</v>
      </c>
      <c r="T537">
        <v>19</v>
      </c>
      <c r="U537">
        <v>0.5</v>
      </c>
      <c r="V537">
        <v>1000</v>
      </c>
      <c r="W537">
        <v>6070</v>
      </c>
      <c r="X537">
        <v>1</v>
      </c>
      <c r="Y537">
        <v>2006</v>
      </c>
      <c r="Z537">
        <v>1</v>
      </c>
      <c r="AA537">
        <v>0.03</v>
      </c>
    </row>
    <row r="538" spans="1:27">
      <c r="A538">
        <v>1536</v>
      </c>
      <c r="B538" t="s">
        <v>4306</v>
      </c>
      <c r="C538">
        <v>150</v>
      </c>
      <c r="D538" t="s">
        <v>3823</v>
      </c>
      <c r="E538">
        <v>1</v>
      </c>
      <c r="F538">
        <v>0.14699999999999999</v>
      </c>
      <c r="G538">
        <v>8001</v>
      </c>
      <c r="H538">
        <v>390</v>
      </c>
      <c r="I538">
        <v>1</v>
      </c>
      <c r="J538">
        <v>8000</v>
      </c>
      <c r="K538">
        <v>585</v>
      </c>
      <c r="L538">
        <v>1</v>
      </c>
      <c r="M538">
        <v>2007</v>
      </c>
      <c r="N538">
        <v>1</v>
      </c>
      <c r="O538">
        <v>0.05</v>
      </c>
      <c r="P538">
        <v>9000</v>
      </c>
      <c r="Q538">
        <v>146</v>
      </c>
      <c r="R538">
        <v>1</v>
      </c>
      <c r="S538" t="s">
        <v>3824</v>
      </c>
      <c r="T538">
        <v>19</v>
      </c>
      <c r="U538">
        <v>0.5</v>
      </c>
      <c r="V538">
        <v>1000</v>
      </c>
      <c r="W538">
        <v>6075</v>
      </c>
      <c r="X538">
        <v>1</v>
      </c>
      <c r="Y538">
        <v>2006</v>
      </c>
      <c r="Z538">
        <v>1</v>
      </c>
      <c r="AA538">
        <v>0.03</v>
      </c>
    </row>
    <row r="539" spans="1:27">
      <c r="A539">
        <v>1537</v>
      </c>
      <c r="B539" t="s">
        <v>4307</v>
      </c>
      <c r="C539">
        <v>150</v>
      </c>
      <c r="D539" t="s">
        <v>3823</v>
      </c>
      <c r="E539">
        <v>1</v>
      </c>
      <c r="F539">
        <v>0.14699999999999999</v>
      </c>
      <c r="G539">
        <v>8001</v>
      </c>
      <c r="H539">
        <v>390</v>
      </c>
      <c r="I539">
        <v>1</v>
      </c>
      <c r="J539">
        <v>8000</v>
      </c>
      <c r="K539">
        <v>585</v>
      </c>
      <c r="L539">
        <v>1</v>
      </c>
      <c r="M539">
        <v>2007</v>
      </c>
      <c r="N539">
        <v>1</v>
      </c>
      <c r="O539">
        <v>0.05</v>
      </c>
      <c r="P539">
        <v>9000</v>
      </c>
      <c r="Q539">
        <v>146</v>
      </c>
      <c r="R539">
        <v>1</v>
      </c>
      <c r="S539" t="s">
        <v>3824</v>
      </c>
      <c r="T539">
        <v>19</v>
      </c>
      <c r="U539">
        <v>0.5</v>
      </c>
      <c r="V539">
        <v>1000</v>
      </c>
      <c r="W539">
        <v>6080</v>
      </c>
      <c r="X539">
        <v>1</v>
      </c>
      <c r="Y539">
        <v>2006</v>
      </c>
      <c r="Z539">
        <v>1</v>
      </c>
      <c r="AA539">
        <v>0.03</v>
      </c>
    </row>
    <row r="540" spans="1:27">
      <c r="A540">
        <v>1538</v>
      </c>
      <c r="B540" t="s">
        <v>4308</v>
      </c>
      <c r="C540">
        <v>150</v>
      </c>
      <c r="D540" t="s">
        <v>3823</v>
      </c>
      <c r="E540">
        <v>1</v>
      </c>
      <c r="F540">
        <v>0.14699999999999999</v>
      </c>
      <c r="G540">
        <v>8001</v>
      </c>
      <c r="H540">
        <v>390</v>
      </c>
      <c r="I540">
        <v>1</v>
      </c>
      <c r="J540">
        <v>8000</v>
      </c>
      <c r="K540">
        <v>585</v>
      </c>
      <c r="L540">
        <v>1</v>
      </c>
      <c r="M540">
        <v>2007</v>
      </c>
      <c r="N540">
        <v>1</v>
      </c>
      <c r="O540">
        <v>0.05</v>
      </c>
      <c r="P540">
        <v>9000</v>
      </c>
      <c r="Q540">
        <v>146</v>
      </c>
      <c r="R540">
        <v>1</v>
      </c>
      <c r="S540" t="s">
        <v>3824</v>
      </c>
      <c r="T540">
        <v>19</v>
      </c>
      <c r="U540">
        <v>0.5</v>
      </c>
      <c r="V540">
        <v>1000</v>
      </c>
      <c r="W540">
        <v>6085</v>
      </c>
      <c r="X540">
        <v>1</v>
      </c>
      <c r="Y540">
        <v>2006</v>
      </c>
      <c r="Z540">
        <v>1</v>
      </c>
      <c r="AA540">
        <v>0.03</v>
      </c>
    </row>
    <row r="541" spans="1:27">
      <c r="A541">
        <v>1539</v>
      </c>
      <c r="B541" t="s">
        <v>4291</v>
      </c>
      <c r="C541">
        <v>150</v>
      </c>
      <c r="D541" t="s">
        <v>3823</v>
      </c>
      <c r="E541">
        <v>1</v>
      </c>
      <c r="F541">
        <v>0.14699999999999999</v>
      </c>
      <c r="G541">
        <v>8001</v>
      </c>
      <c r="H541">
        <v>390</v>
      </c>
      <c r="I541">
        <v>1</v>
      </c>
      <c r="J541">
        <v>8000</v>
      </c>
      <c r="K541">
        <v>585</v>
      </c>
      <c r="L541">
        <v>1</v>
      </c>
      <c r="M541">
        <v>2007</v>
      </c>
      <c r="N541">
        <v>1</v>
      </c>
      <c r="O541">
        <v>0.05</v>
      </c>
      <c r="P541">
        <v>9000</v>
      </c>
      <c r="Q541">
        <v>146</v>
      </c>
      <c r="R541">
        <v>1</v>
      </c>
      <c r="S541" t="s">
        <v>3824</v>
      </c>
      <c r="T541">
        <v>19</v>
      </c>
      <c r="U541">
        <v>0.5</v>
      </c>
      <c r="V541">
        <v>1000</v>
      </c>
      <c r="W541">
        <v>6090</v>
      </c>
      <c r="X541">
        <v>1</v>
      </c>
      <c r="Y541">
        <v>2006</v>
      </c>
      <c r="Z541">
        <v>1</v>
      </c>
      <c r="AA541">
        <v>0.03</v>
      </c>
    </row>
    <row r="542" spans="1:27">
      <c r="A542">
        <v>1540</v>
      </c>
      <c r="B542" t="s">
        <v>4309</v>
      </c>
      <c r="C542">
        <v>150</v>
      </c>
      <c r="D542" t="s">
        <v>3823</v>
      </c>
      <c r="E542">
        <v>1</v>
      </c>
      <c r="F542">
        <v>0.14699999999999999</v>
      </c>
      <c r="G542">
        <v>8001</v>
      </c>
      <c r="H542">
        <v>390</v>
      </c>
      <c r="I542">
        <v>1</v>
      </c>
      <c r="J542">
        <v>8000</v>
      </c>
      <c r="K542">
        <v>585</v>
      </c>
      <c r="L542">
        <v>1</v>
      </c>
      <c r="M542">
        <v>2007</v>
      </c>
      <c r="N542">
        <v>1</v>
      </c>
      <c r="O542">
        <v>0.05</v>
      </c>
      <c r="P542">
        <v>9000</v>
      </c>
      <c r="Q542">
        <v>146</v>
      </c>
      <c r="R542">
        <v>1</v>
      </c>
      <c r="S542" t="s">
        <v>3824</v>
      </c>
      <c r="T542">
        <v>20</v>
      </c>
      <c r="U542">
        <v>0.5</v>
      </c>
      <c r="V542">
        <v>1000</v>
      </c>
      <c r="W542">
        <v>6095</v>
      </c>
      <c r="X542">
        <v>1</v>
      </c>
      <c r="Y542">
        <v>2006</v>
      </c>
      <c r="Z542">
        <v>1</v>
      </c>
      <c r="AA542">
        <v>0.03</v>
      </c>
    </row>
    <row r="543" spans="1:27">
      <c r="A543">
        <v>1541</v>
      </c>
      <c r="B543" t="s">
        <v>4310</v>
      </c>
      <c r="C543">
        <v>150</v>
      </c>
      <c r="D543" t="s">
        <v>3823</v>
      </c>
      <c r="E543">
        <v>1</v>
      </c>
      <c r="F543">
        <v>0.14699999999999999</v>
      </c>
      <c r="G543">
        <v>8001</v>
      </c>
      <c r="H543">
        <v>390</v>
      </c>
      <c r="I543">
        <v>1</v>
      </c>
      <c r="J543">
        <v>8000</v>
      </c>
      <c r="K543">
        <v>585</v>
      </c>
      <c r="L543">
        <v>1</v>
      </c>
      <c r="M543">
        <v>2007</v>
      </c>
      <c r="N543">
        <v>1</v>
      </c>
      <c r="O543">
        <v>0.05</v>
      </c>
      <c r="P543">
        <v>9000</v>
      </c>
      <c r="Q543">
        <v>146</v>
      </c>
      <c r="R543">
        <v>1</v>
      </c>
      <c r="S543" t="s">
        <v>3824</v>
      </c>
      <c r="T543">
        <v>20</v>
      </c>
      <c r="U543">
        <v>0.5</v>
      </c>
      <c r="V543">
        <v>1000</v>
      </c>
      <c r="W543">
        <v>6100</v>
      </c>
      <c r="X543">
        <v>1</v>
      </c>
      <c r="Y543">
        <v>2006</v>
      </c>
      <c r="Z543">
        <v>1</v>
      </c>
      <c r="AA543">
        <v>0.03</v>
      </c>
    </row>
    <row r="544" spans="1:27">
      <c r="A544">
        <v>1542</v>
      </c>
      <c r="B544" t="s">
        <v>4311</v>
      </c>
      <c r="C544">
        <v>150</v>
      </c>
      <c r="D544" t="s">
        <v>3823</v>
      </c>
      <c r="E544">
        <v>1</v>
      </c>
      <c r="F544">
        <v>0.14699999999999999</v>
      </c>
      <c r="G544">
        <v>8001</v>
      </c>
      <c r="H544">
        <v>390</v>
      </c>
      <c r="I544">
        <v>1</v>
      </c>
      <c r="J544">
        <v>8000</v>
      </c>
      <c r="K544">
        <v>585</v>
      </c>
      <c r="L544">
        <v>1</v>
      </c>
      <c r="M544">
        <v>2007</v>
      </c>
      <c r="N544">
        <v>1</v>
      </c>
      <c r="O544">
        <v>0.05</v>
      </c>
      <c r="P544">
        <v>9000</v>
      </c>
      <c r="Q544">
        <v>146</v>
      </c>
      <c r="R544">
        <v>1</v>
      </c>
      <c r="S544" t="s">
        <v>3824</v>
      </c>
      <c r="T544">
        <v>20</v>
      </c>
      <c r="U544">
        <v>0.5</v>
      </c>
      <c r="V544">
        <v>1000</v>
      </c>
      <c r="W544">
        <v>6105</v>
      </c>
      <c r="X544">
        <v>1</v>
      </c>
      <c r="Y544">
        <v>2006</v>
      </c>
      <c r="Z544">
        <v>1</v>
      </c>
      <c r="AA544">
        <v>0.03</v>
      </c>
    </row>
    <row r="545" spans="1:27">
      <c r="A545">
        <v>1543</v>
      </c>
      <c r="B545" t="s">
        <v>4312</v>
      </c>
      <c r="C545">
        <v>150</v>
      </c>
      <c r="D545" t="s">
        <v>3823</v>
      </c>
      <c r="E545">
        <v>1</v>
      </c>
      <c r="F545">
        <v>0.14799999999999999</v>
      </c>
      <c r="G545">
        <v>8001</v>
      </c>
      <c r="H545">
        <v>390</v>
      </c>
      <c r="I545">
        <v>1</v>
      </c>
      <c r="J545">
        <v>8000</v>
      </c>
      <c r="K545">
        <v>585</v>
      </c>
      <c r="L545">
        <v>1</v>
      </c>
      <c r="M545">
        <v>2007</v>
      </c>
      <c r="N545">
        <v>1</v>
      </c>
      <c r="O545">
        <v>0.05</v>
      </c>
      <c r="P545">
        <v>9000</v>
      </c>
      <c r="Q545">
        <v>147</v>
      </c>
      <c r="R545">
        <v>1</v>
      </c>
      <c r="S545" t="s">
        <v>3824</v>
      </c>
      <c r="T545">
        <v>20</v>
      </c>
      <c r="U545">
        <v>0.5</v>
      </c>
      <c r="V545">
        <v>1000</v>
      </c>
      <c r="W545">
        <v>6110</v>
      </c>
      <c r="X545">
        <v>1</v>
      </c>
      <c r="Y545">
        <v>2006</v>
      </c>
      <c r="Z545">
        <v>1</v>
      </c>
      <c r="AA545">
        <v>0.03</v>
      </c>
    </row>
    <row r="546" spans="1:27">
      <c r="A546">
        <v>1544</v>
      </c>
      <c r="B546" t="s">
        <v>4300</v>
      </c>
      <c r="C546">
        <v>150</v>
      </c>
      <c r="D546" t="s">
        <v>3823</v>
      </c>
      <c r="E546">
        <v>1</v>
      </c>
      <c r="F546">
        <v>0.14799999999999999</v>
      </c>
      <c r="G546">
        <v>8001</v>
      </c>
      <c r="H546">
        <v>390</v>
      </c>
      <c r="I546">
        <v>1</v>
      </c>
      <c r="J546">
        <v>8000</v>
      </c>
      <c r="K546">
        <v>585</v>
      </c>
      <c r="L546">
        <v>1</v>
      </c>
      <c r="M546">
        <v>2007</v>
      </c>
      <c r="N546">
        <v>1</v>
      </c>
      <c r="O546">
        <v>0.05</v>
      </c>
      <c r="P546">
        <v>9000</v>
      </c>
      <c r="Q546">
        <v>147</v>
      </c>
      <c r="R546">
        <v>1</v>
      </c>
      <c r="S546" t="s">
        <v>3824</v>
      </c>
      <c r="T546">
        <v>20</v>
      </c>
      <c r="U546">
        <v>0.5</v>
      </c>
      <c r="V546">
        <v>1000</v>
      </c>
      <c r="W546">
        <v>6115</v>
      </c>
      <c r="X546">
        <v>1</v>
      </c>
      <c r="Y546">
        <v>2006</v>
      </c>
      <c r="Z546">
        <v>1</v>
      </c>
      <c r="AA546">
        <v>0.03</v>
      </c>
    </row>
    <row r="547" spans="1:27">
      <c r="A547">
        <v>1545</v>
      </c>
      <c r="B547" t="s">
        <v>4313</v>
      </c>
      <c r="C547">
        <v>150</v>
      </c>
      <c r="D547" t="s">
        <v>3823</v>
      </c>
      <c r="E547">
        <v>1</v>
      </c>
      <c r="F547">
        <v>0.14799999999999999</v>
      </c>
      <c r="G547">
        <v>8001</v>
      </c>
      <c r="H547">
        <v>390</v>
      </c>
      <c r="I547">
        <v>1</v>
      </c>
      <c r="J547">
        <v>8000</v>
      </c>
      <c r="K547">
        <v>590</v>
      </c>
      <c r="L547">
        <v>1</v>
      </c>
      <c r="M547">
        <v>2007</v>
      </c>
      <c r="N547">
        <v>1</v>
      </c>
      <c r="O547">
        <v>0.05</v>
      </c>
      <c r="P547">
        <v>9000</v>
      </c>
      <c r="Q547">
        <v>147</v>
      </c>
      <c r="R547">
        <v>1</v>
      </c>
      <c r="S547" t="s">
        <v>3824</v>
      </c>
      <c r="T547">
        <v>20</v>
      </c>
      <c r="U547">
        <v>0.5</v>
      </c>
      <c r="V547">
        <v>1000</v>
      </c>
      <c r="W547">
        <v>6120</v>
      </c>
      <c r="X547">
        <v>1</v>
      </c>
      <c r="Y547">
        <v>2006</v>
      </c>
      <c r="Z547">
        <v>1</v>
      </c>
      <c r="AA547">
        <v>0.03</v>
      </c>
    </row>
    <row r="548" spans="1:27">
      <c r="A548">
        <v>1546</v>
      </c>
      <c r="B548" t="s">
        <v>4314</v>
      </c>
      <c r="C548">
        <v>150</v>
      </c>
      <c r="D548" t="s">
        <v>3823</v>
      </c>
      <c r="E548">
        <v>1</v>
      </c>
      <c r="F548">
        <v>0.14799999999999999</v>
      </c>
      <c r="G548">
        <v>8001</v>
      </c>
      <c r="H548">
        <v>390</v>
      </c>
      <c r="I548">
        <v>1</v>
      </c>
      <c r="J548">
        <v>8000</v>
      </c>
      <c r="K548">
        <v>590</v>
      </c>
      <c r="L548">
        <v>1</v>
      </c>
      <c r="M548">
        <v>2007</v>
      </c>
      <c r="N548">
        <v>1</v>
      </c>
      <c r="O548">
        <v>0.05</v>
      </c>
      <c r="P548">
        <v>9000</v>
      </c>
      <c r="Q548">
        <v>147</v>
      </c>
      <c r="R548">
        <v>1</v>
      </c>
      <c r="S548" t="s">
        <v>3824</v>
      </c>
      <c r="T548">
        <v>20</v>
      </c>
      <c r="U548">
        <v>0.5</v>
      </c>
      <c r="V548">
        <v>1000</v>
      </c>
      <c r="W548">
        <v>6125</v>
      </c>
      <c r="X548">
        <v>1</v>
      </c>
      <c r="Y548">
        <v>2006</v>
      </c>
      <c r="Z548">
        <v>1</v>
      </c>
      <c r="AA548">
        <v>0.03</v>
      </c>
    </row>
    <row r="549" spans="1:27">
      <c r="A549">
        <v>1547</v>
      </c>
      <c r="B549" t="s">
        <v>4310</v>
      </c>
      <c r="C549">
        <v>150</v>
      </c>
      <c r="D549" t="s">
        <v>3823</v>
      </c>
      <c r="E549">
        <v>1</v>
      </c>
      <c r="F549">
        <v>0.14799999999999999</v>
      </c>
      <c r="G549">
        <v>8001</v>
      </c>
      <c r="H549">
        <v>390</v>
      </c>
      <c r="I549">
        <v>1</v>
      </c>
      <c r="J549">
        <v>8000</v>
      </c>
      <c r="K549">
        <v>590</v>
      </c>
      <c r="L549">
        <v>1</v>
      </c>
      <c r="M549">
        <v>2007</v>
      </c>
      <c r="N549">
        <v>1</v>
      </c>
      <c r="O549">
        <v>0.05</v>
      </c>
      <c r="P549">
        <v>9000</v>
      </c>
      <c r="Q549">
        <v>147</v>
      </c>
      <c r="R549">
        <v>1</v>
      </c>
      <c r="S549" t="s">
        <v>3824</v>
      </c>
      <c r="T549">
        <v>20</v>
      </c>
      <c r="U549">
        <v>0.5</v>
      </c>
      <c r="V549">
        <v>1000</v>
      </c>
      <c r="W549">
        <v>6130</v>
      </c>
      <c r="X549">
        <v>1</v>
      </c>
      <c r="Y549">
        <v>2006</v>
      </c>
      <c r="Z549">
        <v>1</v>
      </c>
      <c r="AA549">
        <v>0.03</v>
      </c>
    </row>
    <row r="550" spans="1:27">
      <c r="A550">
        <v>1548</v>
      </c>
      <c r="B550" t="s">
        <v>4315</v>
      </c>
      <c r="C550">
        <v>150</v>
      </c>
      <c r="D550" t="s">
        <v>3823</v>
      </c>
      <c r="E550">
        <v>1</v>
      </c>
      <c r="F550">
        <v>0.14799999999999999</v>
      </c>
      <c r="G550">
        <v>8001</v>
      </c>
      <c r="H550">
        <v>395</v>
      </c>
      <c r="I550">
        <v>1</v>
      </c>
      <c r="J550">
        <v>8000</v>
      </c>
      <c r="K550">
        <v>590</v>
      </c>
      <c r="L550">
        <v>1</v>
      </c>
      <c r="M550">
        <v>2007</v>
      </c>
      <c r="N550">
        <v>1</v>
      </c>
      <c r="O550">
        <v>0.05</v>
      </c>
      <c r="P550">
        <v>9000</v>
      </c>
      <c r="Q550">
        <v>147</v>
      </c>
      <c r="R550">
        <v>1</v>
      </c>
      <c r="S550" t="s">
        <v>3824</v>
      </c>
      <c r="T550">
        <v>20</v>
      </c>
      <c r="U550">
        <v>0.5</v>
      </c>
      <c r="V550">
        <v>1000</v>
      </c>
      <c r="W550">
        <v>6135</v>
      </c>
      <c r="X550">
        <v>1</v>
      </c>
      <c r="Y550">
        <v>2006</v>
      </c>
      <c r="Z550">
        <v>1</v>
      </c>
      <c r="AA550">
        <v>0.03</v>
      </c>
    </row>
    <row r="551" spans="1:27">
      <c r="A551">
        <v>1549</v>
      </c>
      <c r="B551" t="s">
        <v>4316</v>
      </c>
      <c r="C551">
        <v>150</v>
      </c>
      <c r="D551" t="s">
        <v>3823</v>
      </c>
      <c r="E551">
        <v>1</v>
      </c>
      <c r="F551">
        <v>0.14799999999999999</v>
      </c>
      <c r="G551">
        <v>8001</v>
      </c>
      <c r="H551">
        <v>395</v>
      </c>
      <c r="I551">
        <v>1</v>
      </c>
      <c r="J551">
        <v>8000</v>
      </c>
      <c r="K551">
        <v>590</v>
      </c>
      <c r="L551">
        <v>1</v>
      </c>
      <c r="M551">
        <v>2007</v>
      </c>
      <c r="N551">
        <v>1</v>
      </c>
      <c r="O551">
        <v>0.05</v>
      </c>
      <c r="P551">
        <v>9000</v>
      </c>
      <c r="Q551">
        <v>147</v>
      </c>
      <c r="R551">
        <v>1</v>
      </c>
      <c r="S551" t="s">
        <v>3824</v>
      </c>
      <c r="T551">
        <v>20</v>
      </c>
      <c r="U551">
        <v>0.5</v>
      </c>
      <c r="V551">
        <v>1000</v>
      </c>
      <c r="W551">
        <v>6140</v>
      </c>
      <c r="X551">
        <v>1</v>
      </c>
      <c r="Y551">
        <v>2006</v>
      </c>
      <c r="Z551">
        <v>1</v>
      </c>
      <c r="AA551">
        <v>0.03</v>
      </c>
    </row>
    <row r="552" spans="1:27">
      <c r="A552">
        <v>1550</v>
      </c>
      <c r="B552" t="s">
        <v>4317</v>
      </c>
      <c r="C552">
        <v>150</v>
      </c>
      <c r="D552" t="s">
        <v>3823</v>
      </c>
      <c r="E552">
        <v>1</v>
      </c>
      <c r="F552">
        <v>0.14799999999999999</v>
      </c>
      <c r="G552">
        <v>8001</v>
      </c>
      <c r="H552">
        <v>395</v>
      </c>
      <c r="I552">
        <v>1</v>
      </c>
      <c r="J552">
        <v>8000</v>
      </c>
      <c r="K552">
        <v>590</v>
      </c>
      <c r="L552">
        <v>1</v>
      </c>
      <c r="M552">
        <v>2007</v>
      </c>
      <c r="N552">
        <v>1</v>
      </c>
      <c r="O552">
        <v>0.05</v>
      </c>
      <c r="P552">
        <v>9000</v>
      </c>
      <c r="Q552">
        <v>147</v>
      </c>
      <c r="R552">
        <v>1</v>
      </c>
      <c r="S552" t="s">
        <v>3824</v>
      </c>
      <c r="T552">
        <v>20</v>
      </c>
      <c r="U552">
        <v>0.5</v>
      </c>
      <c r="V552">
        <v>1000</v>
      </c>
      <c r="W552">
        <v>6145</v>
      </c>
      <c r="X552">
        <v>1</v>
      </c>
      <c r="Y552">
        <v>2006</v>
      </c>
      <c r="Z552">
        <v>1</v>
      </c>
      <c r="AA552">
        <v>0.03</v>
      </c>
    </row>
    <row r="553" spans="1:27">
      <c r="A553">
        <v>1551</v>
      </c>
      <c r="B553" t="s">
        <v>4318</v>
      </c>
      <c r="C553">
        <v>150</v>
      </c>
      <c r="D553" t="s">
        <v>3823</v>
      </c>
      <c r="E553">
        <v>1</v>
      </c>
      <c r="F553">
        <v>0.14799999999999999</v>
      </c>
      <c r="G553">
        <v>8001</v>
      </c>
      <c r="H553">
        <v>395</v>
      </c>
      <c r="I553">
        <v>1</v>
      </c>
      <c r="J553">
        <v>8000</v>
      </c>
      <c r="K553">
        <v>590</v>
      </c>
      <c r="L553">
        <v>1</v>
      </c>
      <c r="M553">
        <v>2007</v>
      </c>
      <c r="N553">
        <v>1</v>
      </c>
      <c r="O553">
        <v>0.05</v>
      </c>
      <c r="P553">
        <v>9000</v>
      </c>
      <c r="Q553">
        <v>147</v>
      </c>
      <c r="R553">
        <v>1</v>
      </c>
      <c r="S553" t="s">
        <v>3824</v>
      </c>
      <c r="T553">
        <v>20</v>
      </c>
      <c r="U553">
        <v>0.5</v>
      </c>
      <c r="V553">
        <v>1000</v>
      </c>
      <c r="W553">
        <v>6145</v>
      </c>
      <c r="X553">
        <v>1</v>
      </c>
      <c r="Y553">
        <v>2006</v>
      </c>
      <c r="Z553">
        <v>1</v>
      </c>
      <c r="AA553">
        <v>0.03</v>
      </c>
    </row>
    <row r="554" spans="1:27">
      <c r="A554">
        <v>1552</v>
      </c>
      <c r="B554" t="s">
        <v>4319</v>
      </c>
      <c r="C554">
        <v>150</v>
      </c>
      <c r="D554" t="s">
        <v>3823</v>
      </c>
      <c r="E554">
        <v>1</v>
      </c>
      <c r="F554">
        <v>0.14799999999999999</v>
      </c>
      <c r="G554">
        <v>8001</v>
      </c>
      <c r="H554">
        <v>395</v>
      </c>
      <c r="I554">
        <v>1</v>
      </c>
      <c r="J554">
        <v>8000</v>
      </c>
      <c r="K554">
        <v>590</v>
      </c>
      <c r="L554">
        <v>1</v>
      </c>
      <c r="M554">
        <v>2007</v>
      </c>
      <c r="N554">
        <v>1</v>
      </c>
      <c r="O554">
        <v>0.05</v>
      </c>
      <c r="P554">
        <v>9000</v>
      </c>
      <c r="Q554">
        <v>148</v>
      </c>
      <c r="R554">
        <v>1</v>
      </c>
      <c r="S554" t="s">
        <v>3824</v>
      </c>
      <c r="T554">
        <v>20</v>
      </c>
      <c r="U554">
        <v>0.5</v>
      </c>
      <c r="V554">
        <v>1000</v>
      </c>
      <c r="W554">
        <v>6150</v>
      </c>
      <c r="X554">
        <v>1</v>
      </c>
      <c r="Y554">
        <v>2006</v>
      </c>
      <c r="Z554">
        <v>1</v>
      </c>
      <c r="AA554">
        <v>0.03</v>
      </c>
    </row>
    <row r="555" spans="1:27">
      <c r="A555">
        <v>1553</v>
      </c>
      <c r="B555" t="s">
        <v>4320</v>
      </c>
      <c r="C555">
        <v>150</v>
      </c>
      <c r="D555" t="s">
        <v>3823</v>
      </c>
      <c r="E555">
        <v>1</v>
      </c>
      <c r="F555">
        <v>0.14799999999999999</v>
      </c>
      <c r="G555">
        <v>8001</v>
      </c>
      <c r="H555">
        <v>395</v>
      </c>
      <c r="I555">
        <v>1</v>
      </c>
      <c r="J555">
        <v>8000</v>
      </c>
      <c r="K555">
        <v>590</v>
      </c>
      <c r="L555">
        <v>1</v>
      </c>
      <c r="M555">
        <v>2007</v>
      </c>
      <c r="N555">
        <v>1</v>
      </c>
      <c r="O555">
        <v>0.05</v>
      </c>
      <c r="P555">
        <v>9000</v>
      </c>
      <c r="Q555">
        <v>148</v>
      </c>
      <c r="R555">
        <v>1</v>
      </c>
      <c r="S555" t="s">
        <v>3824</v>
      </c>
      <c r="T555">
        <v>20</v>
      </c>
      <c r="U555">
        <v>0.5</v>
      </c>
      <c r="V555">
        <v>1000</v>
      </c>
      <c r="W555">
        <v>6155</v>
      </c>
      <c r="X555">
        <v>1</v>
      </c>
      <c r="Y555">
        <v>2006</v>
      </c>
      <c r="Z555">
        <v>1</v>
      </c>
      <c r="AA555">
        <v>0.03</v>
      </c>
    </row>
    <row r="556" spans="1:27">
      <c r="A556">
        <v>1554</v>
      </c>
      <c r="B556" t="s">
        <v>4318</v>
      </c>
      <c r="C556">
        <v>150</v>
      </c>
      <c r="D556" t="s">
        <v>3823</v>
      </c>
      <c r="E556">
        <v>1</v>
      </c>
      <c r="F556">
        <v>0.14799999999999999</v>
      </c>
      <c r="G556">
        <v>8001</v>
      </c>
      <c r="H556">
        <v>395</v>
      </c>
      <c r="I556">
        <v>1</v>
      </c>
      <c r="J556">
        <v>8000</v>
      </c>
      <c r="K556">
        <v>590</v>
      </c>
      <c r="L556">
        <v>1</v>
      </c>
      <c r="M556">
        <v>2007</v>
      </c>
      <c r="N556">
        <v>1</v>
      </c>
      <c r="O556">
        <v>0.05</v>
      </c>
      <c r="P556">
        <v>9000</v>
      </c>
      <c r="Q556">
        <v>148</v>
      </c>
      <c r="R556">
        <v>1</v>
      </c>
      <c r="S556" t="s">
        <v>3824</v>
      </c>
      <c r="T556">
        <v>20</v>
      </c>
      <c r="U556">
        <v>0.5</v>
      </c>
      <c r="V556">
        <v>1000</v>
      </c>
      <c r="W556">
        <v>6160</v>
      </c>
      <c r="X556">
        <v>1</v>
      </c>
      <c r="Y556">
        <v>2006</v>
      </c>
      <c r="Z556">
        <v>1</v>
      </c>
      <c r="AA556">
        <v>0.03</v>
      </c>
    </row>
    <row r="557" spans="1:27">
      <c r="A557">
        <v>1555</v>
      </c>
      <c r="B557" t="s">
        <v>4321</v>
      </c>
      <c r="C557">
        <v>150</v>
      </c>
      <c r="D557" t="s">
        <v>3823</v>
      </c>
      <c r="E557">
        <v>1</v>
      </c>
      <c r="F557">
        <v>0.14799999999999999</v>
      </c>
      <c r="G557">
        <v>8001</v>
      </c>
      <c r="H557">
        <v>395</v>
      </c>
      <c r="I557">
        <v>1</v>
      </c>
      <c r="J557">
        <v>8000</v>
      </c>
      <c r="K557">
        <v>590</v>
      </c>
      <c r="L557">
        <v>1</v>
      </c>
      <c r="M557">
        <v>2007</v>
      </c>
      <c r="N557">
        <v>1</v>
      </c>
      <c r="O557">
        <v>0.05</v>
      </c>
      <c r="P557">
        <v>9000</v>
      </c>
      <c r="Q557">
        <v>148</v>
      </c>
      <c r="R557">
        <v>1</v>
      </c>
      <c r="S557" t="s">
        <v>3824</v>
      </c>
      <c r="T557">
        <v>20</v>
      </c>
      <c r="U557">
        <v>0.5</v>
      </c>
      <c r="V557">
        <v>1000</v>
      </c>
      <c r="W557">
        <v>6165</v>
      </c>
      <c r="X557">
        <v>1</v>
      </c>
      <c r="Y557">
        <v>2006</v>
      </c>
      <c r="Z557">
        <v>1</v>
      </c>
      <c r="AA557">
        <v>0.03</v>
      </c>
    </row>
    <row r="558" spans="1:27">
      <c r="A558">
        <v>1556</v>
      </c>
      <c r="B558" t="s">
        <v>4318</v>
      </c>
      <c r="C558">
        <v>150</v>
      </c>
      <c r="D558" t="s">
        <v>3823</v>
      </c>
      <c r="E558">
        <v>1</v>
      </c>
      <c r="F558">
        <v>0.14899999999999999</v>
      </c>
      <c r="G558">
        <v>8001</v>
      </c>
      <c r="H558">
        <v>395</v>
      </c>
      <c r="I558">
        <v>1</v>
      </c>
      <c r="J558">
        <v>8000</v>
      </c>
      <c r="K558">
        <v>590</v>
      </c>
      <c r="L558">
        <v>1</v>
      </c>
      <c r="M558">
        <v>2007</v>
      </c>
      <c r="N558">
        <v>1</v>
      </c>
      <c r="O558">
        <v>0.05</v>
      </c>
      <c r="P558">
        <v>9000</v>
      </c>
      <c r="Q558">
        <v>148</v>
      </c>
      <c r="R558">
        <v>1</v>
      </c>
      <c r="S558" t="s">
        <v>3824</v>
      </c>
      <c r="T558">
        <v>20</v>
      </c>
      <c r="U558">
        <v>0.5</v>
      </c>
      <c r="V558">
        <v>1000</v>
      </c>
      <c r="W558">
        <v>6165</v>
      </c>
      <c r="X558">
        <v>1</v>
      </c>
      <c r="Y558">
        <v>2006</v>
      </c>
      <c r="Z558">
        <v>1</v>
      </c>
      <c r="AA558">
        <v>0.03</v>
      </c>
    </row>
    <row r="559" spans="1:27">
      <c r="A559">
        <v>1557</v>
      </c>
      <c r="B559" t="s">
        <v>4322</v>
      </c>
      <c r="C559">
        <v>150</v>
      </c>
      <c r="D559" t="s">
        <v>3823</v>
      </c>
      <c r="E559">
        <v>1</v>
      </c>
      <c r="F559">
        <v>0.14899999999999999</v>
      </c>
      <c r="G559">
        <v>8001</v>
      </c>
      <c r="H559">
        <v>395</v>
      </c>
      <c r="I559">
        <v>1</v>
      </c>
      <c r="J559">
        <v>8000</v>
      </c>
      <c r="K559">
        <v>590</v>
      </c>
      <c r="L559">
        <v>1</v>
      </c>
      <c r="M559">
        <v>2007</v>
      </c>
      <c r="N559">
        <v>1</v>
      </c>
      <c r="O559">
        <v>0.05</v>
      </c>
      <c r="P559">
        <v>9000</v>
      </c>
      <c r="Q559">
        <v>148</v>
      </c>
      <c r="R559">
        <v>1</v>
      </c>
      <c r="S559" t="s">
        <v>3824</v>
      </c>
      <c r="T559">
        <v>20</v>
      </c>
      <c r="U559">
        <v>0.5</v>
      </c>
      <c r="V559">
        <v>1000</v>
      </c>
      <c r="W559">
        <v>6170</v>
      </c>
      <c r="X559">
        <v>1</v>
      </c>
      <c r="Y559">
        <v>2006</v>
      </c>
      <c r="Z559">
        <v>1</v>
      </c>
      <c r="AA559">
        <v>0.03</v>
      </c>
    </row>
    <row r="560" spans="1:27">
      <c r="A560">
        <v>1558</v>
      </c>
      <c r="B560" t="s">
        <v>4323</v>
      </c>
      <c r="C560">
        <v>150</v>
      </c>
      <c r="D560" t="s">
        <v>3823</v>
      </c>
      <c r="E560">
        <v>1</v>
      </c>
      <c r="F560">
        <v>0.14899999999999999</v>
      </c>
      <c r="G560">
        <v>8001</v>
      </c>
      <c r="H560">
        <v>395</v>
      </c>
      <c r="I560">
        <v>1</v>
      </c>
      <c r="J560">
        <v>8000</v>
      </c>
      <c r="K560">
        <v>595</v>
      </c>
      <c r="L560">
        <v>1</v>
      </c>
      <c r="M560">
        <v>2007</v>
      </c>
      <c r="N560">
        <v>1</v>
      </c>
      <c r="O560">
        <v>0.05</v>
      </c>
      <c r="P560">
        <v>9000</v>
      </c>
      <c r="Q560">
        <v>148</v>
      </c>
      <c r="R560">
        <v>1</v>
      </c>
      <c r="S560" t="s">
        <v>3824</v>
      </c>
      <c r="T560">
        <v>20</v>
      </c>
      <c r="U560">
        <v>0.5</v>
      </c>
      <c r="V560">
        <v>1000</v>
      </c>
      <c r="W560">
        <v>6175</v>
      </c>
      <c r="X560">
        <v>1</v>
      </c>
      <c r="Y560">
        <v>2006</v>
      </c>
      <c r="Z560">
        <v>1</v>
      </c>
      <c r="AA560">
        <v>0.03</v>
      </c>
    </row>
    <row r="561" spans="1:27">
      <c r="A561">
        <v>1559</v>
      </c>
      <c r="B561" t="s">
        <v>4324</v>
      </c>
      <c r="C561">
        <v>150</v>
      </c>
      <c r="D561" t="s">
        <v>3823</v>
      </c>
      <c r="E561">
        <v>1</v>
      </c>
      <c r="F561">
        <v>0.14899999999999999</v>
      </c>
      <c r="G561">
        <v>8001</v>
      </c>
      <c r="H561">
        <v>395</v>
      </c>
      <c r="I561">
        <v>1</v>
      </c>
      <c r="J561">
        <v>8000</v>
      </c>
      <c r="K561">
        <v>595</v>
      </c>
      <c r="L561">
        <v>1</v>
      </c>
      <c r="M561">
        <v>2007</v>
      </c>
      <c r="N561">
        <v>1</v>
      </c>
      <c r="O561">
        <v>0.05</v>
      </c>
      <c r="P561">
        <v>9000</v>
      </c>
      <c r="Q561">
        <v>148</v>
      </c>
      <c r="R561">
        <v>1</v>
      </c>
      <c r="S561" t="s">
        <v>3824</v>
      </c>
      <c r="T561">
        <v>20</v>
      </c>
      <c r="U561">
        <v>0.5</v>
      </c>
      <c r="V561">
        <v>1000</v>
      </c>
      <c r="W561">
        <v>6180</v>
      </c>
      <c r="X561">
        <v>1</v>
      </c>
      <c r="Y561">
        <v>2006</v>
      </c>
      <c r="Z561">
        <v>1</v>
      </c>
      <c r="AA561">
        <v>0.03</v>
      </c>
    </row>
    <row r="562" spans="1:27">
      <c r="A562">
        <v>1560</v>
      </c>
      <c r="B562" t="s">
        <v>4325</v>
      </c>
      <c r="C562">
        <v>150</v>
      </c>
      <c r="D562" t="s">
        <v>3823</v>
      </c>
      <c r="E562">
        <v>1</v>
      </c>
      <c r="F562">
        <v>0.14899999999999999</v>
      </c>
      <c r="G562">
        <v>8001</v>
      </c>
      <c r="H562">
        <v>395</v>
      </c>
      <c r="I562">
        <v>1</v>
      </c>
      <c r="J562">
        <v>8000</v>
      </c>
      <c r="K562">
        <v>595</v>
      </c>
      <c r="L562">
        <v>1</v>
      </c>
      <c r="M562">
        <v>2007</v>
      </c>
      <c r="N562">
        <v>1</v>
      </c>
      <c r="O562">
        <v>0.05</v>
      </c>
      <c r="P562">
        <v>9000</v>
      </c>
      <c r="Q562">
        <v>148</v>
      </c>
      <c r="R562">
        <v>1</v>
      </c>
      <c r="S562" t="s">
        <v>3824</v>
      </c>
      <c r="T562">
        <v>20</v>
      </c>
      <c r="U562">
        <v>0.5</v>
      </c>
      <c r="V562">
        <v>1000</v>
      </c>
      <c r="W562">
        <v>6180</v>
      </c>
      <c r="X562">
        <v>1</v>
      </c>
      <c r="Y562">
        <v>2006</v>
      </c>
      <c r="Z562">
        <v>1</v>
      </c>
      <c r="AA562">
        <v>0.03</v>
      </c>
    </row>
    <row r="563" spans="1:27">
      <c r="A563">
        <v>1561</v>
      </c>
      <c r="B563" t="s">
        <v>4326</v>
      </c>
      <c r="C563">
        <v>150</v>
      </c>
      <c r="D563" t="s">
        <v>3823</v>
      </c>
      <c r="E563">
        <v>1</v>
      </c>
      <c r="F563">
        <v>0.14899999999999999</v>
      </c>
      <c r="G563">
        <v>8001</v>
      </c>
      <c r="H563">
        <v>395</v>
      </c>
      <c r="I563">
        <v>1</v>
      </c>
      <c r="J563">
        <v>8000</v>
      </c>
      <c r="K563">
        <v>595</v>
      </c>
      <c r="L563">
        <v>1</v>
      </c>
      <c r="M563">
        <v>2007</v>
      </c>
      <c r="N563">
        <v>1</v>
      </c>
      <c r="O563">
        <v>0.05</v>
      </c>
      <c r="P563">
        <v>9000</v>
      </c>
      <c r="Q563">
        <v>148</v>
      </c>
      <c r="R563">
        <v>1</v>
      </c>
      <c r="S563" t="s">
        <v>3824</v>
      </c>
      <c r="T563">
        <v>20</v>
      </c>
      <c r="U563">
        <v>0.5</v>
      </c>
      <c r="V563">
        <v>1000</v>
      </c>
      <c r="W563">
        <v>6185</v>
      </c>
      <c r="X563">
        <v>1</v>
      </c>
      <c r="Y563">
        <v>2006</v>
      </c>
      <c r="Z563">
        <v>1</v>
      </c>
      <c r="AA563">
        <v>0.03</v>
      </c>
    </row>
    <row r="564" spans="1:27">
      <c r="A564">
        <v>1562</v>
      </c>
      <c r="B564" t="s">
        <v>4327</v>
      </c>
      <c r="C564">
        <v>150</v>
      </c>
      <c r="D564" t="s">
        <v>3823</v>
      </c>
      <c r="E564">
        <v>1</v>
      </c>
      <c r="F564">
        <v>0.14899999999999999</v>
      </c>
      <c r="G564">
        <v>8001</v>
      </c>
      <c r="H564">
        <v>395</v>
      </c>
      <c r="I564">
        <v>1</v>
      </c>
      <c r="J564">
        <v>8000</v>
      </c>
      <c r="K564">
        <v>595</v>
      </c>
      <c r="L564">
        <v>1</v>
      </c>
      <c r="M564">
        <v>2007</v>
      </c>
      <c r="N564">
        <v>1</v>
      </c>
      <c r="O564">
        <v>0.05</v>
      </c>
      <c r="P564">
        <v>9000</v>
      </c>
      <c r="Q564">
        <v>148</v>
      </c>
      <c r="R564">
        <v>1</v>
      </c>
      <c r="S564" t="s">
        <v>3824</v>
      </c>
      <c r="T564">
        <v>20</v>
      </c>
      <c r="U564">
        <v>0.5</v>
      </c>
      <c r="V564">
        <v>1000</v>
      </c>
      <c r="W564">
        <v>6190</v>
      </c>
      <c r="X564">
        <v>1</v>
      </c>
      <c r="Y564">
        <v>2006</v>
      </c>
      <c r="Z564">
        <v>1</v>
      </c>
      <c r="AA564">
        <v>0.03</v>
      </c>
    </row>
    <row r="565" spans="1:27">
      <c r="A565">
        <v>1563</v>
      </c>
      <c r="B565" t="s">
        <v>4328</v>
      </c>
      <c r="C565">
        <v>150</v>
      </c>
      <c r="D565" t="s">
        <v>3823</v>
      </c>
      <c r="E565">
        <v>1</v>
      </c>
      <c r="F565">
        <v>0.14899999999999999</v>
      </c>
      <c r="G565">
        <v>8001</v>
      </c>
      <c r="H565">
        <v>395</v>
      </c>
      <c r="I565">
        <v>1</v>
      </c>
      <c r="J565">
        <v>8000</v>
      </c>
      <c r="K565">
        <v>595</v>
      </c>
      <c r="L565">
        <v>1</v>
      </c>
      <c r="M565">
        <v>2007</v>
      </c>
      <c r="N565">
        <v>1</v>
      </c>
      <c r="O565">
        <v>0.05</v>
      </c>
      <c r="P565">
        <v>9000</v>
      </c>
      <c r="Q565">
        <v>149</v>
      </c>
      <c r="R565">
        <v>1</v>
      </c>
      <c r="S565" t="s">
        <v>3824</v>
      </c>
      <c r="T565">
        <v>20</v>
      </c>
      <c r="U565">
        <v>0.5</v>
      </c>
      <c r="V565">
        <v>1000</v>
      </c>
      <c r="W565">
        <v>6190</v>
      </c>
      <c r="X565">
        <v>1</v>
      </c>
      <c r="Y565">
        <v>2006</v>
      </c>
      <c r="Z565">
        <v>1</v>
      </c>
      <c r="AA565">
        <v>0.03</v>
      </c>
    </row>
    <row r="566" spans="1:27">
      <c r="A566">
        <v>1564</v>
      </c>
      <c r="B566" t="s">
        <v>4329</v>
      </c>
      <c r="C566">
        <v>150</v>
      </c>
      <c r="D566" t="s">
        <v>3823</v>
      </c>
      <c r="E566">
        <v>1</v>
      </c>
      <c r="F566">
        <v>0.14899999999999999</v>
      </c>
      <c r="G566">
        <v>8001</v>
      </c>
      <c r="H566">
        <v>395</v>
      </c>
      <c r="I566">
        <v>1</v>
      </c>
      <c r="J566">
        <v>8000</v>
      </c>
      <c r="K566">
        <v>595</v>
      </c>
      <c r="L566">
        <v>1</v>
      </c>
      <c r="M566">
        <v>2007</v>
      </c>
      <c r="N566">
        <v>1</v>
      </c>
      <c r="O566">
        <v>0.05</v>
      </c>
      <c r="P566">
        <v>9000</v>
      </c>
      <c r="Q566">
        <v>149</v>
      </c>
      <c r="R566">
        <v>1</v>
      </c>
      <c r="S566" t="s">
        <v>3824</v>
      </c>
      <c r="T566">
        <v>20</v>
      </c>
      <c r="U566">
        <v>0.5</v>
      </c>
      <c r="V566">
        <v>1000</v>
      </c>
      <c r="W566">
        <v>6195</v>
      </c>
      <c r="X566">
        <v>1</v>
      </c>
      <c r="Y566">
        <v>2006</v>
      </c>
      <c r="Z566">
        <v>1</v>
      </c>
      <c r="AA566">
        <v>0.03</v>
      </c>
    </row>
    <row r="567" spans="1:27">
      <c r="A567">
        <v>1565</v>
      </c>
      <c r="B567" t="s">
        <v>4330</v>
      </c>
      <c r="C567">
        <v>150</v>
      </c>
      <c r="D567" t="s">
        <v>3823</v>
      </c>
      <c r="E567">
        <v>1</v>
      </c>
      <c r="F567">
        <v>0.14899999999999999</v>
      </c>
      <c r="G567">
        <v>8001</v>
      </c>
      <c r="H567">
        <v>395</v>
      </c>
      <c r="I567">
        <v>1</v>
      </c>
      <c r="J567">
        <v>8000</v>
      </c>
      <c r="K567">
        <v>595</v>
      </c>
      <c r="L567">
        <v>1</v>
      </c>
      <c r="M567">
        <v>2007</v>
      </c>
      <c r="N567">
        <v>1</v>
      </c>
      <c r="O567">
        <v>0.05</v>
      </c>
      <c r="P567">
        <v>9000</v>
      </c>
      <c r="Q567">
        <v>149</v>
      </c>
      <c r="R567">
        <v>1</v>
      </c>
      <c r="S567" t="s">
        <v>3824</v>
      </c>
      <c r="T567">
        <v>20</v>
      </c>
      <c r="U567">
        <v>0.5</v>
      </c>
      <c r="V567">
        <v>1000</v>
      </c>
      <c r="W567">
        <v>6200</v>
      </c>
      <c r="X567">
        <v>1</v>
      </c>
      <c r="Y567">
        <v>2006</v>
      </c>
      <c r="Z567">
        <v>1</v>
      </c>
      <c r="AA567">
        <v>0.03</v>
      </c>
    </row>
    <row r="568" spans="1:27">
      <c r="A568">
        <v>1566</v>
      </c>
      <c r="B568" t="s">
        <v>4331</v>
      </c>
      <c r="C568">
        <v>150</v>
      </c>
      <c r="D568" t="s">
        <v>3823</v>
      </c>
      <c r="E568">
        <v>1</v>
      </c>
      <c r="F568">
        <v>0.14899999999999999</v>
      </c>
      <c r="G568">
        <v>8001</v>
      </c>
      <c r="H568">
        <v>395</v>
      </c>
      <c r="I568">
        <v>1</v>
      </c>
      <c r="J568">
        <v>8000</v>
      </c>
      <c r="K568">
        <v>595</v>
      </c>
      <c r="L568">
        <v>1</v>
      </c>
      <c r="M568">
        <v>2007</v>
      </c>
      <c r="N568">
        <v>1</v>
      </c>
      <c r="O568">
        <v>0.05</v>
      </c>
      <c r="P568">
        <v>9000</v>
      </c>
      <c r="Q568">
        <v>149</v>
      </c>
      <c r="R568">
        <v>1</v>
      </c>
      <c r="S568" t="s">
        <v>3824</v>
      </c>
      <c r="T568">
        <v>20</v>
      </c>
      <c r="U568">
        <v>0.5</v>
      </c>
      <c r="V568">
        <v>1000</v>
      </c>
      <c r="W568">
        <v>6200</v>
      </c>
      <c r="X568">
        <v>1</v>
      </c>
      <c r="Y568">
        <v>2006</v>
      </c>
      <c r="Z568">
        <v>1</v>
      </c>
      <c r="AA568">
        <v>0.03</v>
      </c>
    </row>
    <row r="569" spans="1:27">
      <c r="A569">
        <v>1567</v>
      </c>
      <c r="B569" t="s">
        <v>4332</v>
      </c>
      <c r="C569">
        <v>150</v>
      </c>
      <c r="D569" t="s">
        <v>3823</v>
      </c>
      <c r="E569">
        <v>1</v>
      </c>
      <c r="F569">
        <v>0.14899999999999999</v>
      </c>
      <c r="G569">
        <v>8001</v>
      </c>
      <c r="H569">
        <v>395</v>
      </c>
      <c r="I569">
        <v>1</v>
      </c>
      <c r="J569">
        <v>8000</v>
      </c>
      <c r="K569">
        <v>595</v>
      </c>
      <c r="L569">
        <v>1</v>
      </c>
      <c r="M569">
        <v>2007</v>
      </c>
      <c r="N569">
        <v>1</v>
      </c>
      <c r="O569">
        <v>0.05</v>
      </c>
      <c r="P569">
        <v>9000</v>
      </c>
      <c r="Q569">
        <v>149</v>
      </c>
      <c r="R569">
        <v>1</v>
      </c>
      <c r="S569" t="s">
        <v>3824</v>
      </c>
      <c r="T569">
        <v>20</v>
      </c>
      <c r="U569">
        <v>0.5</v>
      </c>
      <c r="V569">
        <v>1000</v>
      </c>
      <c r="W569">
        <v>6205</v>
      </c>
      <c r="X569">
        <v>1</v>
      </c>
      <c r="Y569">
        <v>2006</v>
      </c>
      <c r="Z569">
        <v>1</v>
      </c>
      <c r="AA569">
        <v>0.03</v>
      </c>
    </row>
    <row r="570" spans="1:27">
      <c r="A570">
        <v>1568</v>
      </c>
      <c r="B570" t="s">
        <v>4333</v>
      </c>
      <c r="C570">
        <v>150</v>
      </c>
      <c r="D570" t="s">
        <v>3823</v>
      </c>
      <c r="E570">
        <v>1</v>
      </c>
      <c r="F570">
        <v>0.14899999999999999</v>
      </c>
      <c r="G570">
        <v>8001</v>
      </c>
      <c r="H570">
        <v>395</v>
      </c>
      <c r="I570">
        <v>1</v>
      </c>
      <c r="J570">
        <v>8000</v>
      </c>
      <c r="K570">
        <v>595</v>
      </c>
      <c r="L570">
        <v>1</v>
      </c>
      <c r="M570">
        <v>2007</v>
      </c>
      <c r="N570">
        <v>1</v>
      </c>
      <c r="O570">
        <v>0.05</v>
      </c>
      <c r="P570">
        <v>9000</v>
      </c>
      <c r="Q570">
        <v>149</v>
      </c>
      <c r="R570">
        <v>1</v>
      </c>
      <c r="S570" t="s">
        <v>3824</v>
      </c>
      <c r="T570">
        <v>20</v>
      </c>
      <c r="U570">
        <v>0.5</v>
      </c>
      <c r="V570">
        <v>1000</v>
      </c>
      <c r="W570">
        <v>6205</v>
      </c>
      <c r="X570">
        <v>1</v>
      </c>
      <c r="Y570">
        <v>2006</v>
      </c>
      <c r="Z570">
        <v>1</v>
      </c>
      <c r="AA570">
        <v>0.03</v>
      </c>
    </row>
    <row r="571" spans="1:27">
      <c r="A571">
        <v>1569</v>
      </c>
      <c r="B571" t="s">
        <v>4334</v>
      </c>
      <c r="C571">
        <v>150</v>
      </c>
      <c r="D571" t="s">
        <v>3823</v>
      </c>
      <c r="E571">
        <v>1</v>
      </c>
      <c r="F571">
        <v>0.14899999999999999</v>
      </c>
      <c r="G571">
        <v>8001</v>
      </c>
      <c r="H571">
        <v>395</v>
      </c>
      <c r="I571">
        <v>1</v>
      </c>
      <c r="J571">
        <v>8000</v>
      </c>
      <c r="K571">
        <v>595</v>
      </c>
      <c r="L571">
        <v>1</v>
      </c>
      <c r="M571">
        <v>2007</v>
      </c>
      <c r="N571">
        <v>1</v>
      </c>
      <c r="O571">
        <v>0.05</v>
      </c>
      <c r="P571">
        <v>9000</v>
      </c>
      <c r="Q571">
        <v>149</v>
      </c>
      <c r="R571">
        <v>1</v>
      </c>
      <c r="S571" t="s">
        <v>3824</v>
      </c>
      <c r="T571">
        <v>20</v>
      </c>
      <c r="U571">
        <v>0.5</v>
      </c>
      <c r="V571">
        <v>1000</v>
      </c>
      <c r="W571">
        <v>6210</v>
      </c>
      <c r="X571">
        <v>1</v>
      </c>
      <c r="Y571">
        <v>2006</v>
      </c>
      <c r="Z571">
        <v>1</v>
      </c>
      <c r="AA571">
        <v>0.03</v>
      </c>
    </row>
    <row r="572" spans="1:27">
      <c r="A572">
        <v>1570</v>
      </c>
      <c r="B572" t="s">
        <v>4335</v>
      </c>
      <c r="C572">
        <v>150</v>
      </c>
      <c r="D572" t="s">
        <v>3823</v>
      </c>
      <c r="E572">
        <v>1</v>
      </c>
      <c r="F572">
        <v>0.14899999999999999</v>
      </c>
      <c r="G572">
        <v>8001</v>
      </c>
      <c r="H572">
        <v>400</v>
      </c>
      <c r="I572">
        <v>1</v>
      </c>
      <c r="J572">
        <v>8000</v>
      </c>
      <c r="K572">
        <v>595</v>
      </c>
      <c r="L572">
        <v>1</v>
      </c>
      <c r="M572">
        <v>2007</v>
      </c>
      <c r="N572">
        <v>1</v>
      </c>
      <c r="O572">
        <v>0.05</v>
      </c>
      <c r="P572">
        <v>9000</v>
      </c>
      <c r="Q572">
        <v>149</v>
      </c>
      <c r="R572">
        <v>1</v>
      </c>
      <c r="S572" t="s">
        <v>3824</v>
      </c>
      <c r="T572">
        <v>20</v>
      </c>
      <c r="U572">
        <v>0.5</v>
      </c>
      <c r="V572">
        <v>1000</v>
      </c>
      <c r="W572">
        <v>6210</v>
      </c>
      <c r="X572">
        <v>1</v>
      </c>
      <c r="Y572">
        <v>2006</v>
      </c>
      <c r="Z572">
        <v>1</v>
      </c>
      <c r="AA572">
        <v>0.03</v>
      </c>
    </row>
    <row r="573" spans="1:27">
      <c r="A573">
        <v>1571</v>
      </c>
      <c r="B573" t="s">
        <v>4336</v>
      </c>
      <c r="C573">
        <v>150</v>
      </c>
      <c r="D573" t="s">
        <v>3823</v>
      </c>
      <c r="E573">
        <v>1</v>
      </c>
      <c r="F573">
        <v>0.14899999999999999</v>
      </c>
      <c r="G573">
        <v>8001</v>
      </c>
      <c r="H573">
        <v>400</v>
      </c>
      <c r="I573">
        <v>1</v>
      </c>
      <c r="J573">
        <v>8000</v>
      </c>
      <c r="K573">
        <v>595</v>
      </c>
      <c r="L573">
        <v>1</v>
      </c>
      <c r="M573">
        <v>2007</v>
      </c>
      <c r="N573">
        <v>1</v>
      </c>
      <c r="O573">
        <v>0.05</v>
      </c>
      <c r="P573">
        <v>9000</v>
      </c>
      <c r="Q573">
        <v>149</v>
      </c>
      <c r="R573">
        <v>1</v>
      </c>
      <c r="S573" t="s">
        <v>3824</v>
      </c>
      <c r="T573">
        <v>20</v>
      </c>
      <c r="U573">
        <v>0.5</v>
      </c>
      <c r="V573">
        <v>1000</v>
      </c>
      <c r="W573">
        <v>6215</v>
      </c>
      <c r="X573">
        <v>1</v>
      </c>
      <c r="Y573">
        <v>2006</v>
      </c>
      <c r="Z573">
        <v>1</v>
      </c>
      <c r="AA573">
        <v>0.03</v>
      </c>
    </row>
    <row r="574" spans="1:27">
      <c r="A574">
        <v>1572</v>
      </c>
      <c r="B574" t="s">
        <v>4337</v>
      </c>
      <c r="C574">
        <v>150</v>
      </c>
      <c r="D574" t="s">
        <v>3823</v>
      </c>
      <c r="E574">
        <v>1</v>
      </c>
      <c r="F574">
        <v>0.14899999999999999</v>
      </c>
      <c r="G574">
        <v>8001</v>
      </c>
      <c r="H574">
        <v>400</v>
      </c>
      <c r="I574">
        <v>1</v>
      </c>
      <c r="J574">
        <v>8000</v>
      </c>
      <c r="K574">
        <v>595</v>
      </c>
      <c r="L574">
        <v>1</v>
      </c>
      <c r="M574">
        <v>2007</v>
      </c>
      <c r="N574">
        <v>1</v>
      </c>
      <c r="O574">
        <v>0.05</v>
      </c>
      <c r="P574">
        <v>9000</v>
      </c>
      <c r="Q574">
        <v>149</v>
      </c>
      <c r="R574">
        <v>1</v>
      </c>
      <c r="S574" t="s">
        <v>3824</v>
      </c>
      <c r="T574">
        <v>20</v>
      </c>
      <c r="U574">
        <v>0.5</v>
      </c>
      <c r="V574">
        <v>1000</v>
      </c>
      <c r="W574">
        <v>6215</v>
      </c>
      <c r="X574">
        <v>1</v>
      </c>
      <c r="Y574">
        <v>2006</v>
      </c>
      <c r="Z574">
        <v>1</v>
      </c>
      <c r="AA574">
        <v>0.03</v>
      </c>
    </row>
    <row r="575" spans="1:27">
      <c r="A575">
        <v>1573</v>
      </c>
      <c r="B575" t="s">
        <v>4338</v>
      </c>
      <c r="C575">
        <v>150</v>
      </c>
      <c r="D575" t="s">
        <v>3823</v>
      </c>
      <c r="E575">
        <v>1</v>
      </c>
      <c r="F575">
        <v>0.14899999999999999</v>
      </c>
      <c r="G575">
        <v>8001</v>
      </c>
      <c r="H575">
        <v>400</v>
      </c>
      <c r="I575">
        <v>1</v>
      </c>
      <c r="J575">
        <v>8000</v>
      </c>
      <c r="K575">
        <v>595</v>
      </c>
      <c r="L575">
        <v>1</v>
      </c>
      <c r="M575">
        <v>2007</v>
      </c>
      <c r="N575">
        <v>1</v>
      </c>
      <c r="O575">
        <v>0.05</v>
      </c>
      <c r="P575">
        <v>9000</v>
      </c>
      <c r="Q575">
        <v>149</v>
      </c>
      <c r="R575">
        <v>1</v>
      </c>
      <c r="S575" t="s">
        <v>3824</v>
      </c>
      <c r="T575">
        <v>20</v>
      </c>
      <c r="U575">
        <v>0.5</v>
      </c>
      <c r="V575">
        <v>1000</v>
      </c>
      <c r="W575">
        <v>6220</v>
      </c>
      <c r="X575">
        <v>1</v>
      </c>
      <c r="Y575">
        <v>2006</v>
      </c>
      <c r="Z575">
        <v>1</v>
      </c>
      <c r="AA575">
        <v>0.03</v>
      </c>
    </row>
    <row r="576" spans="1:27">
      <c r="A576">
        <v>1574</v>
      </c>
      <c r="B576" t="s">
        <v>4339</v>
      </c>
      <c r="C576">
        <v>150</v>
      </c>
      <c r="D576" t="s">
        <v>3823</v>
      </c>
      <c r="E576">
        <v>1</v>
      </c>
      <c r="F576">
        <v>0.14899999999999999</v>
      </c>
      <c r="G576">
        <v>8001</v>
      </c>
      <c r="H576">
        <v>400</v>
      </c>
      <c r="I576">
        <v>1</v>
      </c>
      <c r="J576">
        <v>8000</v>
      </c>
      <c r="K576">
        <v>595</v>
      </c>
      <c r="L576">
        <v>1</v>
      </c>
      <c r="M576">
        <v>2007</v>
      </c>
      <c r="N576">
        <v>1</v>
      </c>
      <c r="O576">
        <v>0.05</v>
      </c>
      <c r="P576">
        <v>9000</v>
      </c>
      <c r="Q576">
        <v>149</v>
      </c>
      <c r="R576">
        <v>1</v>
      </c>
      <c r="S576" t="s">
        <v>3824</v>
      </c>
      <c r="T576">
        <v>20</v>
      </c>
      <c r="U576">
        <v>0.5</v>
      </c>
      <c r="V576">
        <v>1000</v>
      </c>
      <c r="W576">
        <v>6220</v>
      </c>
      <c r="X576">
        <v>1</v>
      </c>
      <c r="Y576">
        <v>2006</v>
      </c>
      <c r="Z576">
        <v>1</v>
      </c>
      <c r="AA576">
        <v>0.03</v>
      </c>
    </row>
    <row r="577" spans="1:27">
      <c r="A577">
        <v>1575</v>
      </c>
      <c r="B577" t="s">
        <v>4340</v>
      </c>
      <c r="C577">
        <v>150</v>
      </c>
      <c r="D577" t="s">
        <v>3823</v>
      </c>
      <c r="E577">
        <v>1</v>
      </c>
      <c r="F577">
        <v>0.15</v>
      </c>
      <c r="G577">
        <v>8001</v>
      </c>
      <c r="H577">
        <v>400</v>
      </c>
      <c r="I577">
        <v>1</v>
      </c>
      <c r="J577">
        <v>8000</v>
      </c>
      <c r="K577">
        <v>595</v>
      </c>
      <c r="L577">
        <v>1</v>
      </c>
      <c r="M577">
        <v>2007</v>
      </c>
      <c r="N577">
        <v>1</v>
      </c>
      <c r="O577">
        <v>0.05</v>
      </c>
      <c r="P577">
        <v>9000</v>
      </c>
      <c r="Q577">
        <v>149</v>
      </c>
      <c r="R577">
        <v>1</v>
      </c>
      <c r="S577" t="s">
        <v>3824</v>
      </c>
      <c r="T577">
        <v>20</v>
      </c>
      <c r="U577">
        <v>0.5</v>
      </c>
      <c r="V577">
        <v>1000</v>
      </c>
      <c r="W577">
        <v>6225</v>
      </c>
      <c r="X577">
        <v>1</v>
      </c>
      <c r="Y577">
        <v>2006</v>
      </c>
      <c r="Z577">
        <v>1</v>
      </c>
      <c r="AA577">
        <v>0.03</v>
      </c>
    </row>
    <row r="578" spans="1:27">
      <c r="A578">
        <v>1576</v>
      </c>
      <c r="B578" t="s">
        <v>4341</v>
      </c>
      <c r="C578">
        <v>150</v>
      </c>
      <c r="D578" t="s">
        <v>3823</v>
      </c>
      <c r="E578">
        <v>1</v>
      </c>
      <c r="F578">
        <v>0.15</v>
      </c>
      <c r="G578">
        <v>8001</v>
      </c>
      <c r="H578">
        <v>400</v>
      </c>
      <c r="I578">
        <v>1</v>
      </c>
      <c r="J578">
        <v>8000</v>
      </c>
      <c r="K578">
        <v>600</v>
      </c>
      <c r="L578">
        <v>1</v>
      </c>
      <c r="M578">
        <v>2007</v>
      </c>
      <c r="N578">
        <v>1</v>
      </c>
      <c r="O578">
        <v>0.05</v>
      </c>
      <c r="P578">
        <v>9000</v>
      </c>
      <c r="Q578">
        <v>149</v>
      </c>
      <c r="R578">
        <v>1</v>
      </c>
      <c r="S578" t="s">
        <v>3824</v>
      </c>
      <c r="T578">
        <v>20</v>
      </c>
      <c r="U578">
        <v>0.5</v>
      </c>
      <c r="V578">
        <v>1000</v>
      </c>
      <c r="W578">
        <v>6225</v>
      </c>
      <c r="X578">
        <v>1</v>
      </c>
      <c r="Y578">
        <v>2006</v>
      </c>
      <c r="Z578">
        <v>1</v>
      </c>
      <c r="AA578">
        <v>0.03</v>
      </c>
    </row>
    <row r="579" spans="1:27">
      <c r="A579">
        <v>1577</v>
      </c>
      <c r="B579" t="s">
        <v>4342</v>
      </c>
      <c r="C579">
        <v>150</v>
      </c>
      <c r="D579" t="s">
        <v>3823</v>
      </c>
      <c r="E579">
        <v>1</v>
      </c>
      <c r="F579">
        <v>0.15</v>
      </c>
      <c r="G579">
        <v>8001</v>
      </c>
      <c r="H579">
        <v>400</v>
      </c>
      <c r="I579">
        <v>1</v>
      </c>
      <c r="J579">
        <v>8000</v>
      </c>
      <c r="K579">
        <v>600</v>
      </c>
      <c r="L579">
        <v>1</v>
      </c>
      <c r="M579">
        <v>2007</v>
      </c>
      <c r="N579">
        <v>1</v>
      </c>
      <c r="O579">
        <v>0.05</v>
      </c>
      <c r="P579">
        <v>9000</v>
      </c>
      <c r="Q579">
        <v>149</v>
      </c>
      <c r="R579">
        <v>1</v>
      </c>
      <c r="S579" t="s">
        <v>3824</v>
      </c>
      <c r="T579">
        <v>20</v>
      </c>
      <c r="U579">
        <v>0.5</v>
      </c>
      <c r="V579">
        <v>1000</v>
      </c>
      <c r="W579">
        <v>6230</v>
      </c>
      <c r="X579">
        <v>1</v>
      </c>
      <c r="Y579">
        <v>2006</v>
      </c>
      <c r="Z579">
        <v>1</v>
      </c>
      <c r="AA579">
        <v>0.03</v>
      </c>
    </row>
    <row r="580" spans="1:27">
      <c r="A580">
        <v>1578</v>
      </c>
      <c r="B580" t="s">
        <v>4343</v>
      </c>
      <c r="C580">
        <v>150</v>
      </c>
      <c r="D580" t="s">
        <v>3823</v>
      </c>
      <c r="E580">
        <v>1</v>
      </c>
      <c r="F580">
        <v>0.15</v>
      </c>
      <c r="G580">
        <v>8001</v>
      </c>
      <c r="H580">
        <v>400</v>
      </c>
      <c r="I580">
        <v>1</v>
      </c>
      <c r="J580">
        <v>8000</v>
      </c>
      <c r="K580">
        <v>600</v>
      </c>
      <c r="L580">
        <v>1</v>
      </c>
      <c r="M580">
        <v>2007</v>
      </c>
      <c r="N580">
        <v>1</v>
      </c>
      <c r="O580">
        <v>0.05</v>
      </c>
      <c r="P580">
        <v>9000</v>
      </c>
      <c r="Q580">
        <v>149</v>
      </c>
      <c r="R580">
        <v>1</v>
      </c>
      <c r="S580" t="s">
        <v>3824</v>
      </c>
      <c r="T580">
        <v>20</v>
      </c>
      <c r="U580">
        <v>0.5</v>
      </c>
      <c r="V580">
        <v>1000</v>
      </c>
      <c r="W580">
        <v>6230</v>
      </c>
      <c r="X580">
        <v>1</v>
      </c>
      <c r="Y580">
        <v>2006</v>
      </c>
      <c r="Z580">
        <v>1</v>
      </c>
      <c r="AA580">
        <v>0.03</v>
      </c>
    </row>
    <row r="581" spans="1:27">
      <c r="A581">
        <v>1579</v>
      </c>
      <c r="B581" t="s">
        <v>4344</v>
      </c>
      <c r="C581">
        <v>150</v>
      </c>
      <c r="D581" t="s">
        <v>3823</v>
      </c>
      <c r="E581">
        <v>1</v>
      </c>
      <c r="F581">
        <v>0.15</v>
      </c>
      <c r="G581">
        <v>8001</v>
      </c>
      <c r="H581">
        <v>400</v>
      </c>
      <c r="I581">
        <v>1</v>
      </c>
      <c r="J581">
        <v>8000</v>
      </c>
      <c r="K581">
        <v>600</v>
      </c>
      <c r="L581">
        <v>1</v>
      </c>
      <c r="M581">
        <v>2007</v>
      </c>
      <c r="N581">
        <v>1</v>
      </c>
      <c r="O581">
        <v>0.05</v>
      </c>
      <c r="P581">
        <v>9000</v>
      </c>
      <c r="Q581">
        <v>150</v>
      </c>
      <c r="R581">
        <v>1</v>
      </c>
      <c r="S581" t="s">
        <v>3824</v>
      </c>
      <c r="T581">
        <v>20</v>
      </c>
      <c r="U581">
        <v>0.5</v>
      </c>
      <c r="V581">
        <v>1000</v>
      </c>
      <c r="W581">
        <v>6230</v>
      </c>
      <c r="X581">
        <v>1</v>
      </c>
      <c r="Y581">
        <v>2006</v>
      </c>
      <c r="Z581">
        <v>1</v>
      </c>
      <c r="AA581">
        <v>0.03</v>
      </c>
    </row>
    <row r="582" spans="1:27">
      <c r="A582">
        <v>1580</v>
      </c>
      <c r="B582" t="s">
        <v>4330</v>
      </c>
      <c r="C582">
        <v>150</v>
      </c>
      <c r="D582" t="s">
        <v>3823</v>
      </c>
      <c r="E582">
        <v>1</v>
      </c>
      <c r="F582">
        <v>0.15</v>
      </c>
      <c r="G582">
        <v>8001</v>
      </c>
      <c r="H582">
        <v>400</v>
      </c>
      <c r="I582">
        <v>1</v>
      </c>
      <c r="J582">
        <v>8000</v>
      </c>
      <c r="K582">
        <v>600</v>
      </c>
      <c r="L582">
        <v>1</v>
      </c>
      <c r="M582">
        <v>2007</v>
      </c>
      <c r="N582">
        <v>1</v>
      </c>
      <c r="O582">
        <v>0.05</v>
      </c>
      <c r="P582">
        <v>9000</v>
      </c>
      <c r="Q582">
        <v>150</v>
      </c>
      <c r="R582">
        <v>1</v>
      </c>
      <c r="S582" t="s">
        <v>3824</v>
      </c>
      <c r="T582">
        <v>20</v>
      </c>
      <c r="U582">
        <v>0.5</v>
      </c>
      <c r="V582">
        <v>1000</v>
      </c>
      <c r="W582">
        <v>6235</v>
      </c>
      <c r="X582">
        <v>1</v>
      </c>
      <c r="Y582">
        <v>2006</v>
      </c>
      <c r="Z582">
        <v>1</v>
      </c>
      <c r="AA582">
        <v>0.03</v>
      </c>
    </row>
    <row r="583" spans="1:27">
      <c r="A583">
        <v>1581</v>
      </c>
      <c r="B583" t="s">
        <v>4345</v>
      </c>
      <c r="C583">
        <v>150</v>
      </c>
      <c r="D583" t="s">
        <v>3823</v>
      </c>
      <c r="E583">
        <v>1</v>
      </c>
      <c r="F583">
        <v>0.15</v>
      </c>
      <c r="G583">
        <v>8001</v>
      </c>
      <c r="H583">
        <v>400</v>
      </c>
      <c r="I583">
        <v>1</v>
      </c>
      <c r="J583">
        <v>8000</v>
      </c>
      <c r="K583">
        <v>600</v>
      </c>
      <c r="L583">
        <v>1</v>
      </c>
      <c r="M583">
        <v>2007</v>
      </c>
      <c r="N583">
        <v>1</v>
      </c>
      <c r="O583">
        <v>0.05</v>
      </c>
      <c r="P583">
        <v>9000</v>
      </c>
      <c r="Q583">
        <v>150</v>
      </c>
      <c r="R583">
        <v>1</v>
      </c>
      <c r="S583" t="s">
        <v>3824</v>
      </c>
      <c r="T583">
        <v>20</v>
      </c>
      <c r="U583">
        <v>0.5</v>
      </c>
      <c r="V583">
        <v>1000</v>
      </c>
      <c r="W583">
        <v>6235</v>
      </c>
      <c r="X583">
        <v>1</v>
      </c>
      <c r="Y583">
        <v>2006</v>
      </c>
      <c r="Z583">
        <v>1</v>
      </c>
      <c r="AA583">
        <v>0.03</v>
      </c>
    </row>
    <row r="584" spans="1:27">
      <c r="A584">
        <v>1582</v>
      </c>
      <c r="B584" t="s">
        <v>4346</v>
      </c>
      <c r="C584">
        <v>150</v>
      </c>
      <c r="D584" t="s">
        <v>3823</v>
      </c>
      <c r="E584">
        <v>1</v>
      </c>
      <c r="F584">
        <v>0.15</v>
      </c>
      <c r="G584">
        <v>8001</v>
      </c>
      <c r="H584">
        <v>400</v>
      </c>
      <c r="I584">
        <v>1</v>
      </c>
      <c r="J584">
        <v>8000</v>
      </c>
      <c r="K584">
        <v>600</v>
      </c>
      <c r="L584">
        <v>1</v>
      </c>
      <c r="M584">
        <v>2007</v>
      </c>
      <c r="N584">
        <v>1</v>
      </c>
      <c r="O584">
        <v>0.05</v>
      </c>
      <c r="P584">
        <v>9000</v>
      </c>
      <c r="Q584">
        <v>150</v>
      </c>
      <c r="R584">
        <v>1</v>
      </c>
      <c r="S584" t="s">
        <v>3824</v>
      </c>
      <c r="T584">
        <v>20</v>
      </c>
      <c r="U584">
        <v>0.5</v>
      </c>
      <c r="V584">
        <v>1000</v>
      </c>
      <c r="W584">
        <v>6235</v>
      </c>
      <c r="X584">
        <v>1</v>
      </c>
      <c r="Y584">
        <v>2006</v>
      </c>
      <c r="Z584">
        <v>1</v>
      </c>
      <c r="AA584">
        <v>0.03</v>
      </c>
    </row>
    <row r="585" spans="1:27">
      <c r="A585">
        <v>1583</v>
      </c>
      <c r="B585" t="s">
        <v>4347</v>
      </c>
      <c r="C585">
        <v>150</v>
      </c>
      <c r="D585" t="s">
        <v>3823</v>
      </c>
      <c r="E585">
        <v>1</v>
      </c>
      <c r="F585">
        <v>0.15</v>
      </c>
      <c r="G585">
        <v>8001</v>
      </c>
      <c r="H585">
        <v>400</v>
      </c>
      <c r="I585">
        <v>1</v>
      </c>
      <c r="J585">
        <v>8000</v>
      </c>
      <c r="K585">
        <v>600</v>
      </c>
      <c r="L585">
        <v>1</v>
      </c>
      <c r="M585">
        <v>2007</v>
      </c>
      <c r="N585">
        <v>1</v>
      </c>
      <c r="O585">
        <v>0.05</v>
      </c>
      <c r="P585">
        <v>9000</v>
      </c>
      <c r="Q585">
        <v>150</v>
      </c>
      <c r="R585">
        <v>1</v>
      </c>
      <c r="S585" t="s">
        <v>3824</v>
      </c>
      <c r="T585">
        <v>20</v>
      </c>
      <c r="U585">
        <v>0.5</v>
      </c>
      <c r="V585">
        <v>1000</v>
      </c>
      <c r="W585">
        <v>6240</v>
      </c>
      <c r="X585">
        <v>1</v>
      </c>
      <c r="Y585">
        <v>2006</v>
      </c>
      <c r="Z585">
        <v>1</v>
      </c>
      <c r="AA585">
        <v>0.03</v>
      </c>
    </row>
    <row r="586" spans="1:27">
      <c r="A586">
        <v>1584</v>
      </c>
      <c r="B586" t="s">
        <v>4348</v>
      </c>
      <c r="C586">
        <v>150</v>
      </c>
      <c r="D586" t="s">
        <v>3823</v>
      </c>
      <c r="E586">
        <v>1</v>
      </c>
      <c r="F586">
        <v>0.15</v>
      </c>
      <c r="G586">
        <v>8001</v>
      </c>
      <c r="H586">
        <v>400</v>
      </c>
      <c r="I586">
        <v>1</v>
      </c>
      <c r="J586">
        <v>8000</v>
      </c>
      <c r="K586">
        <v>600</v>
      </c>
      <c r="L586">
        <v>1</v>
      </c>
      <c r="M586">
        <v>2007</v>
      </c>
      <c r="N586">
        <v>1</v>
      </c>
      <c r="O586">
        <v>0.05</v>
      </c>
      <c r="P586">
        <v>9000</v>
      </c>
      <c r="Q586">
        <v>150</v>
      </c>
      <c r="R586">
        <v>1</v>
      </c>
      <c r="S586" t="s">
        <v>3824</v>
      </c>
      <c r="T586">
        <v>20</v>
      </c>
      <c r="U586">
        <v>0.5</v>
      </c>
      <c r="V586">
        <v>1000</v>
      </c>
      <c r="W586">
        <v>6240</v>
      </c>
      <c r="X586">
        <v>1</v>
      </c>
      <c r="Y586">
        <v>2006</v>
      </c>
      <c r="Z586">
        <v>1</v>
      </c>
      <c r="AA586">
        <v>0.03</v>
      </c>
    </row>
    <row r="587" spans="1:27">
      <c r="A587">
        <v>1585</v>
      </c>
      <c r="B587" t="s">
        <v>4349</v>
      </c>
      <c r="C587">
        <v>150</v>
      </c>
      <c r="D587" t="s">
        <v>3823</v>
      </c>
      <c r="E587">
        <v>1</v>
      </c>
      <c r="F587">
        <v>0.15</v>
      </c>
      <c r="G587">
        <v>8001</v>
      </c>
      <c r="H587">
        <v>400</v>
      </c>
      <c r="I587">
        <v>1</v>
      </c>
      <c r="J587">
        <v>8000</v>
      </c>
      <c r="K587">
        <v>600</v>
      </c>
      <c r="L587">
        <v>1</v>
      </c>
      <c r="M587">
        <v>2007</v>
      </c>
      <c r="N587">
        <v>1</v>
      </c>
      <c r="O587">
        <v>0.05</v>
      </c>
      <c r="P587">
        <v>9000</v>
      </c>
      <c r="Q587">
        <v>150</v>
      </c>
      <c r="R587">
        <v>1</v>
      </c>
      <c r="S587" t="s">
        <v>3824</v>
      </c>
      <c r="T587">
        <v>20</v>
      </c>
      <c r="U587">
        <v>0.5</v>
      </c>
      <c r="V587">
        <v>1000</v>
      </c>
      <c r="W587">
        <v>6240</v>
      </c>
      <c r="X587">
        <v>1</v>
      </c>
      <c r="Y587">
        <v>2006</v>
      </c>
      <c r="Z587">
        <v>1</v>
      </c>
      <c r="AA587">
        <v>0.03</v>
      </c>
    </row>
    <row r="588" spans="1:27">
      <c r="A588">
        <v>1586</v>
      </c>
      <c r="B588" t="s">
        <v>4350</v>
      </c>
      <c r="C588">
        <v>150</v>
      </c>
      <c r="D588" t="s">
        <v>3823</v>
      </c>
      <c r="E588">
        <v>1</v>
      </c>
      <c r="F588">
        <v>0.15</v>
      </c>
      <c r="G588">
        <v>8001</v>
      </c>
      <c r="H588">
        <v>400</v>
      </c>
      <c r="I588">
        <v>1</v>
      </c>
      <c r="J588">
        <v>8000</v>
      </c>
      <c r="K588">
        <v>600</v>
      </c>
      <c r="L588">
        <v>1</v>
      </c>
      <c r="M588">
        <v>2007</v>
      </c>
      <c r="N588">
        <v>1</v>
      </c>
      <c r="O588">
        <v>0.05</v>
      </c>
      <c r="P588">
        <v>9000</v>
      </c>
      <c r="Q588">
        <v>150</v>
      </c>
      <c r="R588">
        <v>1</v>
      </c>
      <c r="S588" t="s">
        <v>3824</v>
      </c>
      <c r="T588">
        <v>20</v>
      </c>
      <c r="U588">
        <v>0.5</v>
      </c>
      <c r="V588">
        <v>1000</v>
      </c>
      <c r="W588">
        <v>6240</v>
      </c>
      <c r="X588">
        <v>1</v>
      </c>
      <c r="Y588">
        <v>2006</v>
      </c>
      <c r="Z588">
        <v>1</v>
      </c>
      <c r="AA588">
        <v>0.03</v>
      </c>
    </row>
    <row r="589" spans="1:27">
      <c r="A589">
        <v>1587</v>
      </c>
      <c r="B589" t="s">
        <v>4351</v>
      </c>
      <c r="C589">
        <v>150</v>
      </c>
      <c r="D589" t="s">
        <v>3823</v>
      </c>
      <c r="E589">
        <v>1</v>
      </c>
      <c r="F589">
        <v>0.15</v>
      </c>
      <c r="G589">
        <v>8001</v>
      </c>
      <c r="H589">
        <v>400</v>
      </c>
      <c r="I589">
        <v>1</v>
      </c>
      <c r="J589">
        <v>8000</v>
      </c>
      <c r="K589">
        <v>600</v>
      </c>
      <c r="L589">
        <v>1</v>
      </c>
      <c r="M589">
        <v>2007</v>
      </c>
      <c r="N589">
        <v>1</v>
      </c>
      <c r="O589">
        <v>0.05</v>
      </c>
      <c r="P589">
        <v>9000</v>
      </c>
      <c r="Q589">
        <v>150</v>
      </c>
      <c r="R589">
        <v>1</v>
      </c>
      <c r="S589" t="s">
        <v>3824</v>
      </c>
      <c r="T589">
        <v>20</v>
      </c>
      <c r="U589">
        <v>0.5</v>
      </c>
      <c r="V589">
        <v>1000</v>
      </c>
      <c r="W589">
        <v>6245</v>
      </c>
      <c r="X589">
        <v>1</v>
      </c>
      <c r="Y589">
        <v>2006</v>
      </c>
      <c r="Z589">
        <v>1</v>
      </c>
      <c r="AA589">
        <v>0.03</v>
      </c>
    </row>
    <row r="590" spans="1:27">
      <c r="A590">
        <v>1588</v>
      </c>
      <c r="B590" t="s">
        <v>4352</v>
      </c>
      <c r="C590">
        <v>150</v>
      </c>
      <c r="D590" t="s">
        <v>3823</v>
      </c>
      <c r="E590">
        <v>1</v>
      </c>
      <c r="F590">
        <v>0.15</v>
      </c>
      <c r="G590">
        <v>8001</v>
      </c>
      <c r="H590">
        <v>400</v>
      </c>
      <c r="I590">
        <v>1</v>
      </c>
      <c r="J590">
        <v>8000</v>
      </c>
      <c r="K590">
        <v>600</v>
      </c>
      <c r="L590">
        <v>1</v>
      </c>
      <c r="M590">
        <v>2007</v>
      </c>
      <c r="N590">
        <v>1</v>
      </c>
      <c r="O590">
        <v>0.05</v>
      </c>
      <c r="P590">
        <v>9000</v>
      </c>
      <c r="Q590">
        <v>150</v>
      </c>
      <c r="R590">
        <v>1</v>
      </c>
      <c r="S590" t="s">
        <v>3824</v>
      </c>
      <c r="T590">
        <v>20</v>
      </c>
      <c r="U590">
        <v>0.5</v>
      </c>
      <c r="V590">
        <v>1000</v>
      </c>
      <c r="W590">
        <v>6245</v>
      </c>
      <c r="X590">
        <v>1</v>
      </c>
      <c r="Y590">
        <v>2006</v>
      </c>
      <c r="Z590">
        <v>1</v>
      </c>
      <c r="AA590">
        <v>0.03</v>
      </c>
    </row>
    <row r="591" spans="1:27">
      <c r="A591">
        <v>1589</v>
      </c>
      <c r="B591" t="s">
        <v>4353</v>
      </c>
      <c r="C591">
        <v>150</v>
      </c>
      <c r="D591" t="s">
        <v>3823</v>
      </c>
      <c r="E591">
        <v>1</v>
      </c>
      <c r="F591">
        <v>0.15</v>
      </c>
      <c r="G591">
        <v>8001</v>
      </c>
      <c r="H591">
        <v>400</v>
      </c>
      <c r="I591">
        <v>1</v>
      </c>
      <c r="J591">
        <v>8000</v>
      </c>
      <c r="K591">
        <v>600</v>
      </c>
      <c r="L591">
        <v>1</v>
      </c>
      <c r="M591">
        <v>2007</v>
      </c>
      <c r="N591">
        <v>1</v>
      </c>
      <c r="O591">
        <v>0.05</v>
      </c>
      <c r="P591">
        <v>9000</v>
      </c>
      <c r="Q591">
        <v>150</v>
      </c>
      <c r="R591">
        <v>1</v>
      </c>
      <c r="S591" t="s">
        <v>3824</v>
      </c>
      <c r="T591">
        <v>20</v>
      </c>
      <c r="U591">
        <v>0.5</v>
      </c>
      <c r="V591">
        <v>1000</v>
      </c>
      <c r="W591">
        <v>6245</v>
      </c>
      <c r="X591">
        <v>1</v>
      </c>
      <c r="Y591">
        <v>2006</v>
      </c>
      <c r="Z591">
        <v>1</v>
      </c>
      <c r="AA591">
        <v>0.03</v>
      </c>
    </row>
    <row r="592" spans="1:27">
      <c r="A592">
        <v>1590</v>
      </c>
      <c r="B592" t="s">
        <v>4354</v>
      </c>
      <c r="C592">
        <v>150</v>
      </c>
      <c r="D592" t="s">
        <v>3823</v>
      </c>
      <c r="E592">
        <v>1</v>
      </c>
      <c r="F592">
        <v>0.15</v>
      </c>
      <c r="G592">
        <v>8001</v>
      </c>
      <c r="H592">
        <v>400</v>
      </c>
      <c r="I592">
        <v>1</v>
      </c>
      <c r="J592">
        <v>8000</v>
      </c>
      <c r="K592">
        <v>600</v>
      </c>
      <c r="L592">
        <v>1</v>
      </c>
      <c r="M592">
        <v>2007</v>
      </c>
      <c r="N592">
        <v>1</v>
      </c>
      <c r="O592">
        <v>0.05</v>
      </c>
      <c r="P592">
        <v>9000</v>
      </c>
      <c r="Q592">
        <v>150</v>
      </c>
      <c r="R592">
        <v>1</v>
      </c>
      <c r="S592" t="s">
        <v>3824</v>
      </c>
      <c r="T592">
        <v>20</v>
      </c>
      <c r="U592">
        <v>0.5</v>
      </c>
      <c r="V592">
        <v>1000</v>
      </c>
      <c r="W592">
        <v>6245</v>
      </c>
      <c r="X592">
        <v>1</v>
      </c>
      <c r="Y592">
        <v>2006</v>
      </c>
      <c r="Z592">
        <v>1</v>
      </c>
      <c r="AA592">
        <v>0.03</v>
      </c>
    </row>
    <row r="593" spans="1:27">
      <c r="A593">
        <v>1591</v>
      </c>
      <c r="B593" t="s">
        <v>4352</v>
      </c>
      <c r="C593">
        <v>150</v>
      </c>
      <c r="D593" t="s">
        <v>3823</v>
      </c>
      <c r="E593">
        <v>1</v>
      </c>
      <c r="F593">
        <v>0.15</v>
      </c>
      <c r="G593">
        <v>8001</v>
      </c>
      <c r="H593">
        <v>400</v>
      </c>
      <c r="I593">
        <v>1</v>
      </c>
      <c r="J593">
        <v>8000</v>
      </c>
      <c r="K593">
        <v>600</v>
      </c>
      <c r="L593">
        <v>1</v>
      </c>
      <c r="M593">
        <v>2007</v>
      </c>
      <c r="N593">
        <v>1</v>
      </c>
      <c r="O593">
        <v>0.05</v>
      </c>
      <c r="P593">
        <v>9000</v>
      </c>
      <c r="Q593">
        <v>150</v>
      </c>
      <c r="R593">
        <v>1</v>
      </c>
      <c r="S593" t="s">
        <v>3824</v>
      </c>
      <c r="T593">
        <v>20</v>
      </c>
      <c r="U593">
        <v>0.5</v>
      </c>
      <c r="V593">
        <v>1000</v>
      </c>
      <c r="W593">
        <v>6245</v>
      </c>
      <c r="X593">
        <v>1</v>
      </c>
      <c r="Y593">
        <v>2006</v>
      </c>
      <c r="Z593">
        <v>1</v>
      </c>
      <c r="AA593">
        <v>0.03</v>
      </c>
    </row>
    <row r="594" spans="1:27">
      <c r="A594">
        <v>1592</v>
      </c>
      <c r="B594" t="s">
        <v>4355</v>
      </c>
      <c r="C594">
        <v>150</v>
      </c>
      <c r="D594" t="s">
        <v>3823</v>
      </c>
      <c r="E594">
        <v>1</v>
      </c>
      <c r="F594">
        <v>0.15</v>
      </c>
      <c r="G594">
        <v>8001</v>
      </c>
      <c r="H594">
        <v>400</v>
      </c>
      <c r="I594">
        <v>1</v>
      </c>
      <c r="J594">
        <v>8000</v>
      </c>
      <c r="K594">
        <v>600</v>
      </c>
      <c r="L594">
        <v>1</v>
      </c>
      <c r="M594">
        <v>2007</v>
      </c>
      <c r="N594">
        <v>1</v>
      </c>
      <c r="O594">
        <v>0.05</v>
      </c>
      <c r="P594">
        <v>9000</v>
      </c>
      <c r="Q594">
        <v>150</v>
      </c>
      <c r="R594">
        <v>1</v>
      </c>
      <c r="S594" t="s">
        <v>3824</v>
      </c>
      <c r="T594">
        <v>20</v>
      </c>
      <c r="U594">
        <v>0.5</v>
      </c>
      <c r="V594">
        <v>1000</v>
      </c>
      <c r="W594">
        <v>6250</v>
      </c>
      <c r="X594">
        <v>1</v>
      </c>
      <c r="Y594">
        <v>2006</v>
      </c>
      <c r="Z594">
        <v>1</v>
      </c>
      <c r="AA594">
        <v>0.03</v>
      </c>
    </row>
    <row r="595" spans="1:27">
      <c r="A595">
        <v>1593</v>
      </c>
      <c r="B595" t="s">
        <v>4356</v>
      </c>
      <c r="C595">
        <v>150</v>
      </c>
      <c r="D595" t="s">
        <v>3823</v>
      </c>
      <c r="E595">
        <v>1</v>
      </c>
      <c r="F595">
        <v>0.15</v>
      </c>
      <c r="G595">
        <v>8001</v>
      </c>
      <c r="H595">
        <v>400</v>
      </c>
      <c r="I595">
        <v>1</v>
      </c>
      <c r="J595">
        <v>8000</v>
      </c>
      <c r="K595">
        <v>600</v>
      </c>
      <c r="L595">
        <v>1</v>
      </c>
      <c r="M595">
        <v>2007</v>
      </c>
      <c r="N595">
        <v>1</v>
      </c>
      <c r="O595">
        <v>0.05</v>
      </c>
      <c r="P595">
        <v>9000</v>
      </c>
      <c r="Q595">
        <v>150</v>
      </c>
      <c r="R595">
        <v>1</v>
      </c>
      <c r="S595" t="s">
        <v>3824</v>
      </c>
      <c r="T595">
        <v>20</v>
      </c>
      <c r="U595">
        <v>0.5</v>
      </c>
      <c r="V595">
        <v>1000</v>
      </c>
      <c r="W595">
        <v>6250</v>
      </c>
      <c r="X595">
        <v>1</v>
      </c>
      <c r="Y595">
        <v>2006</v>
      </c>
      <c r="Z595">
        <v>1</v>
      </c>
      <c r="AA595">
        <v>0.03</v>
      </c>
    </row>
    <row r="596" spans="1:27">
      <c r="A596">
        <v>1594</v>
      </c>
      <c r="B596" t="s">
        <v>4357</v>
      </c>
      <c r="C596">
        <v>150</v>
      </c>
      <c r="D596" t="s">
        <v>3823</v>
      </c>
      <c r="E596">
        <v>1</v>
      </c>
      <c r="F596">
        <v>0.15</v>
      </c>
      <c r="G596">
        <v>8001</v>
      </c>
      <c r="H596">
        <v>400</v>
      </c>
      <c r="I596">
        <v>1</v>
      </c>
      <c r="J596">
        <v>8000</v>
      </c>
      <c r="K596">
        <v>600</v>
      </c>
      <c r="L596">
        <v>1</v>
      </c>
      <c r="M596">
        <v>2007</v>
      </c>
      <c r="N596">
        <v>1</v>
      </c>
      <c r="O596">
        <v>0.05</v>
      </c>
      <c r="P596">
        <v>9000</v>
      </c>
      <c r="Q596">
        <v>150</v>
      </c>
      <c r="R596">
        <v>1</v>
      </c>
      <c r="S596" t="s">
        <v>3824</v>
      </c>
      <c r="T596">
        <v>20</v>
      </c>
      <c r="U596">
        <v>0.5</v>
      </c>
      <c r="V596">
        <v>1000</v>
      </c>
      <c r="W596">
        <v>6250</v>
      </c>
      <c r="X596">
        <v>1</v>
      </c>
      <c r="Y596">
        <v>2006</v>
      </c>
      <c r="Z596">
        <v>1</v>
      </c>
      <c r="AA596">
        <v>0.03</v>
      </c>
    </row>
    <row r="597" spans="1:27">
      <c r="A597">
        <v>1595</v>
      </c>
      <c r="B597" t="s">
        <v>4358</v>
      </c>
      <c r="C597">
        <v>150</v>
      </c>
      <c r="D597" t="s">
        <v>3823</v>
      </c>
      <c r="E597">
        <v>1</v>
      </c>
      <c r="F597">
        <v>0.15</v>
      </c>
      <c r="G597">
        <v>8001</v>
      </c>
      <c r="H597">
        <v>400</v>
      </c>
      <c r="I597">
        <v>1</v>
      </c>
      <c r="J597">
        <v>8000</v>
      </c>
      <c r="K597">
        <v>600</v>
      </c>
      <c r="L597">
        <v>1</v>
      </c>
      <c r="M597">
        <v>2007</v>
      </c>
      <c r="N597">
        <v>1</v>
      </c>
      <c r="O597">
        <v>0.05</v>
      </c>
      <c r="P597">
        <v>9000</v>
      </c>
      <c r="Q597">
        <v>150</v>
      </c>
      <c r="R597">
        <v>1</v>
      </c>
      <c r="S597" t="s">
        <v>3824</v>
      </c>
      <c r="T597">
        <v>20</v>
      </c>
      <c r="U597">
        <v>0.5</v>
      </c>
      <c r="V597">
        <v>1000</v>
      </c>
      <c r="W597">
        <v>6250</v>
      </c>
      <c r="X597">
        <v>1</v>
      </c>
      <c r="Y597">
        <v>2006</v>
      </c>
      <c r="Z597">
        <v>1</v>
      </c>
      <c r="AA597">
        <v>0.03</v>
      </c>
    </row>
    <row r="598" spans="1:27">
      <c r="A598">
        <v>1596</v>
      </c>
      <c r="B598" t="s">
        <v>4347</v>
      </c>
      <c r="C598">
        <v>150</v>
      </c>
      <c r="D598" t="s">
        <v>3823</v>
      </c>
      <c r="E598">
        <v>1</v>
      </c>
      <c r="F598">
        <v>0.15</v>
      </c>
      <c r="G598">
        <v>8001</v>
      </c>
      <c r="H598">
        <v>400</v>
      </c>
      <c r="I598">
        <v>1</v>
      </c>
      <c r="J598">
        <v>8000</v>
      </c>
      <c r="K598">
        <v>600</v>
      </c>
      <c r="L598">
        <v>1</v>
      </c>
      <c r="M598">
        <v>2007</v>
      </c>
      <c r="N598">
        <v>1</v>
      </c>
      <c r="O598">
        <v>0.05</v>
      </c>
      <c r="P598">
        <v>9000</v>
      </c>
      <c r="Q598">
        <v>150</v>
      </c>
      <c r="R598">
        <v>1</v>
      </c>
      <c r="S598" t="s">
        <v>3824</v>
      </c>
      <c r="T598">
        <v>20</v>
      </c>
      <c r="U598">
        <v>0.5</v>
      </c>
      <c r="V598">
        <v>1000</v>
      </c>
      <c r="W598">
        <v>6250</v>
      </c>
      <c r="X598">
        <v>1</v>
      </c>
      <c r="Y598">
        <v>2006</v>
      </c>
      <c r="Z598">
        <v>1</v>
      </c>
      <c r="AA598">
        <v>0.03</v>
      </c>
    </row>
    <row r="599" spans="1:27">
      <c r="A599">
        <v>1597</v>
      </c>
      <c r="B599" t="s">
        <v>4359</v>
      </c>
      <c r="C599">
        <v>150</v>
      </c>
      <c r="D599" t="s">
        <v>3823</v>
      </c>
      <c r="E599">
        <v>1</v>
      </c>
      <c r="F599">
        <v>0.15</v>
      </c>
      <c r="G599">
        <v>8001</v>
      </c>
      <c r="H599">
        <v>400</v>
      </c>
      <c r="I599">
        <v>1</v>
      </c>
      <c r="J599">
        <v>8000</v>
      </c>
      <c r="K599">
        <v>600</v>
      </c>
      <c r="L599">
        <v>1</v>
      </c>
      <c r="M599">
        <v>2007</v>
      </c>
      <c r="N599">
        <v>1</v>
      </c>
      <c r="O599">
        <v>0.05</v>
      </c>
      <c r="P599">
        <v>9000</v>
      </c>
      <c r="Q599">
        <v>150</v>
      </c>
      <c r="R599">
        <v>1</v>
      </c>
      <c r="S599" t="s">
        <v>3824</v>
      </c>
      <c r="T599">
        <v>20</v>
      </c>
      <c r="U599">
        <v>0.5</v>
      </c>
      <c r="V599">
        <v>1000</v>
      </c>
      <c r="W599">
        <v>6250</v>
      </c>
      <c r="X599">
        <v>1</v>
      </c>
      <c r="Y599">
        <v>2006</v>
      </c>
      <c r="Z599">
        <v>1</v>
      </c>
      <c r="AA599">
        <v>0.03</v>
      </c>
    </row>
    <row r="600" spans="1:27">
      <c r="A600">
        <v>1598</v>
      </c>
      <c r="B600" t="s">
        <v>4360</v>
      </c>
      <c r="C600">
        <v>150</v>
      </c>
      <c r="D600" t="s">
        <v>3823</v>
      </c>
      <c r="E600">
        <v>1</v>
      </c>
      <c r="F600">
        <v>0.15</v>
      </c>
      <c r="G600">
        <v>8001</v>
      </c>
      <c r="H600">
        <v>400</v>
      </c>
      <c r="I600">
        <v>1</v>
      </c>
      <c r="J600">
        <v>8000</v>
      </c>
      <c r="K600">
        <v>600</v>
      </c>
      <c r="L600">
        <v>1</v>
      </c>
      <c r="M600">
        <v>2007</v>
      </c>
      <c r="N600">
        <v>1</v>
      </c>
      <c r="O600">
        <v>0.05</v>
      </c>
      <c r="P600">
        <v>9000</v>
      </c>
      <c r="Q600">
        <v>150</v>
      </c>
      <c r="R600">
        <v>1</v>
      </c>
      <c r="S600" t="s">
        <v>3824</v>
      </c>
      <c r="T600">
        <v>20</v>
      </c>
      <c r="U600">
        <v>0.5</v>
      </c>
      <c r="V600">
        <v>1000</v>
      </c>
      <c r="W600">
        <v>6250</v>
      </c>
      <c r="X600">
        <v>1</v>
      </c>
      <c r="Y600">
        <v>2006</v>
      </c>
      <c r="Z600">
        <v>1</v>
      </c>
      <c r="AA600">
        <v>0.03</v>
      </c>
    </row>
    <row r="601" spans="1:27">
      <c r="A601">
        <v>1599</v>
      </c>
      <c r="B601" t="s">
        <v>4361</v>
      </c>
      <c r="C601">
        <v>150</v>
      </c>
      <c r="D601" t="s">
        <v>3823</v>
      </c>
      <c r="E601">
        <v>1</v>
      </c>
      <c r="F601">
        <v>0.15</v>
      </c>
      <c r="G601">
        <v>8001</v>
      </c>
      <c r="H601">
        <v>400</v>
      </c>
      <c r="I601">
        <v>1</v>
      </c>
      <c r="J601">
        <v>8000</v>
      </c>
      <c r="K601">
        <v>600</v>
      </c>
      <c r="L601">
        <v>1</v>
      </c>
      <c r="M601">
        <v>2007</v>
      </c>
      <c r="N601">
        <v>1</v>
      </c>
      <c r="O601">
        <v>0.05</v>
      </c>
      <c r="P601">
        <v>9000</v>
      </c>
      <c r="Q601">
        <v>150</v>
      </c>
      <c r="R601">
        <v>1</v>
      </c>
      <c r="S601" t="s">
        <v>3824</v>
      </c>
      <c r="T601">
        <v>20</v>
      </c>
      <c r="U601">
        <v>0.5</v>
      </c>
      <c r="V601">
        <v>1000</v>
      </c>
      <c r="W601">
        <v>6250</v>
      </c>
      <c r="X601">
        <v>1</v>
      </c>
      <c r="Y601">
        <v>2006</v>
      </c>
      <c r="Z601">
        <v>1</v>
      </c>
      <c r="AA601">
        <v>0.03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06"/>
  <sheetViews>
    <sheetView zoomScaleNormal="100" workbookViewId="0"/>
  </sheetViews>
  <sheetFormatPr defaultColWidth="12.5703125" defaultRowHeight="12.75"/>
  <cols>
    <col min="2" max="2" width="21.7109375" customWidth="1"/>
  </cols>
  <sheetData>
    <row r="1" spans="1:19" ht="14.25" customHeight="1">
      <c r="A1" s="7"/>
    </row>
    <row r="2" spans="1:19" ht="14.25" customHeight="1">
      <c r="A2" s="40" t="s">
        <v>0</v>
      </c>
      <c r="B2" s="40" t="s">
        <v>1599</v>
      </c>
      <c r="C2" s="40" t="s">
        <v>63</v>
      </c>
      <c r="D2" s="40" t="s">
        <v>37</v>
      </c>
      <c r="E2" s="40" t="s">
        <v>685</v>
      </c>
      <c r="F2" s="40" t="s">
        <v>686</v>
      </c>
      <c r="G2" s="40" t="s">
        <v>687</v>
      </c>
      <c r="H2" s="40" t="s">
        <v>688</v>
      </c>
      <c r="I2" s="40" t="s">
        <v>39</v>
      </c>
      <c r="J2" s="40" t="s">
        <v>691</v>
      </c>
      <c r="K2" s="40" t="s">
        <v>689</v>
      </c>
      <c r="L2" s="40" t="s">
        <v>690</v>
      </c>
      <c r="M2" s="40" t="s">
        <v>693</v>
      </c>
      <c r="N2" s="40" t="s">
        <v>694</v>
      </c>
      <c r="O2" s="40" t="s">
        <v>695</v>
      </c>
      <c r="P2" s="40" t="s">
        <v>696</v>
      </c>
      <c r="Q2" s="40" t="s">
        <v>697</v>
      </c>
      <c r="R2" s="40" t="s">
        <v>698</v>
      </c>
      <c r="S2" s="40" t="s">
        <v>692</v>
      </c>
    </row>
    <row r="3" spans="1:19" ht="14.25" customHeight="1">
      <c r="A3" s="6">
        <v>700</v>
      </c>
      <c r="B3" s="8" t="s">
        <v>4362</v>
      </c>
      <c r="C3" s="6">
        <v>1</v>
      </c>
      <c r="D3" s="6">
        <v>10</v>
      </c>
      <c r="E3" s="6"/>
      <c r="F3" s="6"/>
      <c r="G3" s="6"/>
      <c r="H3" s="6"/>
      <c r="I3" s="6"/>
      <c r="J3" s="6"/>
      <c r="K3" s="2"/>
      <c r="L3" s="2"/>
      <c r="M3" s="2"/>
      <c r="N3" s="2"/>
      <c r="O3" s="2"/>
      <c r="P3" s="2"/>
      <c r="Q3" s="2"/>
      <c r="R3" s="2"/>
      <c r="S3" s="2"/>
    </row>
    <row r="4" spans="1:19" ht="14.25" customHeight="1">
      <c r="A4" s="6">
        <v>700</v>
      </c>
      <c r="B4" s="8" t="s">
        <v>4363</v>
      </c>
      <c r="C4" s="6">
        <v>2</v>
      </c>
      <c r="D4" s="6">
        <f>D3+4</f>
        <v>14</v>
      </c>
      <c r="E4" s="6"/>
      <c r="F4" s="6"/>
      <c r="G4" s="6"/>
      <c r="H4" s="6"/>
      <c r="I4" s="6"/>
      <c r="J4" s="6"/>
      <c r="K4" s="2"/>
      <c r="L4" s="2"/>
      <c r="M4" s="2"/>
      <c r="N4" s="2"/>
      <c r="O4" s="2"/>
      <c r="P4" s="2"/>
      <c r="Q4" s="2"/>
      <c r="R4" s="2"/>
      <c r="S4" s="2"/>
    </row>
    <row r="5" spans="1:19" ht="14.25" customHeight="1">
      <c r="A5" s="6">
        <v>700</v>
      </c>
      <c r="B5" s="8" t="s">
        <v>4364</v>
      </c>
      <c r="C5" s="6">
        <v>3</v>
      </c>
      <c r="D5" s="6">
        <f>D4+4</f>
        <v>18</v>
      </c>
      <c r="E5" s="6"/>
      <c r="F5" s="6"/>
      <c r="G5" s="6"/>
      <c r="H5" s="6"/>
      <c r="I5" s="6"/>
      <c r="J5" s="6"/>
      <c r="K5" s="2"/>
      <c r="L5" s="2"/>
      <c r="M5" s="2"/>
      <c r="N5" s="2"/>
      <c r="O5" s="2"/>
      <c r="P5" s="2"/>
      <c r="Q5" s="2"/>
      <c r="R5" s="2"/>
      <c r="S5" s="2"/>
    </row>
    <row r="6" spans="1:19" ht="14.25" customHeight="1">
      <c r="A6" s="6">
        <v>700</v>
      </c>
      <c r="B6" s="8" t="s">
        <v>4365</v>
      </c>
      <c r="C6" s="6">
        <v>4</v>
      </c>
      <c r="D6" s="6">
        <f>D5+4</f>
        <v>22</v>
      </c>
      <c r="E6" s="6"/>
      <c r="F6" s="6"/>
      <c r="G6" s="6"/>
      <c r="H6" s="6"/>
      <c r="I6" s="6"/>
      <c r="J6" s="6"/>
      <c r="K6" s="2"/>
      <c r="L6" s="2"/>
      <c r="M6" s="2"/>
      <c r="N6" s="2"/>
      <c r="O6" s="2"/>
      <c r="P6" s="2"/>
      <c r="Q6" s="2"/>
      <c r="R6" s="2"/>
      <c r="S6" s="2"/>
    </row>
    <row r="7" spans="1:19" ht="14.25" customHeight="1">
      <c r="A7" s="6">
        <v>700</v>
      </c>
      <c r="B7" s="8" t="s">
        <v>4366</v>
      </c>
      <c r="C7" s="6">
        <v>5</v>
      </c>
      <c r="D7" s="6">
        <f>D6+4</f>
        <v>26</v>
      </c>
      <c r="E7" s="6"/>
      <c r="F7" s="6"/>
      <c r="G7" s="6"/>
      <c r="H7" s="6"/>
      <c r="I7" s="6"/>
      <c r="J7" s="6"/>
      <c r="K7" s="2"/>
      <c r="L7" s="2"/>
      <c r="M7" s="2"/>
      <c r="N7" s="2"/>
      <c r="O7" s="2"/>
      <c r="P7" s="2"/>
      <c r="Q7" s="2"/>
      <c r="R7" s="2"/>
      <c r="S7" s="2"/>
    </row>
    <row r="8" spans="1:19" ht="14.25" customHeight="1">
      <c r="A8" s="6">
        <v>700</v>
      </c>
      <c r="B8" s="8" t="s">
        <v>4367</v>
      </c>
      <c r="C8" s="6">
        <v>6</v>
      </c>
      <c r="D8" s="6">
        <f>D7+4</f>
        <v>30</v>
      </c>
      <c r="E8" s="6"/>
      <c r="F8" s="6"/>
      <c r="G8" s="6"/>
      <c r="H8" s="6"/>
      <c r="I8" s="6"/>
      <c r="J8" s="6"/>
      <c r="K8" s="2"/>
      <c r="L8" s="2"/>
      <c r="M8" s="2"/>
      <c r="N8" s="2"/>
      <c r="O8" s="2"/>
      <c r="P8" s="2"/>
      <c r="Q8" s="2"/>
      <c r="R8" s="2"/>
      <c r="S8" s="2"/>
    </row>
    <row r="9" spans="1:19" ht="14.25" customHeight="1">
      <c r="A9" s="6">
        <v>700</v>
      </c>
      <c r="B9" s="8" t="s">
        <v>4368</v>
      </c>
      <c r="C9" s="6">
        <v>7</v>
      </c>
      <c r="D9" s="6">
        <f>D8+5</f>
        <v>35</v>
      </c>
      <c r="E9" s="6"/>
      <c r="F9" s="6"/>
      <c r="G9" s="6"/>
      <c r="H9" s="6"/>
      <c r="I9" s="6"/>
      <c r="J9" s="6"/>
      <c r="K9" s="2"/>
      <c r="L9" s="2"/>
      <c r="M9" s="2"/>
      <c r="N9" s="2"/>
      <c r="O9" s="2"/>
      <c r="P9" s="2"/>
      <c r="Q9" s="2"/>
      <c r="R9" s="2"/>
      <c r="S9" s="2"/>
    </row>
    <row r="10" spans="1:19" ht="14.25" customHeight="1">
      <c r="A10" s="6">
        <v>700</v>
      </c>
      <c r="B10" s="8" t="s">
        <v>4369</v>
      </c>
      <c r="C10" s="6">
        <v>8</v>
      </c>
      <c r="D10" s="6">
        <f>D9+5</f>
        <v>40</v>
      </c>
      <c r="E10" s="6"/>
      <c r="F10" s="6"/>
      <c r="G10" s="6"/>
      <c r="H10" s="6"/>
      <c r="I10" s="6"/>
      <c r="J10" s="6"/>
      <c r="K10" s="2"/>
      <c r="L10" s="2"/>
      <c r="M10" s="2"/>
      <c r="N10" s="2"/>
      <c r="O10" s="2"/>
      <c r="P10" s="2"/>
      <c r="Q10" s="2"/>
      <c r="R10" s="2"/>
      <c r="S10" s="2"/>
    </row>
    <row r="11" spans="1:19" ht="14.25" customHeight="1">
      <c r="A11" s="6">
        <v>700</v>
      </c>
      <c r="B11" s="8" t="s">
        <v>4370</v>
      </c>
      <c r="C11" s="6">
        <v>9</v>
      </c>
      <c r="D11" s="6">
        <f>D10+5</f>
        <v>45</v>
      </c>
      <c r="E11" s="6"/>
      <c r="F11" s="6"/>
      <c r="G11" s="6"/>
      <c r="H11" s="6"/>
      <c r="I11" s="6"/>
      <c r="J11" s="6"/>
      <c r="K11" s="2"/>
      <c r="L11" s="2"/>
      <c r="M11" s="2"/>
      <c r="N11" s="2"/>
      <c r="O11" s="2"/>
      <c r="P11" s="2"/>
      <c r="Q11" s="2"/>
      <c r="R11" s="2"/>
      <c r="S11" s="2"/>
    </row>
    <row r="12" spans="1:19" ht="14.25" customHeight="1">
      <c r="A12" s="6">
        <v>700</v>
      </c>
      <c r="B12" s="8" t="s">
        <v>4371</v>
      </c>
      <c r="C12" s="6">
        <v>10</v>
      </c>
      <c r="D12" s="6">
        <f>D11+5</f>
        <v>50</v>
      </c>
      <c r="E12" s="6"/>
      <c r="F12" s="6"/>
      <c r="G12" s="6"/>
      <c r="H12" s="6"/>
      <c r="I12" s="6"/>
      <c r="J12" s="6"/>
      <c r="K12" s="2"/>
      <c r="L12" s="2"/>
      <c r="M12" s="2"/>
      <c r="N12" s="2"/>
      <c r="O12" s="2"/>
      <c r="P12" s="2"/>
      <c r="Q12" s="2"/>
      <c r="R12" s="2"/>
      <c r="S12" s="2"/>
    </row>
    <row r="13" spans="1:19" ht="14.25" customHeight="1">
      <c r="A13" s="6">
        <v>701</v>
      </c>
      <c r="B13" s="8" t="s">
        <v>4372</v>
      </c>
      <c r="C13" s="6">
        <v>1</v>
      </c>
      <c r="D13" s="6">
        <v>10</v>
      </c>
      <c r="E13" s="6"/>
      <c r="F13" s="6"/>
      <c r="G13" s="6"/>
      <c r="H13" s="6"/>
      <c r="I13" s="6"/>
      <c r="J13" s="6"/>
      <c r="K13" s="2"/>
      <c r="L13" s="2"/>
      <c r="M13" s="2"/>
      <c r="N13" s="2"/>
      <c r="O13" s="2"/>
      <c r="P13" s="2"/>
      <c r="Q13" s="2"/>
      <c r="R13" s="2"/>
      <c r="S13" s="2"/>
    </row>
    <row r="14" spans="1:19" ht="14.25" customHeight="1">
      <c r="A14" s="6">
        <v>701</v>
      </c>
      <c r="B14" s="8" t="s">
        <v>4373</v>
      </c>
      <c r="C14" s="6">
        <v>2</v>
      </c>
      <c r="D14" s="6">
        <f>D13+4</f>
        <v>14</v>
      </c>
      <c r="E14" s="6"/>
      <c r="F14" s="6"/>
      <c r="G14" s="6"/>
      <c r="H14" s="6"/>
      <c r="I14" s="6"/>
      <c r="J14" s="6"/>
      <c r="K14" s="2"/>
      <c r="L14" s="2"/>
      <c r="M14" s="2"/>
      <c r="N14" s="2"/>
      <c r="O14" s="2"/>
      <c r="P14" s="2"/>
      <c r="Q14" s="2"/>
      <c r="R14" s="2"/>
      <c r="S14" s="2"/>
    </row>
    <row r="15" spans="1:19" ht="14.25" customHeight="1">
      <c r="A15" s="6">
        <v>701</v>
      </c>
      <c r="B15" s="8" t="s">
        <v>4374</v>
      </c>
      <c r="C15" s="6">
        <v>3</v>
      </c>
      <c r="D15" s="6">
        <f>D14+4</f>
        <v>18</v>
      </c>
      <c r="E15" s="6"/>
      <c r="F15" s="6"/>
      <c r="G15" s="6"/>
      <c r="H15" s="6"/>
      <c r="I15" s="6"/>
      <c r="J15" s="6"/>
      <c r="K15" s="2"/>
      <c r="L15" s="2"/>
      <c r="M15" s="2"/>
      <c r="N15" s="2"/>
      <c r="O15" s="2"/>
      <c r="P15" s="2"/>
      <c r="Q15" s="2"/>
      <c r="R15" s="2"/>
      <c r="S15" s="2"/>
    </row>
    <row r="16" spans="1:19" ht="14.25" customHeight="1">
      <c r="A16" s="6">
        <v>701</v>
      </c>
      <c r="B16" s="8" t="s">
        <v>4375</v>
      </c>
      <c r="C16" s="6">
        <v>4</v>
      </c>
      <c r="D16" s="6">
        <f>D15+4</f>
        <v>22</v>
      </c>
      <c r="E16" s="6"/>
      <c r="F16" s="6"/>
      <c r="G16" s="6"/>
      <c r="H16" s="6"/>
      <c r="I16" s="6"/>
      <c r="J16" s="6"/>
      <c r="K16" s="2"/>
      <c r="L16" s="2"/>
      <c r="M16" s="2"/>
      <c r="N16" s="2"/>
      <c r="O16" s="2"/>
      <c r="P16" s="2"/>
      <c r="Q16" s="2"/>
      <c r="R16" s="2"/>
      <c r="S16" s="2"/>
    </row>
    <row r="17" spans="1:19" ht="14.25" customHeight="1">
      <c r="A17" s="6">
        <v>701</v>
      </c>
      <c r="B17" s="8" t="s">
        <v>4376</v>
      </c>
      <c r="C17" s="6">
        <v>5</v>
      </c>
      <c r="D17" s="6">
        <f>D16+4</f>
        <v>26</v>
      </c>
      <c r="E17" s="6"/>
      <c r="F17" s="6"/>
      <c r="G17" s="6"/>
      <c r="H17" s="6"/>
      <c r="I17" s="6"/>
      <c r="J17" s="6"/>
      <c r="K17" s="2"/>
      <c r="L17" s="2"/>
      <c r="M17" s="2"/>
      <c r="N17" s="2"/>
      <c r="O17" s="2"/>
      <c r="P17" s="2"/>
      <c r="Q17" s="2"/>
      <c r="R17" s="2"/>
      <c r="S17" s="2"/>
    </row>
    <row r="18" spans="1:19" ht="14.25" customHeight="1">
      <c r="A18" s="6">
        <v>701</v>
      </c>
      <c r="B18" s="8" t="s">
        <v>4377</v>
      </c>
      <c r="C18" s="6">
        <v>6</v>
      </c>
      <c r="D18" s="6">
        <f>D17+4</f>
        <v>30</v>
      </c>
      <c r="E18" s="6"/>
      <c r="F18" s="6"/>
      <c r="G18" s="6"/>
      <c r="H18" s="6"/>
      <c r="I18" s="6"/>
      <c r="J18" s="6"/>
      <c r="K18" s="2"/>
      <c r="L18" s="2"/>
      <c r="M18" s="2"/>
      <c r="N18" s="2"/>
      <c r="O18" s="2"/>
      <c r="P18" s="2"/>
      <c r="Q18" s="2"/>
      <c r="R18" s="2"/>
      <c r="S18" s="2"/>
    </row>
    <row r="19" spans="1:19" ht="14.25" customHeight="1">
      <c r="A19" s="6">
        <v>701</v>
      </c>
      <c r="B19" s="8" t="s">
        <v>4378</v>
      </c>
      <c r="C19" s="6">
        <v>7</v>
      </c>
      <c r="D19" s="6">
        <f>D18+5</f>
        <v>35</v>
      </c>
      <c r="E19" s="6"/>
      <c r="F19" s="6"/>
      <c r="G19" s="6"/>
      <c r="H19" s="6"/>
      <c r="I19" s="6"/>
      <c r="J19" s="6"/>
      <c r="K19" s="2"/>
      <c r="L19" s="2"/>
      <c r="M19" s="2"/>
      <c r="N19" s="2"/>
      <c r="O19" s="2"/>
      <c r="P19" s="2"/>
      <c r="Q19" s="2"/>
      <c r="R19" s="2"/>
      <c r="S19" s="2"/>
    </row>
    <row r="20" spans="1:19" ht="14.25" customHeight="1">
      <c r="A20" s="6">
        <v>701</v>
      </c>
      <c r="B20" s="8" t="s">
        <v>4379</v>
      </c>
      <c r="C20" s="6">
        <v>8</v>
      </c>
      <c r="D20" s="6">
        <f>D19+5</f>
        <v>40</v>
      </c>
      <c r="E20" s="6"/>
      <c r="F20" s="6"/>
      <c r="G20" s="6"/>
      <c r="H20" s="6"/>
      <c r="I20" s="6"/>
      <c r="J20" s="6"/>
      <c r="K20" s="2"/>
      <c r="L20" s="2"/>
      <c r="M20" s="2"/>
      <c r="N20" s="2"/>
      <c r="O20" s="2"/>
      <c r="P20" s="2"/>
      <c r="Q20" s="2"/>
      <c r="R20" s="2"/>
      <c r="S20" s="2"/>
    </row>
    <row r="21" spans="1:19" ht="14.25" customHeight="1">
      <c r="A21" s="6">
        <v>701</v>
      </c>
      <c r="B21" s="8" t="s">
        <v>4380</v>
      </c>
      <c r="C21" s="6">
        <v>9</v>
      </c>
      <c r="D21" s="6">
        <f>D20+5</f>
        <v>45</v>
      </c>
      <c r="E21" s="6"/>
      <c r="F21" s="6"/>
      <c r="G21" s="6"/>
      <c r="H21" s="6"/>
      <c r="I21" s="6"/>
      <c r="J21" s="6"/>
      <c r="K21" s="2"/>
      <c r="L21" s="2"/>
      <c r="M21" s="2"/>
      <c r="N21" s="2"/>
      <c r="O21" s="2"/>
      <c r="P21" s="2"/>
      <c r="Q21" s="2"/>
      <c r="R21" s="2"/>
      <c r="S21" s="2"/>
    </row>
    <row r="22" spans="1:19" ht="14.25" customHeight="1">
      <c r="A22" s="6">
        <v>701</v>
      </c>
      <c r="B22" s="8" t="s">
        <v>4381</v>
      </c>
      <c r="C22" s="6">
        <v>10</v>
      </c>
      <c r="D22" s="6">
        <f>D21+5</f>
        <v>50</v>
      </c>
      <c r="E22" s="6"/>
      <c r="F22" s="6"/>
      <c r="G22" s="6"/>
      <c r="H22" s="6"/>
      <c r="I22" s="6"/>
      <c r="J22" s="6"/>
      <c r="K22" s="2"/>
      <c r="L22" s="2"/>
      <c r="M22" s="2"/>
      <c r="N22" s="2"/>
      <c r="O22" s="2"/>
      <c r="P22" s="2"/>
      <c r="Q22" s="2"/>
      <c r="R22" s="2"/>
      <c r="S22" s="2"/>
    </row>
    <row r="23" spans="1:19" ht="14.25" customHeight="1">
      <c r="A23" s="6">
        <v>702</v>
      </c>
      <c r="B23" s="8" t="s">
        <v>4382</v>
      </c>
      <c r="C23" s="6">
        <v>1</v>
      </c>
      <c r="D23" s="6">
        <v>10</v>
      </c>
      <c r="E23" s="6"/>
      <c r="F23" s="6"/>
      <c r="G23" s="6"/>
      <c r="H23" s="6"/>
      <c r="I23" s="6"/>
      <c r="J23" s="6"/>
      <c r="K23" s="2"/>
      <c r="L23" s="2"/>
      <c r="M23" s="2"/>
      <c r="N23" s="2"/>
      <c r="O23" s="2"/>
      <c r="P23" s="2"/>
      <c r="Q23" s="2"/>
      <c r="R23" s="2"/>
      <c r="S23" s="2"/>
    </row>
    <row r="24" spans="1:19" ht="14.25" customHeight="1">
      <c r="A24" s="6">
        <v>702</v>
      </c>
      <c r="B24" s="8" t="s">
        <v>4382</v>
      </c>
      <c r="C24" s="6">
        <v>2</v>
      </c>
      <c r="D24" s="6">
        <f>D23+4</f>
        <v>14</v>
      </c>
      <c r="E24" s="6"/>
      <c r="F24" s="6"/>
      <c r="G24" s="6"/>
      <c r="H24" s="6"/>
      <c r="I24" s="6"/>
      <c r="J24" s="6"/>
      <c r="K24" s="2"/>
      <c r="L24" s="2"/>
      <c r="M24" s="2"/>
      <c r="N24" s="2"/>
      <c r="O24" s="2"/>
      <c r="P24" s="2"/>
      <c r="Q24" s="2"/>
      <c r="R24" s="2"/>
      <c r="S24" s="2"/>
    </row>
    <row r="25" spans="1:19" ht="14.25" customHeight="1">
      <c r="A25" s="6">
        <v>702</v>
      </c>
      <c r="B25" s="8" t="s">
        <v>4382</v>
      </c>
      <c r="C25" s="6">
        <v>3</v>
      </c>
      <c r="D25" s="6">
        <f>D24+4</f>
        <v>18</v>
      </c>
      <c r="E25" s="6"/>
      <c r="F25" s="6"/>
      <c r="G25" s="6"/>
      <c r="H25" s="6"/>
      <c r="I25" s="6"/>
      <c r="J25" s="6"/>
      <c r="K25" s="2"/>
      <c r="L25" s="2"/>
      <c r="M25" s="2"/>
      <c r="N25" s="2"/>
      <c r="O25" s="2"/>
      <c r="P25" s="2"/>
      <c r="Q25" s="2"/>
      <c r="R25" s="2"/>
      <c r="S25" s="2"/>
    </row>
    <row r="26" spans="1:19" ht="14.25" customHeight="1">
      <c r="A26" s="6">
        <v>702</v>
      </c>
      <c r="B26" s="8" t="s">
        <v>4382</v>
      </c>
      <c r="C26" s="6">
        <v>4</v>
      </c>
      <c r="D26" s="6">
        <f>D25+4</f>
        <v>22</v>
      </c>
      <c r="E26" s="6"/>
      <c r="F26" s="6"/>
      <c r="G26" s="6"/>
      <c r="H26" s="6"/>
      <c r="I26" s="6"/>
      <c r="J26" s="6"/>
      <c r="K26" s="2"/>
      <c r="L26" s="2"/>
      <c r="M26" s="2"/>
      <c r="N26" s="2"/>
      <c r="O26" s="2"/>
      <c r="P26" s="2"/>
      <c r="Q26" s="2"/>
      <c r="R26" s="2"/>
      <c r="S26" s="2"/>
    </row>
    <row r="27" spans="1:19" ht="14.25" customHeight="1">
      <c r="A27" s="6">
        <v>702</v>
      </c>
      <c r="B27" s="8" t="s">
        <v>4382</v>
      </c>
      <c r="C27" s="6">
        <v>5</v>
      </c>
      <c r="D27" s="6">
        <f>D26+4</f>
        <v>26</v>
      </c>
      <c r="E27" s="6"/>
      <c r="F27" s="6"/>
      <c r="G27" s="6"/>
      <c r="H27" s="6"/>
      <c r="I27" s="6"/>
      <c r="J27" s="6"/>
      <c r="K27" s="2"/>
      <c r="L27" s="2"/>
      <c r="M27" s="2"/>
      <c r="N27" s="2"/>
      <c r="O27" s="2"/>
      <c r="P27" s="2"/>
      <c r="Q27" s="2"/>
      <c r="R27" s="2"/>
      <c r="S27" s="2"/>
    </row>
    <row r="28" spans="1:19" ht="14.25" customHeight="1">
      <c r="A28" s="6">
        <v>702</v>
      </c>
      <c r="B28" s="8" t="s">
        <v>4382</v>
      </c>
      <c r="C28" s="6">
        <v>6</v>
      </c>
      <c r="D28" s="6">
        <f>D27+4</f>
        <v>30</v>
      </c>
      <c r="E28" s="6"/>
      <c r="F28" s="6"/>
      <c r="G28" s="6"/>
      <c r="H28" s="6"/>
      <c r="I28" s="6"/>
      <c r="J28" s="6"/>
      <c r="K28" s="2"/>
      <c r="L28" s="2"/>
      <c r="M28" s="2"/>
      <c r="N28" s="2"/>
      <c r="O28" s="2"/>
      <c r="P28" s="2"/>
      <c r="Q28" s="2"/>
      <c r="R28" s="2"/>
      <c r="S28" s="2"/>
    </row>
    <row r="29" spans="1:19" ht="14.25" customHeight="1">
      <c r="A29" s="6">
        <v>702</v>
      </c>
      <c r="B29" s="8" t="s">
        <v>4382</v>
      </c>
      <c r="C29" s="6">
        <v>7</v>
      </c>
      <c r="D29" s="6">
        <f>D28+5</f>
        <v>35</v>
      </c>
      <c r="E29" s="6"/>
      <c r="F29" s="6"/>
      <c r="G29" s="6"/>
      <c r="H29" s="6"/>
      <c r="I29" s="6"/>
      <c r="J29" s="6"/>
      <c r="K29" s="2"/>
      <c r="L29" s="2"/>
      <c r="M29" s="2"/>
      <c r="N29" s="2"/>
      <c r="O29" s="2"/>
      <c r="P29" s="2"/>
      <c r="Q29" s="2"/>
      <c r="R29" s="2"/>
      <c r="S29" s="2"/>
    </row>
    <row r="30" spans="1:19" ht="14.25" customHeight="1">
      <c r="A30" s="6">
        <v>702</v>
      </c>
      <c r="B30" s="8" t="s">
        <v>4382</v>
      </c>
      <c r="C30" s="6">
        <v>8</v>
      </c>
      <c r="D30" s="6">
        <f>D29+5</f>
        <v>40</v>
      </c>
      <c r="E30" s="6"/>
      <c r="F30" s="6"/>
      <c r="G30" s="6"/>
      <c r="H30" s="6"/>
      <c r="I30" s="6"/>
      <c r="J30" s="6"/>
      <c r="K30" s="2"/>
      <c r="L30" s="2"/>
      <c r="M30" s="2"/>
      <c r="N30" s="2"/>
      <c r="O30" s="2"/>
      <c r="P30" s="2"/>
      <c r="Q30" s="2"/>
      <c r="R30" s="2"/>
      <c r="S30" s="2"/>
    </row>
    <row r="31" spans="1:19" ht="14.25" customHeight="1">
      <c r="A31" s="6">
        <v>702</v>
      </c>
      <c r="B31" s="8" t="s">
        <v>4382</v>
      </c>
      <c r="C31" s="6">
        <v>9</v>
      </c>
      <c r="D31" s="6">
        <f>D30+5</f>
        <v>45</v>
      </c>
      <c r="E31" s="6"/>
      <c r="F31" s="6"/>
      <c r="G31" s="6"/>
      <c r="H31" s="6"/>
      <c r="I31" s="6"/>
      <c r="J31" s="6"/>
      <c r="K31" s="2"/>
      <c r="L31" s="2"/>
      <c r="M31" s="2"/>
      <c r="N31" s="2"/>
      <c r="O31" s="2"/>
      <c r="P31" s="2"/>
      <c r="Q31" s="2"/>
      <c r="R31" s="2"/>
      <c r="S31" s="2"/>
    </row>
    <row r="32" spans="1:19" ht="14.25" customHeight="1">
      <c r="A32" s="6">
        <v>702</v>
      </c>
      <c r="B32" s="8" t="s">
        <v>4382</v>
      </c>
      <c r="C32" s="6">
        <v>10</v>
      </c>
      <c r="D32" s="6">
        <f>D31+5</f>
        <v>50</v>
      </c>
      <c r="E32" s="6"/>
      <c r="F32" s="6"/>
      <c r="G32" s="6"/>
      <c r="H32" s="6"/>
      <c r="I32" s="6"/>
      <c r="J32" s="6"/>
      <c r="K32" s="2"/>
      <c r="L32" s="2"/>
      <c r="M32" s="2"/>
      <c r="N32" s="2"/>
      <c r="O32" s="2"/>
      <c r="P32" s="2"/>
      <c r="Q32" s="2"/>
      <c r="R32" s="2"/>
      <c r="S32" s="2"/>
    </row>
    <row r="34" spans="1:19" ht="14.25" customHeight="1">
      <c r="A34" s="40" t="s">
        <v>0</v>
      </c>
      <c r="B34" s="40" t="s">
        <v>1599</v>
      </c>
      <c r="C34" s="40" t="s">
        <v>63</v>
      </c>
      <c r="D34" s="40" t="s">
        <v>37</v>
      </c>
      <c r="E34" s="40" t="s">
        <v>685</v>
      </c>
      <c r="F34" s="40" t="s">
        <v>686</v>
      </c>
      <c r="G34" s="40" t="s">
        <v>687</v>
      </c>
      <c r="H34" s="40" t="s">
        <v>688</v>
      </c>
      <c r="I34" s="40" t="s">
        <v>39</v>
      </c>
      <c r="J34" s="40" t="s">
        <v>691</v>
      </c>
      <c r="K34" s="40" t="s">
        <v>689</v>
      </c>
      <c r="L34" s="40" t="s">
        <v>690</v>
      </c>
      <c r="M34" s="40" t="s">
        <v>693</v>
      </c>
      <c r="N34" s="40" t="s">
        <v>694</v>
      </c>
      <c r="O34" s="40" t="s">
        <v>695</v>
      </c>
      <c r="P34" s="40" t="s">
        <v>696</v>
      </c>
      <c r="Q34" s="40" t="s">
        <v>697</v>
      </c>
      <c r="R34" s="40" t="s">
        <v>698</v>
      </c>
      <c r="S34" s="40" t="s">
        <v>692</v>
      </c>
    </row>
    <row r="35" spans="1:19" ht="14.25" customHeight="1">
      <c r="A35" s="6">
        <v>800</v>
      </c>
      <c r="B35" s="8" t="s">
        <v>4383</v>
      </c>
      <c r="C35" s="6">
        <v>1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</row>
    <row r="36" spans="1:19" ht="14.25" customHeight="1">
      <c r="A36" s="6">
        <v>800</v>
      </c>
      <c r="B36" s="8" t="s">
        <v>4384</v>
      </c>
      <c r="C36" s="6"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</row>
    <row r="37" spans="1:19" ht="14.25" customHeight="1">
      <c r="A37" s="6">
        <v>800</v>
      </c>
      <c r="B37" s="8" t="s">
        <v>4385</v>
      </c>
      <c r="C37" s="6"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</row>
    <row r="38" spans="1:19" ht="14.25" customHeight="1">
      <c r="A38" s="6">
        <v>800</v>
      </c>
      <c r="B38" s="8" t="s">
        <v>4386</v>
      </c>
      <c r="C38" s="6">
        <v>4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</row>
    <row r="39" spans="1:19" ht="14.25" customHeight="1">
      <c r="A39" s="6">
        <v>800</v>
      </c>
      <c r="B39" s="8" t="s">
        <v>4387</v>
      </c>
      <c r="C39" s="6">
        <v>5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</row>
    <row r="40" spans="1:19" ht="14.25" customHeight="1">
      <c r="A40" s="6">
        <v>800</v>
      </c>
      <c r="B40" s="8" t="s">
        <v>4388</v>
      </c>
      <c r="C40" s="6">
        <v>6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</row>
    <row r="41" spans="1:19" ht="14.25" customHeight="1">
      <c r="A41" s="6">
        <v>800</v>
      </c>
      <c r="B41" s="8" t="s">
        <v>4389</v>
      </c>
      <c r="C41" s="6">
        <v>7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</row>
    <row r="42" spans="1:19" ht="14.25" customHeight="1">
      <c r="A42" s="6">
        <v>800</v>
      </c>
      <c r="B42" s="8" t="s">
        <v>4390</v>
      </c>
      <c r="C42" s="6">
        <v>8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</row>
    <row r="43" spans="1:19" ht="14.25" customHeight="1">
      <c r="A43" s="6">
        <v>800</v>
      </c>
      <c r="B43" s="8" t="s">
        <v>4391</v>
      </c>
      <c r="C43" s="6">
        <v>9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</row>
    <row r="44" spans="1:19" ht="14.25" customHeight="1">
      <c r="A44" s="6">
        <v>800</v>
      </c>
      <c r="B44" s="8" t="s">
        <v>4392</v>
      </c>
      <c r="C44" s="6">
        <v>10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</row>
    <row r="45" spans="1:19" ht="14.25" customHeight="1">
      <c r="F45" s="7"/>
    </row>
    <row r="46" spans="1:19" ht="14.25" customHeight="1">
      <c r="A46" s="40" t="s">
        <v>0</v>
      </c>
      <c r="B46" s="40" t="s">
        <v>1599</v>
      </c>
      <c r="C46" s="40" t="s">
        <v>63</v>
      </c>
      <c r="D46" s="40" t="s">
        <v>37</v>
      </c>
      <c r="E46" s="40" t="s">
        <v>685</v>
      </c>
      <c r="F46" s="40" t="s">
        <v>686</v>
      </c>
      <c r="G46" s="40" t="s">
        <v>687</v>
      </c>
      <c r="H46" s="40" t="s">
        <v>688</v>
      </c>
      <c r="I46" s="40" t="s">
        <v>39</v>
      </c>
      <c r="J46" s="40" t="s">
        <v>691</v>
      </c>
      <c r="K46" s="40" t="s">
        <v>689</v>
      </c>
      <c r="L46" s="40" t="s">
        <v>690</v>
      </c>
      <c r="M46" s="40" t="s">
        <v>693</v>
      </c>
      <c r="N46" s="40" t="s">
        <v>694</v>
      </c>
      <c r="O46" s="40" t="s">
        <v>695</v>
      </c>
      <c r="P46" s="40" t="s">
        <v>696</v>
      </c>
      <c r="Q46" s="40" t="s">
        <v>697</v>
      </c>
      <c r="R46" s="40" t="s">
        <v>698</v>
      </c>
      <c r="S46" s="40" t="s">
        <v>692</v>
      </c>
    </row>
    <row r="47" spans="1:19" ht="14.25" customHeight="1">
      <c r="A47" s="6">
        <v>900</v>
      </c>
      <c r="B47" s="6" t="s">
        <v>4393</v>
      </c>
      <c r="C47" s="6">
        <v>1</v>
      </c>
      <c r="D47" s="2">
        <v>250</v>
      </c>
      <c r="E47" s="2">
        <v>25</v>
      </c>
      <c r="F47" s="2">
        <v>6</v>
      </c>
      <c r="G47" s="2">
        <v>18</v>
      </c>
      <c r="H47" s="2">
        <v>14</v>
      </c>
      <c r="I47" s="2">
        <v>25</v>
      </c>
      <c r="J47" s="21">
        <v>1</v>
      </c>
      <c r="K47" s="2"/>
      <c r="L47" s="2"/>
      <c r="M47" s="2"/>
      <c r="N47" s="2"/>
      <c r="O47" s="2"/>
      <c r="P47" s="2"/>
      <c r="Q47" s="2"/>
      <c r="R47" s="2"/>
      <c r="S47" s="2"/>
    </row>
    <row r="48" spans="1:19" ht="14.25" customHeight="1">
      <c r="A48" s="6">
        <v>900</v>
      </c>
      <c r="B48" s="6" t="s">
        <v>4394</v>
      </c>
      <c r="C48" s="6">
        <v>2</v>
      </c>
      <c r="D48" s="2">
        <f t="shared" ref="D48:I48" si="0">ROUND(D$47*1.5,0)</f>
        <v>375</v>
      </c>
      <c r="E48" s="2">
        <f t="shared" si="0"/>
        <v>38</v>
      </c>
      <c r="F48" s="2">
        <f t="shared" si="0"/>
        <v>9</v>
      </c>
      <c r="G48" s="2">
        <f t="shared" si="0"/>
        <v>27</v>
      </c>
      <c r="H48" s="2">
        <f t="shared" si="0"/>
        <v>21</v>
      </c>
      <c r="I48" s="2">
        <f t="shared" si="0"/>
        <v>38</v>
      </c>
      <c r="J48" s="21"/>
      <c r="K48" s="2"/>
      <c r="L48" s="2"/>
      <c r="M48" s="2"/>
      <c r="N48" s="2"/>
      <c r="O48" s="2"/>
      <c r="P48" s="2"/>
      <c r="Q48" s="2"/>
      <c r="R48" s="2"/>
      <c r="S48" s="2"/>
    </row>
    <row r="49" spans="1:19" ht="14.25" customHeight="1">
      <c r="A49" s="6">
        <v>900</v>
      </c>
      <c r="B49" s="6" t="s">
        <v>4395</v>
      </c>
      <c r="C49" s="6">
        <v>3</v>
      </c>
      <c r="D49" s="2">
        <f>ROUND(D$47*2,0)</f>
        <v>500</v>
      </c>
      <c r="E49" s="2">
        <f>ROUND(E$47*1.5,0)</f>
        <v>38</v>
      </c>
      <c r="F49" s="2">
        <f>ROUND(F$47*1.5,0)</f>
        <v>9</v>
      </c>
      <c r="G49" s="2">
        <f>ROUND(G$47*1.5,0)</f>
        <v>27</v>
      </c>
      <c r="H49" s="2">
        <f>ROUND(H$47*1.5,0)</f>
        <v>21</v>
      </c>
      <c r="I49" s="2">
        <f>ROUND(I$47*1.5,0)</f>
        <v>38</v>
      </c>
      <c r="J49" s="21">
        <v>1</v>
      </c>
      <c r="K49" s="2"/>
      <c r="L49" s="2"/>
      <c r="M49" s="2"/>
      <c r="N49" s="2"/>
      <c r="O49" s="2"/>
      <c r="P49" s="2"/>
      <c r="Q49" s="2"/>
      <c r="R49" s="2"/>
      <c r="S49" s="2"/>
    </row>
    <row r="50" spans="1:19" ht="14.25" customHeight="1">
      <c r="A50" s="6">
        <v>900</v>
      </c>
      <c r="B50" s="6" t="s">
        <v>4396</v>
      </c>
      <c r="C50" s="6">
        <v>4</v>
      </c>
      <c r="D50" s="2">
        <f t="shared" ref="D50:I50" si="1">ROUND(D$47*2.5,0)</f>
        <v>625</v>
      </c>
      <c r="E50" s="2">
        <f t="shared" si="1"/>
        <v>63</v>
      </c>
      <c r="F50" s="2">
        <f t="shared" si="1"/>
        <v>15</v>
      </c>
      <c r="G50" s="2">
        <f t="shared" si="1"/>
        <v>45</v>
      </c>
      <c r="H50" s="2">
        <f t="shared" si="1"/>
        <v>35</v>
      </c>
      <c r="I50" s="2">
        <f t="shared" si="1"/>
        <v>63</v>
      </c>
      <c r="J50" s="21"/>
      <c r="K50" s="2"/>
      <c r="L50" s="2"/>
      <c r="M50" s="2"/>
      <c r="N50" s="2"/>
      <c r="O50" s="2"/>
      <c r="P50" s="2"/>
      <c r="Q50" s="2"/>
      <c r="R50" s="2"/>
      <c r="S50" s="2"/>
    </row>
    <row r="51" spans="1:19" ht="14.25" customHeight="1">
      <c r="A51" s="6">
        <v>900</v>
      </c>
      <c r="B51" s="6" t="s">
        <v>4397</v>
      </c>
      <c r="C51" s="6">
        <v>5</v>
      </c>
      <c r="D51" s="2">
        <f t="shared" ref="D51:I51" si="2">ROUND(D$47*3,0)</f>
        <v>750</v>
      </c>
      <c r="E51" s="2">
        <f t="shared" si="2"/>
        <v>75</v>
      </c>
      <c r="F51" s="2">
        <f t="shared" si="2"/>
        <v>18</v>
      </c>
      <c r="G51" s="2">
        <f t="shared" si="2"/>
        <v>54</v>
      </c>
      <c r="H51" s="2">
        <f t="shared" si="2"/>
        <v>42</v>
      </c>
      <c r="I51" s="2">
        <f t="shared" si="2"/>
        <v>75</v>
      </c>
      <c r="J51" s="21">
        <v>1</v>
      </c>
      <c r="K51" s="2"/>
      <c r="L51" s="2"/>
      <c r="M51" s="2"/>
      <c r="N51" s="2"/>
      <c r="O51" s="2"/>
      <c r="P51" s="2"/>
      <c r="Q51" s="2"/>
      <c r="R51" s="2"/>
      <c r="S51" s="2"/>
    </row>
    <row r="52" spans="1:19" ht="14.25" customHeight="1">
      <c r="A52" s="6">
        <v>900</v>
      </c>
      <c r="B52" s="6" t="s">
        <v>4398</v>
      </c>
      <c r="C52" s="6">
        <v>6</v>
      </c>
      <c r="D52" s="2">
        <f t="shared" ref="D52:I52" si="3">ROUND(D$47*3.5,0)</f>
        <v>875</v>
      </c>
      <c r="E52" s="2">
        <f t="shared" si="3"/>
        <v>88</v>
      </c>
      <c r="F52" s="2">
        <f t="shared" si="3"/>
        <v>21</v>
      </c>
      <c r="G52" s="2">
        <f t="shared" si="3"/>
        <v>63</v>
      </c>
      <c r="H52" s="2">
        <f t="shared" si="3"/>
        <v>49</v>
      </c>
      <c r="I52" s="2">
        <f t="shared" si="3"/>
        <v>88</v>
      </c>
      <c r="J52" s="21"/>
      <c r="K52" s="2">
        <v>0.05</v>
      </c>
      <c r="L52" s="2"/>
      <c r="M52" s="2">
        <v>0.05</v>
      </c>
      <c r="N52" s="2"/>
      <c r="O52" s="2"/>
      <c r="P52" s="2"/>
      <c r="Q52" s="2"/>
      <c r="R52" s="2"/>
      <c r="S52" s="2"/>
    </row>
    <row r="53" spans="1:19" ht="14.25" customHeight="1">
      <c r="A53" s="6">
        <v>900</v>
      </c>
      <c r="B53" s="6" t="s">
        <v>4399</v>
      </c>
      <c r="C53" s="6">
        <v>7</v>
      </c>
      <c r="D53" s="2">
        <f t="shared" ref="D53:I53" si="4">ROUND(D$47*4,0)</f>
        <v>1000</v>
      </c>
      <c r="E53" s="2">
        <f t="shared" si="4"/>
        <v>100</v>
      </c>
      <c r="F53" s="2">
        <f t="shared" si="4"/>
        <v>24</v>
      </c>
      <c r="G53" s="2">
        <f t="shared" si="4"/>
        <v>72</v>
      </c>
      <c r="H53" s="2">
        <f t="shared" si="4"/>
        <v>56</v>
      </c>
      <c r="I53" s="2">
        <f t="shared" si="4"/>
        <v>100</v>
      </c>
      <c r="J53" s="21">
        <v>1</v>
      </c>
      <c r="K53" s="2">
        <v>0.05</v>
      </c>
      <c r="L53" s="2"/>
      <c r="M53" s="2">
        <v>0.05</v>
      </c>
      <c r="N53" s="2"/>
      <c r="O53" s="2"/>
      <c r="P53" s="2"/>
      <c r="Q53" s="2"/>
      <c r="R53" s="2"/>
      <c r="S53" s="2"/>
    </row>
    <row r="54" spans="1:19" ht="14.25" customHeight="1">
      <c r="A54" s="6">
        <v>900</v>
      </c>
      <c r="B54" s="6" t="s">
        <v>4400</v>
      </c>
      <c r="C54" s="6">
        <v>8</v>
      </c>
      <c r="D54" s="2">
        <f t="shared" ref="D54:I54" si="5">ROUND(D$47*4.5,0)</f>
        <v>1125</v>
      </c>
      <c r="E54" s="2">
        <f t="shared" si="5"/>
        <v>113</v>
      </c>
      <c r="F54" s="2">
        <f t="shared" si="5"/>
        <v>27</v>
      </c>
      <c r="G54" s="2">
        <f t="shared" si="5"/>
        <v>81</v>
      </c>
      <c r="H54" s="2">
        <f t="shared" si="5"/>
        <v>63</v>
      </c>
      <c r="I54" s="2">
        <f t="shared" si="5"/>
        <v>113</v>
      </c>
      <c r="J54" s="21"/>
      <c r="K54" s="2">
        <v>0.05</v>
      </c>
      <c r="L54" s="2"/>
      <c r="M54" s="2">
        <v>0.05</v>
      </c>
      <c r="N54" s="2"/>
      <c r="O54" s="2"/>
      <c r="P54" s="2"/>
      <c r="Q54" s="2"/>
      <c r="R54" s="2"/>
      <c r="S54" s="2"/>
    </row>
    <row r="55" spans="1:19" ht="14.25" customHeight="1">
      <c r="A55" s="6">
        <v>900</v>
      </c>
      <c r="B55" s="6" t="s">
        <v>4401</v>
      </c>
      <c r="C55" s="6">
        <v>9</v>
      </c>
      <c r="D55" s="2">
        <f t="shared" ref="D55:I55" si="6">ROUND(D$47*5,0)</f>
        <v>1250</v>
      </c>
      <c r="E55" s="2">
        <f t="shared" si="6"/>
        <v>125</v>
      </c>
      <c r="F55" s="2">
        <f t="shared" si="6"/>
        <v>30</v>
      </c>
      <c r="G55" s="2">
        <f t="shared" si="6"/>
        <v>90</v>
      </c>
      <c r="H55" s="2">
        <f t="shared" si="6"/>
        <v>70</v>
      </c>
      <c r="I55" s="2">
        <f t="shared" si="6"/>
        <v>125</v>
      </c>
      <c r="J55" s="21">
        <v>1</v>
      </c>
      <c r="K55" s="2">
        <v>0.05</v>
      </c>
      <c r="L55" s="2"/>
      <c r="M55" s="2">
        <v>0.05</v>
      </c>
      <c r="N55" s="2"/>
      <c r="O55" s="2"/>
      <c r="P55" s="2"/>
      <c r="Q55" s="2"/>
      <c r="R55" s="2"/>
      <c r="S55" s="2"/>
    </row>
    <row r="56" spans="1:19" ht="14.25" customHeight="1">
      <c r="A56" s="6">
        <v>900</v>
      </c>
      <c r="B56" s="6" t="s">
        <v>4402</v>
      </c>
      <c r="C56" s="6">
        <v>10</v>
      </c>
      <c r="D56" s="2">
        <f t="shared" ref="D56:I56" si="7">ROUND(D$47*6,0)</f>
        <v>1500</v>
      </c>
      <c r="E56" s="2">
        <f t="shared" si="7"/>
        <v>150</v>
      </c>
      <c r="F56" s="2">
        <f t="shared" si="7"/>
        <v>36</v>
      </c>
      <c r="G56" s="2">
        <f t="shared" si="7"/>
        <v>108</v>
      </c>
      <c r="H56" s="2">
        <f t="shared" si="7"/>
        <v>84</v>
      </c>
      <c r="I56" s="2">
        <f t="shared" si="7"/>
        <v>150</v>
      </c>
      <c r="J56" s="21">
        <v>2</v>
      </c>
      <c r="K56" s="2">
        <v>0.05</v>
      </c>
      <c r="L56" s="2"/>
      <c r="M56" s="2">
        <v>0.05</v>
      </c>
      <c r="N56" s="2"/>
      <c r="O56" s="2"/>
      <c r="P56" s="2"/>
      <c r="Q56" s="2"/>
      <c r="R56" s="2"/>
      <c r="S56" s="2"/>
    </row>
    <row r="57" spans="1:19" ht="14.25" customHeight="1">
      <c r="A57" s="6">
        <v>901</v>
      </c>
      <c r="B57" s="6" t="s">
        <v>4403</v>
      </c>
      <c r="C57" s="6">
        <v>1</v>
      </c>
      <c r="D57" s="2">
        <v>200</v>
      </c>
      <c r="E57" s="2">
        <v>4</v>
      </c>
      <c r="F57" s="2">
        <v>32</v>
      </c>
      <c r="G57" s="2">
        <v>10</v>
      </c>
      <c r="H57" s="2">
        <v>17</v>
      </c>
      <c r="I57" s="2">
        <v>44</v>
      </c>
      <c r="J57" s="21">
        <v>1</v>
      </c>
      <c r="K57" s="2"/>
      <c r="L57" s="2"/>
      <c r="M57" s="2"/>
      <c r="N57" s="2"/>
      <c r="O57" s="2"/>
      <c r="P57" s="2"/>
      <c r="Q57" s="2"/>
      <c r="R57" s="2"/>
      <c r="S57" s="2"/>
    </row>
    <row r="58" spans="1:19" ht="14.25" customHeight="1">
      <c r="A58" s="6">
        <v>901</v>
      </c>
      <c r="B58" s="6" t="s">
        <v>4404</v>
      </c>
      <c r="C58" s="6">
        <v>2</v>
      </c>
      <c r="D58" s="2">
        <f t="shared" ref="D58:I58" si="8">ROUND(D$57*1.5,0)</f>
        <v>300</v>
      </c>
      <c r="E58" s="2">
        <f t="shared" si="8"/>
        <v>6</v>
      </c>
      <c r="F58" s="2">
        <f t="shared" si="8"/>
        <v>48</v>
      </c>
      <c r="G58" s="2">
        <f t="shared" si="8"/>
        <v>15</v>
      </c>
      <c r="H58" s="2">
        <f t="shared" si="8"/>
        <v>26</v>
      </c>
      <c r="I58" s="2">
        <f t="shared" si="8"/>
        <v>66</v>
      </c>
      <c r="J58" s="21"/>
      <c r="K58" s="2"/>
      <c r="L58" s="2"/>
      <c r="M58" s="2"/>
      <c r="N58" s="2"/>
      <c r="O58" s="2"/>
      <c r="P58" s="2"/>
      <c r="Q58" s="2"/>
      <c r="R58" s="2"/>
      <c r="S58" s="2"/>
    </row>
    <row r="59" spans="1:19" ht="14.25" customHeight="1">
      <c r="A59" s="6">
        <v>901</v>
      </c>
      <c r="B59" s="6" t="s">
        <v>4405</v>
      </c>
      <c r="C59" s="6">
        <v>3</v>
      </c>
      <c r="D59" s="2">
        <f t="shared" ref="D59:I59" si="9">ROUND(D$57*2,0)</f>
        <v>400</v>
      </c>
      <c r="E59" s="2">
        <f t="shared" si="9"/>
        <v>8</v>
      </c>
      <c r="F59" s="2">
        <f t="shared" si="9"/>
        <v>64</v>
      </c>
      <c r="G59" s="2">
        <f t="shared" si="9"/>
        <v>20</v>
      </c>
      <c r="H59" s="2">
        <f t="shared" si="9"/>
        <v>34</v>
      </c>
      <c r="I59" s="2">
        <f t="shared" si="9"/>
        <v>88</v>
      </c>
      <c r="J59" s="21">
        <v>1</v>
      </c>
      <c r="K59" s="2"/>
      <c r="L59" s="2"/>
      <c r="M59" s="2"/>
      <c r="N59" s="2"/>
      <c r="O59" s="2"/>
      <c r="P59" s="2"/>
      <c r="Q59" s="2"/>
      <c r="R59" s="2"/>
      <c r="S59" s="2"/>
    </row>
    <row r="60" spans="1:19" ht="14.25" customHeight="1">
      <c r="A60" s="6">
        <v>901</v>
      </c>
      <c r="B60" s="6" t="s">
        <v>4406</v>
      </c>
      <c r="C60" s="6">
        <v>4</v>
      </c>
      <c r="D60" s="2">
        <f t="shared" ref="D60:I60" si="10">ROUND(D$57*2.5,0)</f>
        <v>500</v>
      </c>
      <c r="E60" s="2">
        <f t="shared" si="10"/>
        <v>10</v>
      </c>
      <c r="F60" s="2">
        <f t="shared" si="10"/>
        <v>80</v>
      </c>
      <c r="G60" s="2">
        <f t="shared" si="10"/>
        <v>25</v>
      </c>
      <c r="H60" s="2">
        <f t="shared" si="10"/>
        <v>43</v>
      </c>
      <c r="I60" s="2">
        <f t="shared" si="10"/>
        <v>110</v>
      </c>
      <c r="J60" s="21"/>
      <c r="K60" s="2"/>
      <c r="L60" s="2"/>
      <c r="M60" s="2"/>
      <c r="N60" s="2"/>
      <c r="O60" s="2"/>
      <c r="P60" s="2"/>
      <c r="Q60" s="2"/>
      <c r="R60" s="2"/>
      <c r="S60" s="2"/>
    </row>
    <row r="61" spans="1:19" ht="14.25" customHeight="1">
      <c r="A61" s="6">
        <v>901</v>
      </c>
      <c r="B61" s="6" t="s">
        <v>4407</v>
      </c>
      <c r="C61" s="6">
        <v>5</v>
      </c>
      <c r="D61" s="2">
        <f t="shared" ref="D61:I61" si="11">ROUND(D$57*3,0)</f>
        <v>600</v>
      </c>
      <c r="E61" s="2">
        <f t="shared" si="11"/>
        <v>12</v>
      </c>
      <c r="F61" s="2">
        <f t="shared" si="11"/>
        <v>96</v>
      </c>
      <c r="G61" s="2">
        <f t="shared" si="11"/>
        <v>30</v>
      </c>
      <c r="H61" s="2">
        <f t="shared" si="11"/>
        <v>51</v>
      </c>
      <c r="I61" s="2">
        <f t="shared" si="11"/>
        <v>132</v>
      </c>
      <c r="J61" s="21">
        <v>1</v>
      </c>
      <c r="K61" s="2"/>
      <c r="L61" s="2"/>
      <c r="M61" s="2"/>
      <c r="N61" s="2"/>
      <c r="O61" s="2"/>
      <c r="P61" s="2"/>
      <c r="Q61" s="2"/>
      <c r="R61" s="2"/>
      <c r="S61" s="2"/>
    </row>
    <row r="62" spans="1:19" ht="14.25" customHeight="1">
      <c r="A62" s="6">
        <v>901</v>
      </c>
      <c r="B62" s="6" t="s">
        <v>4408</v>
      </c>
      <c r="C62" s="6">
        <v>6</v>
      </c>
      <c r="D62" s="2">
        <f t="shared" ref="D62:I62" si="12">ROUND(D$57*3.5,0)</f>
        <v>700</v>
      </c>
      <c r="E62" s="2">
        <f t="shared" si="12"/>
        <v>14</v>
      </c>
      <c r="F62" s="2">
        <f t="shared" si="12"/>
        <v>112</v>
      </c>
      <c r="G62" s="2">
        <f t="shared" si="12"/>
        <v>35</v>
      </c>
      <c r="H62" s="2">
        <f t="shared" si="12"/>
        <v>60</v>
      </c>
      <c r="I62" s="2">
        <f t="shared" si="12"/>
        <v>154</v>
      </c>
      <c r="J62" s="21"/>
      <c r="K62" s="2">
        <v>0.05</v>
      </c>
      <c r="L62" s="2"/>
      <c r="M62" s="2">
        <v>0.05</v>
      </c>
      <c r="N62" s="2"/>
      <c r="O62" s="2"/>
      <c r="P62" s="2"/>
      <c r="Q62" s="2"/>
      <c r="R62" s="2"/>
      <c r="S62" s="2"/>
    </row>
    <row r="63" spans="1:19" ht="14.25" customHeight="1">
      <c r="A63" s="6">
        <v>901</v>
      </c>
      <c r="B63" s="6" t="s">
        <v>4409</v>
      </c>
      <c r="C63" s="6">
        <v>7</v>
      </c>
      <c r="D63" s="2">
        <f t="shared" ref="D63:I63" si="13">ROUND(D$57*4,0)</f>
        <v>800</v>
      </c>
      <c r="E63" s="2">
        <f t="shared" si="13"/>
        <v>16</v>
      </c>
      <c r="F63" s="2">
        <f t="shared" si="13"/>
        <v>128</v>
      </c>
      <c r="G63" s="2">
        <f t="shared" si="13"/>
        <v>40</v>
      </c>
      <c r="H63" s="2">
        <f t="shared" si="13"/>
        <v>68</v>
      </c>
      <c r="I63" s="2">
        <f t="shared" si="13"/>
        <v>176</v>
      </c>
      <c r="J63" s="21">
        <v>1</v>
      </c>
      <c r="K63" s="2">
        <v>0.05</v>
      </c>
      <c r="L63" s="2"/>
      <c r="M63" s="2">
        <v>0.05</v>
      </c>
      <c r="N63" s="2"/>
      <c r="O63" s="2"/>
      <c r="P63" s="2"/>
      <c r="Q63" s="2"/>
      <c r="R63" s="2"/>
      <c r="S63" s="2"/>
    </row>
    <row r="64" spans="1:19" ht="14.25" customHeight="1">
      <c r="A64" s="6">
        <v>901</v>
      </c>
      <c r="B64" s="6" t="s">
        <v>4410</v>
      </c>
      <c r="C64" s="6">
        <v>8</v>
      </c>
      <c r="D64" s="2">
        <f t="shared" ref="D64:I64" si="14">ROUND(D$57*4.5,0)</f>
        <v>900</v>
      </c>
      <c r="E64" s="2">
        <f t="shared" si="14"/>
        <v>18</v>
      </c>
      <c r="F64" s="2">
        <f t="shared" si="14"/>
        <v>144</v>
      </c>
      <c r="G64" s="2">
        <f t="shared" si="14"/>
        <v>45</v>
      </c>
      <c r="H64" s="2">
        <f t="shared" si="14"/>
        <v>77</v>
      </c>
      <c r="I64" s="2">
        <f t="shared" si="14"/>
        <v>198</v>
      </c>
      <c r="J64" s="21"/>
      <c r="K64" s="2">
        <v>0.05</v>
      </c>
      <c r="L64" s="2"/>
      <c r="M64" s="2">
        <v>0.05</v>
      </c>
      <c r="N64" s="2"/>
      <c r="O64" s="2"/>
      <c r="P64" s="2"/>
      <c r="Q64" s="2"/>
      <c r="R64" s="2"/>
      <c r="S64" s="2"/>
    </row>
    <row r="65" spans="1:19" ht="14.25" customHeight="1">
      <c r="A65" s="6">
        <v>901</v>
      </c>
      <c r="B65" s="6" t="s">
        <v>4411</v>
      </c>
      <c r="C65" s="6">
        <v>9</v>
      </c>
      <c r="D65" s="2">
        <f t="shared" ref="D65:I65" si="15">ROUND(D$57*5,0)</f>
        <v>1000</v>
      </c>
      <c r="E65" s="2">
        <f t="shared" si="15"/>
        <v>20</v>
      </c>
      <c r="F65" s="2">
        <f t="shared" si="15"/>
        <v>160</v>
      </c>
      <c r="G65" s="2">
        <f t="shared" si="15"/>
        <v>50</v>
      </c>
      <c r="H65" s="2">
        <f t="shared" si="15"/>
        <v>85</v>
      </c>
      <c r="I65" s="2">
        <f t="shared" si="15"/>
        <v>220</v>
      </c>
      <c r="J65" s="21">
        <v>1</v>
      </c>
      <c r="K65" s="2">
        <v>0.05</v>
      </c>
      <c r="L65" s="2"/>
      <c r="M65" s="2">
        <v>0.05</v>
      </c>
      <c r="N65" s="2"/>
      <c r="O65" s="2"/>
      <c r="P65" s="2"/>
      <c r="Q65" s="2"/>
      <c r="R65" s="2"/>
      <c r="S65" s="2"/>
    </row>
    <row r="66" spans="1:19" ht="14.25" customHeight="1">
      <c r="A66" s="6">
        <v>901</v>
      </c>
      <c r="B66" s="6" t="s">
        <v>4412</v>
      </c>
      <c r="C66" s="6">
        <v>10</v>
      </c>
      <c r="D66" s="2">
        <f t="shared" ref="D66:I66" si="16">ROUND(D$57*6,0)</f>
        <v>1200</v>
      </c>
      <c r="E66" s="2">
        <f t="shared" si="16"/>
        <v>24</v>
      </c>
      <c r="F66" s="2">
        <f t="shared" si="16"/>
        <v>192</v>
      </c>
      <c r="G66" s="2">
        <f t="shared" si="16"/>
        <v>60</v>
      </c>
      <c r="H66" s="2">
        <f t="shared" si="16"/>
        <v>102</v>
      </c>
      <c r="I66" s="2">
        <f t="shared" si="16"/>
        <v>264</v>
      </c>
      <c r="J66" s="21">
        <v>2</v>
      </c>
      <c r="K66" s="2">
        <v>0.05</v>
      </c>
      <c r="L66" s="2"/>
      <c r="M66" s="2">
        <v>0.05</v>
      </c>
      <c r="N66" s="2"/>
      <c r="O66" s="2"/>
      <c r="P66" s="2"/>
      <c r="Q66" s="2"/>
      <c r="R66" s="2"/>
      <c r="S66" s="2"/>
    </row>
    <row r="67" spans="1:19" ht="14.25" customHeight="1">
      <c r="A67" s="6">
        <f t="shared" ref="A67:A106" si="17">A47+2</f>
        <v>902</v>
      </c>
      <c r="B67" s="6" t="s">
        <v>4413</v>
      </c>
      <c r="C67" s="6">
        <v>1</v>
      </c>
      <c r="D67" s="2">
        <f t="shared" ref="D67:I76" si="18">ROUND(D47*0.65,0)</f>
        <v>163</v>
      </c>
      <c r="E67" s="2">
        <f t="shared" si="18"/>
        <v>16</v>
      </c>
      <c r="F67" s="2">
        <f t="shared" si="18"/>
        <v>4</v>
      </c>
      <c r="G67" s="2">
        <f t="shared" si="18"/>
        <v>12</v>
      </c>
      <c r="H67" s="2">
        <f t="shared" si="18"/>
        <v>9</v>
      </c>
      <c r="I67" s="2">
        <f t="shared" si="18"/>
        <v>16</v>
      </c>
      <c r="J67" s="21">
        <v>1</v>
      </c>
      <c r="K67" s="2"/>
      <c r="L67" s="2"/>
      <c r="M67" s="2"/>
      <c r="N67" s="2"/>
      <c r="O67" s="2"/>
      <c r="P67" s="2"/>
      <c r="Q67" s="2"/>
      <c r="R67" s="2"/>
      <c r="S67" s="2"/>
    </row>
    <row r="68" spans="1:19" ht="14.25" customHeight="1">
      <c r="A68" s="6">
        <f t="shared" si="17"/>
        <v>902</v>
      </c>
      <c r="B68" s="6" t="s">
        <v>4414</v>
      </c>
      <c r="C68" s="6">
        <v>2</v>
      </c>
      <c r="D68" s="2">
        <f t="shared" si="18"/>
        <v>244</v>
      </c>
      <c r="E68" s="2">
        <f t="shared" si="18"/>
        <v>25</v>
      </c>
      <c r="F68" s="2">
        <f t="shared" si="18"/>
        <v>6</v>
      </c>
      <c r="G68" s="2">
        <f t="shared" si="18"/>
        <v>18</v>
      </c>
      <c r="H68" s="2">
        <f t="shared" si="18"/>
        <v>14</v>
      </c>
      <c r="I68" s="2">
        <f t="shared" si="18"/>
        <v>25</v>
      </c>
      <c r="J68" s="21"/>
      <c r="K68" s="2"/>
      <c r="L68" s="2"/>
      <c r="M68" s="2"/>
      <c r="N68" s="2"/>
      <c r="O68" s="2"/>
      <c r="P68" s="2"/>
      <c r="Q68" s="2"/>
      <c r="R68" s="2"/>
      <c r="S68" s="2"/>
    </row>
    <row r="69" spans="1:19" ht="14.25" customHeight="1">
      <c r="A69" s="6">
        <f t="shared" si="17"/>
        <v>902</v>
      </c>
      <c r="B69" s="6" t="s">
        <v>4415</v>
      </c>
      <c r="C69" s="6">
        <v>3</v>
      </c>
      <c r="D69" s="2">
        <f t="shared" si="18"/>
        <v>325</v>
      </c>
      <c r="E69" s="2">
        <f t="shared" si="18"/>
        <v>25</v>
      </c>
      <c r="F69" s="2">
        <f t="shared" si="18"/>
        <v>6</v>
      </c>
      <c r="G69" s="2">
        <f t="shared" si="18"/>
        <v>18</v>
      </c>
      <c r="H69" s="2">
        <f t="shared" si="18"/>
        <v>14</v>
      </c>
      <c r="I69" s="2">
        <f t="shared" si="18"/>
        <v>25</v>
      </c>
      <c r="J69" s="21">
        <v>1</v>
      </c>
      <c r="K69" s="2"/>
      <c r="L69" s="2"/>
      <c r="M69" s="2"/>
      <c r="N69" s="2"/>
      <c r="O69" s="2"/>
      <c r="P69" s="2"/>
      <c r="Q69" s="2"/>
      <c r="R69" s="2"/>
      <c r="S69" s="2"/>
    </row>
    <row r="70" spans="1:19" ht="14.25" customHeight="1">
      <c r="A70" s="6">
        <f t="shared" si="17"/>
        <v>902</v>
      </c>
      <c r="B70" s="6" t="s">
        <v>4416</v>
      </c>
      <c r="C70" s="6">
        <v>4</v>
      </c>
      <c r="D70" s="2">
        <f t="shared" si="18"/>
        <v>406</v>
      </c>
      <c r="E70" s="2">
        <f t="shared" si="18"/>
        <v>41</v>
      </c>
      <c r="F70" s="2">
        <f t="shared" si="18"/>
        <v>10</v>
      </c>
      <c r="G70" s="2">
        <f t="shared" si="18"/>
        <v>29</v>
      </c>
      <c r="H70" s="2">
        <f t="shared" si="18"/>
        <v>23</v>
      </c>
      <c r="I70" s="2">
        <f t="shared" si="18"/>
        <v>41</v>
      </c>
      <c r="J70" s="21"/>
      <c r="K70" s="2"/>
      <c r="L70" s="2"/>
      <c r="M70" s="2"/>
      <c r="N70" s="2"/>
      <c r="O70" s="2"/>
      <c r="P70" s="2"/>
      <c r="Q70" s="2"/>
      <c r="R70" s="2"/>
      <c r="S70" s="2"/>
    </row>
    <row r="71" spans="1:19" ht="14.25" customHeight="1">
      <c r="A71" s="6">
        <f t="shared" si="17"/>
        <v>902</v>
      </c>
      <c r="B71" s="6" t="s">
        <v>4417</v>
      </c>
      <c r="C71" s="6">
        <v>5</v>
      </c>
      <c r="D71" s="2">
        <f t="shared" si="18"/>
        <v>488</v>
      </c>
      <c r="E71" s="2">
        <f t="shared" si="18"/>
        <v>49</v>
      </c>
      <c r="F71" s="2">
        <f t="shared" si="18"/>
        <v>12</v>
      </c>
      <c r="G71" s="2">
        <f t="shared" si="18"/>
        <v>35</v>
      </c>
      <c r="H71" s="2">
        <f t="shared" si="18"/>
        <v>27</v>
      </c>
      <c r="I71" s="2">
        <f t="shared" si="18"/>
        <v>49</v>
      </c>
      <c r="J71" s="21">
        <v>1</v>
      </c>
      <c r="K71" s="2"/>
      <c r="L71" s="2"/>
      <c r="M71" s="2"/>
      <c r="N71" s="2"/>
      <c r="O71" s="2"/>
      <c r="P71" s="2"/>
      <c r="Q71" s="2"/>
      <c r="R71" s="2"/>
      <c r="S71" s="2"/>
    </row>
    <row r="72" spans="1:19" ht="14.25" customHeight="1">
      <c r="A72" s="6">
        <f t="shared" si="17"/>
        <v>902</v>
      </c>
      <c r="B72" s="6" t="s">
        <v>4418</v>
      </c>
      <c r="C72" s="6">
        <v>6</v>
      </c>
      <c r="D72" s="2">
        <f t="shared" si="18"/>
        <v>569</v>
      </c>
      <c r="E72" s="2">
        <f t="shared" si="18"/>
        <v>57</v>
      </c>
      <c r="F72" s="2">
        <f t="shared" si="18"/>
        <v>14</v>
      </c>
      <c r="G72" s="2">
        <f t="shared" si="18"/>
        <v>41</v>
      </c>
      <c r="H72" s="2">
        <f t="shared" si="18"/>
        <v>32</v>
      </c>
      <c r="I72" s="2">
        <f t="shared" si="18"/>
        <v>57</v>
      </c>
      <c r="J72" s="21"/>
      <c r="K72" s="2">
        <v>0.04</v>
      </c>
      <c r="L72" s="2"/>
      <c r="M72" s="2">
        <v>0.04</v>
      </c>
      <c r="N72" s="2"/>
      <c r="O72" s="2"/>
      <c r="P72" s="2"/>
      <c r="Q72" s="2"/>
      <c r="R72" s="2"/>
      <c r="S72" s="2"/>
    </row>
    <row r="73" spans="1:19" ht="14.25" customHeight="1">
      <c r="A73" s="6">
        <f t="shared" si="17"/>
        <v>902</v>
      </c>
      <c r="B73" s="6" t="s">
        <v>4419</v>
      </c>
      <c r="C73" s="6">
        <v>7</v>
      </c>
      <c r="D73" s="2">
        <f t="shared" si="18"/>
        <v>650</v>
      </c>
      <c r="E73" s="2">
        <f t="shared" si="18"/>
        <v>65</v>
      </c>
      <c r="F73" s="2">
        <f t="shared" si="18"/>
        <v>16</v>
      </c>
      <c r="G73" s="2">
        <f t="shared" si="18"/>
        <v>47</v>
      </c>
      <c r="H73" s="2">
        <f t="shared" si="18"/>
        <v>36</v>
      </c>
      <c r="I73" s="2">
        <f t="shared" si="18"/>
        <v>65</v>
      </c>
      <c r="J73" s="21">
        <v>1</v>
      </c>
      <c r="K73" s="2">
        <v>0.04</v>
      </c>
      <c r="L73" s="2"/>
      <c r="M73" s="2">
        <v>0.04</v>
      </c>
      <c r="N73" s="2"/>
      <c r="O73" s="2"/>
      <c r="P73" s="2"/>
      <c r="Q73" s="2"/>
      <c r="R73" s="2"/>
      <c r="S73" s="2"/>
    </row>
    <row r="74" spans="1:19" ht="14.25" customHeight="1">
      <c r="A74" s="6">
        <f t="shared" si="17"/>
        <v>902</v>
      </c>
      <c r="B74" s="6" t="s">
        <v>4420</v>
      </c>
      <c r="C74" s="6">
        <v>8</v>
      </c>
      <c r="D74" s="2">
        <f t="shared" si="18"/>
        <v>731</v>
      </c>
      <c r="E74" s="2">
        <f t="shared" si="18"/>
        <v>73</v>
      </c>
      <c r="F74" s="2">
        <f t="shared" si="18"/>
        <v>18</v>
      </c>
      <c r="G74" s="2">
        <f t="shared" si="18"/>
        <v>53</v>
      </c>
      <c r="H74" s="2">
        <f t="shared" si="18"/>
        <v>41</v>
      </c>
      <c r="I74" s="2">
        <f t="shared" si="18"/>
        <v>73</v>
      </c>
      <c r="J74" s="21"/>
      <c r="K74" s="2">
        <v>0.04</v>
      </c>
      <c r="L74" s="2"/>
      <c r="M74" s="2">
        <v>0.04</v>
      </c>
      <c r="N74" s="2"/>
      <c r="O74" s="2"/>
      <c r="P74" s="2"/>
      <c r="Q74" s="2"/>
      <c r="R74" s="2"/>
      <c r="S74" s="2"/>
    </row>
    <row r="75" spans="1:19" ht="14.25" customHeight="1">
      <c r="A75" s="6">
        <f t="shared" si="17"/>
        <v>902</v>
      </c>
      <c r="B75" s="6" t="s">
        <v>4421</v>
      </c>
      <c r="C75" s="6">
        <v>9</v>
      </c>
      <c r="D75" s="2">
        <f t="shared" si="18"/>
        <v>813</v>
      </c>
      <c r="E75" s="2">
        <f t="shared" si="18"/>
        <v>81</v>
      </c>
      <c r="F75" s="2">
        <f t="shared" si="18"/>
        <v>20</v>
      </c>
      <c r="G75" s="2">
        <f t="shared" si="18"/>
        <v>59</v>
      </c>
      <c r="H75" s="2">
        <f t="shared" si="18"/>
        <v>46</v>
      </c>
      <c r="I75" s="2">
        <f t="shared" si="18"/>
        <v>81</v>
      </c>
      <c r="J75" s="21">
        <v>1</v>
      </c>
      <c r="K75" s="2">
        <v>0.04</v>
      </c>
      <c r="L75" s="2"/>
      <c r="M75" s="2">
        <v>0.04</v>
      </c>
      <c r="N75" s="2"/>
      <c r="O75" s="2"/>
      <c r="P75" s="2"/>
      <c r="Q75" s="2"/>
      <c r="R75" s="2"/>
      <c r="S75" s="2"/>
    </row>
    <row r="76" spans="1:19" ht="14.25" customHeight="1">
      <c r="A76" s="6">
        <f t="shared" si="17"/>
        <v>902</v>
      </c>
      <c r="B76" s="6" t="s">
        <v>4422</v>
      </c>
      <c r="C76" s="6">
        <v>10</v>
      </c>
      <c r="D76" s="2">
        <f t="shared" si="18"/>
        <v>975</v>
      </c>
      <c r="E76" s="2">
        <f t="shared" si="18"/>
        <v>98</v>
      </c>
      <c r="F76" s="2">
        <f t="shared" si="18"/>
        <v>23</v>
      </c>
      <c r="G76" s="2">
        <f t="shared" si="18"/>
        <v>70</v>
      </c>
      <c r="H76" s="2">
        <f t="shared" si="18"/>
        <v>55</v>
      </c>
      <c r="I76" s="2">
        <f t="shared" si="18"/>
        <v>98</v>
      </c>
      <c r="J76" s="21">
        <v>2</v>
      </c>
      <c r="K76" s="2">
        <v>0.04</v>
      </c>
      <c r="L76" s="2"/>
      <c r="M76" s="2">
        <v>0.04</v>
      </c>
      <c r="N76" s="2"/>
      <c r="O76" s="2"/>
      <c r="P76" s="2"/>
      <c r="Q76" s="2"/>
      <c r="R76" s="2"/>
      <c r="S76" s="2"/>
    </row>
    <row r="77" spans="1:19" ht="14.25" customHeight="1">
      <c r="A77" s="6">
        <f t="shared" si="17"/>
        <v>903</v>
      </c>
      <c r="B77" s="6" t="s">
        <v>4423</v>
      </c>
      <c r="C77" s="6">
        <v>1</v>
      </c>
      <c r="D77" s="2">
        <f t="shared" ref="D77:I86" si="19">ROUND(D57*0.65,0)</f>
        <v>130</v>
      </c>
      <c r="E77" s="2">
        <f t="shared" si="19"/>
        <v>3</v>
      </c>
      <c r="F77" s="2">
        <f t="shared" si="19"/>
        <v>21</v>
      </c>
      <c r="G77" s="2">
        <f t="shared" si="19"/>
        <v>7</v>
      </c>
      <c r="H77" s="2">
        <f t="shared" si="19"/>
        <v>11</v>
      </c>
      <c r="I77" s="2">
        <f t="shared" si="19"/>
        <v>29</v>
      </c>
      <c r="J77" s="21">
        <v>1</v>
      </c>
      <c r="K77" s="2"/>
      <c r="L77" s="2"/>
      <c r="M77" s="2"/>
      <c r="N77" s="2"/>
      <c r="O77" s="2"/>
      <c r="P77" s="2"/>
      <c r="Q77" s="2"/>
      <c r="R77" s="2"/>
      <c r="S77" s="2"/>
    </row>
    <row r="78" spans="1:19" ht="14.25" customHeight="1">
      <c r="A78" s="6">
        <f t="shared" si="17"/>
        <v>903</v>
      </c>
      <c r="B78" s="6" t="s">
        <v>4424</v>
      </c>
      <c r="C78" s="6">
        <v>2</v>
      </c>
      <c r="D78" s="2">
        <f t="shared" si="19"/>
        <v>195</v>
      </c>
      <c r="E78" s="2">
        <f t="shared" si="19"/>
        <v>4</v>
      </c>
      <c r="F78" s="2">
        <f t="shared" si="19"/>
        <v>31</v>
      </c>
      <c r="G78" s="2">
        <f t="shared" si="19"/>
        <v>10</v>
      </c>
      <c r="H78" s="2">
        <f t="shared" si="19"/>
        <v>17</v>
      </c>
      <c r="I78" s="2">
        <f t="shared" si="19"/>
        <v>43</v>
      </c>
      <c r="J78" s="21"/>
      <c r="K78" s="2"/>
      <c r="L78" s="2"/>
      <c r="M78" s="2"/>
      <c r="N78" s="2"/>
      <c r="O78" s="2"/>
      <c r="P78" s="2"/>
      <c r="Q78" s="2"/>
      <c r="R78" s="2"/>
      <c r="S78" s="2"/>
    </row>
    <row r="79" spans="1:19" ht="14.25" customHeight="1">
      <c r="A79" s="6">
        <f t="shared" si="17"/>
        <v>903</v>
      </c>
      <c r="B79" s="6" t="s">
        <v>4425</v>
      </c>
      <c r="C79" s="6">
        <v>3</v>
      </c>
      <c r="D79" s="2">
        <f t="shared" si="19"/>
        <v>260</v>
      </c>
      <c r="E79" s="2">
        <f t="shared" si="19"/>
        <v>5</v>
      </c>
      <c r="F79" s="2">
        <f t="shared" si="19"/>
        <v>42</v>
      </c>
      <c r="G79" s="2">
        <f t="shared" si="19"/>
        <v>13</v>
      </c>
      <c r="H79" s="2">
        <f t="shared" si="19"/>
        <v>22</v>
      </c>
      <c r="I79" s="2">
        <f t="shared" si="19"/>
        <v>57</v>
      </c>
      <c r="J79" s="21">
        <v>1</v>
      </c>
      <c r="K79" s="2"/>
      <c r="L79" s="2"/>
      <c r="M79" s="2"/>
      <c r="N79" s="2"/>
      <c r="O79" s="2"/>
      <c r="P79" s="2"/>
      <c r="Q79" s="2"/>
      <c r="R79" s="2"/>
      <c r="S79" s="2"/>
    </row>
    <row r="80" spans="1:19" ht="14.25" customHeight="1">
      <c r="A80" s="6">
        <f t="shared" si="17"/>
        <v>903</v>
      </c>
      <c r="B80" s="6" t="s">
        <v>4426</v>
      </c>
      <c r="C80" s="6">
        <v>4</v>
      </c>
      <c r="D80" s="2">
        <f t="shared" si="19"/>
        <v>325</v>
      </c>
      <c r="E80" s="2">
        <f t="shared" si="19"/>
        <v>7</v>
      </c>
      <c r="F80" s="2">
        <f t="shared" si="19"/>
        <v>52</v>
      </c>
      <c r="G80" s="2">
        <f t="shared" si="19"/>
        <v>16</v>
      </c>
      <c r="H80" s="2">
        <f t="shared" si="19"/>
        <v>28</v>
      </c>
      <c r="I80" s="2">
        <f t="shared" si="19"/>
        <v>72</v>
      </c>
      <c r="J80" s="21"/>
      <c r="K80" s="2"/>
      <c r="L80" s="2"/>
      <c r="M80" s="2"/>
      <c r="N80" s="2"/>
      <c r="O80" s="2"/>
      <c r="P80" s="2"/>
      <c r="Q80" s="2"/>
      <c r="R80" s="2"/>
      <c r="S80" s="2"/>
    </row>
    <row r="81" spans="1:19" ht="14.25" customHeight="1">
      <c r="A81" s="6">
        <f t="shared" si="17"/>
        <v>903</v>
      </c>
      <c r="B81" s="6" t="s">
        <v>4427</v>
      </c>
      <c r="C81" s="6">
        <v>5</v>
      </c>
      <c r="D81" s="2">
        <f t="shared" si="19"/>
        <v>390</v>
      </c>
      <c r="E81" s="2">
        <f t="shared" si="19"/>
        <v>8</v>
      </c>
      <c r="F81" s="2">
        <f t="shared" si="19"/>
        <v>62</v>
      </c>
      <c r="G81" s="2">
        <f t="shared" si="19"/>
        <v>20</v>
      </c>
      <c r="H81" s="2">
        <f t="shared" si="19"/>
        <v>33</v>
      </c>
      <c r="I81" s="2">
        <f t="shared" si="19"/>
        <v>86</v>
      </c>
      <c r="J81" s="21">
        <v>1</v>
      </c>
      <c r="K81" s="2"/>
      <c r="L81" s="2"/>
      <c r="M81" s="2"/>
      <c r="N81" s="2"/>
      <c r="O81" s="2"/>
      <c r="P81" s="2"/>
      <c r="Q81" s="2"/>
      <c r="R81" s="2"/>
      <c r="S81" s="2"/>
    </row>
    <row r="82" spans="1:19" ht="14.25" customHeight="1">
      <c r="A82" s="6">
        <f t="shared" si="17"/>
        <v>903</v>
      </c>
      <c r="B82" s="6" t="s">
        <v>4428</v>
      </c>
      <c r="C82" s="6">
        <v>6</v>
      </c>
      <c r="D82" s="2">
        <f t="shared" si="19"/>
        <v>455</v>
      </c>
      <c r="E82" s="2">
        <f t="shared" si="19"/>
        <v>9</v>
      </c>
      <c r="F82" s="2">
        <f t="shared" si="19"/>
        <v>73</v>
      </c>
      <c r="G82" s="2">
        <f t="shared" si="19"/>
        <v>23</v>
      </c>
      <c r="H82" s="2">
        <f t="shared" si="19"/>
        <v>39</v>
      </c>
      <c r="I82" s="2">
        <f t="shared" si="19"/>
        <v>100</v>
      </c>
      <c r="J82" s="21"/>
      <c r="K82" s="2">
        <v>0.03</v>
      </c>
      <c r="L82" s="2"/>
      <c r="M82" s="2">
        <v>0.03</v>
      </c>
      <c r="N82" s="2"/>
      <c r="O82" s="2"/>
      <c r="P82" s="2"/>
      <c r="Q82" s="2"/>
      <c r="R82" s="2"/>
      <c r="S82" s="2"/>
    </row>
    <row r="83" spans="1:19" ht="14.25" customHeight="1">
      <c r="A83" s="6">
        <f t="shared" si="17"/>
        <v>903</v>
      </c>
      <c r="B83" s="6" t="s">
        <v>4429</v>
      </c>
      <c r="C83" s="6">
        <v>7</v>
      </c>
      <c r="D83" s="2">
        <f t="shared" si="19"/>
        <v>520</v>
      </c>
      <c r="E83" s="2">
        <f t="shared" si="19"/>
        <v>10</v>
      </c>
      <c r="F83" s="2">
        <f t="shared" si="19"/>
        <v>83</v>
      </c>
      <c r="G83" s="2">
        <f t="shared" si="19"/>
        <v>26</v>
      </c>
      <c r="H83" s="2">
        <f t="shared" si="19"/>
        <v>44</v>
      </c>
      <c r="I83" s="2">
        <f t="shared" si="19"/>
        <v>114</v>
      </c>
      <c r="J83" s="21">
        <v>1</v>
      </c>
      <c r="K83" s="2">
        <v>0.03</v>
      </c>
      <c r="L83" s="2"/>
      <c r="M83" s="2">
        <v>0.03</v>
      </c>
      <c r="N83" s="2"/>
      <c r="O83" s="2"/>
      <c r="P83" s="2"/>
      <c r="Q83" s="2"/>
      <c r="R83" s="2"/>
      <c r="S83" s="2"/>
    </row>
    <row r="84" spans="1:19" ht="14.25" customHeight="1">
      <c r="A84" s="6">
        <f t="shared" si="17"/>
        <v>903</v>
      </c>
      <c r="B84" s="6" t="s">
        <v>4430</v>
      </c>
      <c r="C84" s="6">
        <v>8</v>
      </c>
      <c r="D84" s="2">
        <f t="shared" si="19"/>
        <v>585</v>
      </c>
      <c r="E84" s="2">
        <f t="shared" si="19"/>
        <v>12</v>
      </c>
      <c r="F84" s="2">
        <f t="shared" si="19"/>
        <v>94</v>
      </c>
      <c r="G84" s="2">
        <f t="shared" si="19"/>
        <v>29</v>
      </c>
      <c r="H84" s="2">
        <f t="shared" si="19"/>
        <v>50</v>
      </c>
      <c r="I84" s="2">
        <f t="shared" si="19"/>
        <v>129</v>
      </c>
      <c r="J84" s="21"/>
      <c r="K84" s="2">
        <v>0.03</v>
      </c>
      <c r="L84" s="2"/>
      <c r="M84" s="2">
        <v>0.03</v>
      </c>
      <c r="N84" s="2"/>
      <c r="O84" s="2"/>
      <c r="P84" s="2"/>
      <c r="Q84" s="2"/>
      <c r="R84" s="2"/>
      <c r="S84" s="2"/>
    </row>
    <row r="85" spans="1:19" ht="14.25" customHeight="1">
      <c r="A85" s="6">
        <f t="shared" si="17"/>
        <v>903</v>
      </c>
      <c r="B85" s="6" t="s">
        <v>4431</v>
      </c>
      <c r="C85" s="6">
        <v>9</v>
      </c>
      <c r="D85" s="2">
        <f t="shared" si="19"/>
        <v>650</v>
      </c>
      <c r="E85" s="2">
        <f t="shared" si="19"/>
        <v>13</v>
      </c>
      <c r="F85" s="2">
        <f t="shared" si="19"/>
        <v>104</v>
      </c>
      <c r="G85" s="2">
        <f t="shared" si="19"/>
        <v>33</v>
      </c>
      <c r="H85" s="2">
        <f t="shared" si="19"/>
        <v>55</v>
      </c>
      <c r="I85" s="2">
        <f t="shared" si="19"/>
        <v>143</v>
      </c>
      <c r="J85" s="21">
        <v>1</v>
      </c>
      <c r="K85" s="2">
        <v>0.03</v>
      </c>
      <c r="L85" s="2"/>
      <c r="M85" s="2">
        <v>0.03</v>
      </c>
      <c r="N85" s="2"/>
      <c r="O85" s="2"/>
      <c r="P85" s="2"/>
      <c r="Q85" s="2"/>
      <c r="R85" s="2"/>
      <c r="S85" s="2"/>
    </row>
    <row r="86" spans="1:19" ht="14.25" customHeight="1">
      <c r="A86" s="6">
        <f t="shared" si="17"/>
        <v>903</v>
      </c>
      <c r="B86" s="6" t="s">
        <v>4432</v>
      </c>
      <c r="C86" s="6">
        <v>10</v>
      </c>
      <c r="D86" s="2">
        <f t="shared" si="19"/>
        <v>780</v>
      </c>
      <c r="E86" s="2">
        <f t="shared" si="19"/>
        <v>16</v>
      </c>
      <c r="F86" s="2">
        <f t="shared" si="19"/>
        <v>125</v>
      </c>
      <c r="G86" s="2">
        <f t="shared" si="19"/>
        <v>39</v>
      </c>
      <c r="H86" s="2">
        <f t="shared" si="19"/>
        <v>66</v>
      </c>
      <c r="I86" s="2">
        <f t="shared" si="19"/>
        <v>172</v>
      </c>
      <c r="J86" s="21">
        <v>2</v>
      </c>
      <c r="K86" s="2">
        <v>0.03</v>
      </c>
      <c r="L86" s="2"/>
      <c r="M86" s="2">
        <v>0.03</v>
      </c>
      <c r="N86" s="2"/>
      <c r="O86" s="2"/>
      <c r="P86" s="2"/>
      <c r="Q86" s="2"/>
      <c r="R86" s="2"/>
      <c r="S86" s="2"/>
    </row>
    <row r="87" spans="1:19" ht="14.25" customHeight="1">
      <c r="A87" s="6">
        <f t="shared" si="17"/>
        <v>904</v>
      </c>
      <c r="B87" s="6" t="s">
        <v>4433</v>
      </c>
      <c r="C87" s="6">
        <v>1</v>
      </c>
      <c r="D87" s="2">
        <f t="shared" ref="D87:I96" si="20">ROUND(D67*0.8,0)</f>
        <v>130</v>
      </c>
      <c r="E87" s="2">
        <f t="shared" si="20"/>
        <v>13</v>
      </c>
      <c r="F87" s="2">
        <f t="shared" si="20"/>
        <v>3</v>
      </c>
      <c r="G87" s="2">
        <f t="shared" si="20"/>
        <v>10</v>
      </c>
      <c r="H87" s="2">
        <f t="shared" si="20"/>
        <v>7</v>
      </c>
      <c r="I87" s="2">
        <f t="shared" si="20"/>
        <v>13</v>
      </c>
      <c r="J87" s="21">
        <v>1</v>
      </c>
      <c r="K87" s="2"/>
      <c r="L87" s="2"/>
      <c r="M87" s="2"/>
      <c r="N87" s="2"/>
      <c r="O87" s="2"/>
      <c r="P87" s="2"/>
      <c r="Q87" s="2"/>
      <c r="R87" s="2"/>
      <c r="S87" s="2"/>
    </row>
    <row r="88" spans="1:19" ht="14.25" customHeight="1">
      <c r="A88" s="6">
        <f t="shared" si="17"/>
        <v>904</v>
      </c>
      <c r="B88" s="6" t="s">
        <v>4434</v>
      </c>
      <c r="C88" s="6">
        <v>2</v>
      </c>
      <c r="D88" s="2">
        <f t="shared" si="20"/>
        <v>195</v>
      </c>
      <c r="E88" s="2">
        <f t="shared" si="20"/>
        <v>20</v>
      </c>
      <c r="F88" s="2">
        <f t="shared" si="20"/>
        <v>5</v>
      </c>
      <c r="G88" s="2">
        <f t="shared" si="20"/>
        <v>14</v>
      </c>
      <c r="H88" s="2">
        <f t="shared" si="20"/>
        <v>11</v>
      </c>
      <c r="I88" s="2">
        <f t="shared" si="20"/>
        <v>20</v>
      </c>
      <c r="J88" s="21"/>
      <c r="K88" s="2"/>
      <c r="L88" s="2"/>
      <c r="M88" s="2"/>
      <c r="N88" s="2"/>
      <c r="O88" s="2"/>
      <c r="P88" s="2"/>
      <c r="Q88" s="2"/>
      <c r="R88" s="2"/>
      <c r="S88" s="2"/>
    </row>
    <row r="89" spans="1:19" ht="14.25" customHeight="1">
      <c r="A89" s="6">
        <f t="shared" si="17"/>
        <v>904</v>
      </c>
      <c r="B89" s="6" t="s">
        <v>4435</v>
      </c>
      <c r="C89" s="6">
        <v>3</v>
      </c>
      <c r="D89" s="2">
        <f t="shared" si="20"/>
        <v>260</v>
      </c>
      <c r="E89" s="2">
        <f t="shared" si="20"/>
        <v>20</v>
      </c>
      <c r="F89" s="2">
        <f t="shared" si="20"/>
        <v>5</v>
      </c>
      <c r="G89" s="2">
        <f t="shared" si="20"/>
        <v>14</v>
      </c>
      <c r="H89" s="2">
        <f t="shared" si="20"/>
        <v>11</v>
      </c>
      <c r="I89" s="2">
        <f t="shared" si="20"/>
        <v>20</v>
      </c>
      <c r="J89" s="21">
        <v>1</v>
      </c>
      <c r="K89" s="2"/>
      <c r="L89" s="2"/>
      <c r="M89" s="2"/>
      <c r="N89" s="2"/>
      <c r="O89" s="2"/>
      <c r="P89" s="2"/>
      <c r="Q89" s="2"/>
      <c r="R89" s="2"/>
      <c r="S89" s="2"/>
    </row>
    <row r="90" spans="1:19" ht="14.25" customHeight="1">
      <c r="A90" s="6">
        <f t="shared" si="17"/>
        <v>904</v>
      </c>
      <c r="B90" s="6" t="s">
        <v>4436</v>
      </c>
      <c r="C90" s="6">
        <v>4</v>
      </c>
      <c r="D90" s="2">
        <f t="shared" si="20"/>
        <v>325</v>
      </c>
      <c r="E90" s="2">
        <f t="shared" si="20"/>
        <v>33</v>
      </c>
      <c r="F90" s="2">
        <f t="shared" si="20"/>
        <v>8</v>
      </c>
      <c r="G90" s="2">
        <f t="shared" si="20"/>
        <v>23</v>
      </c>
      <c r="H90" s="2">
        <f t="shared" si="20"/>
        <v>18</v>
      </c>
      <c r="I90" s="2">
        <f t="shared" si="20"/>
        <v>33</v>
      </c>
      <c r="J90" s="21"/>
      <c r="K90" s="2"/>
      <c r="L90" s="2"/>
      <c r="M90" s="2"/>
      <c r="N90" s="2"/>
      <c r="O90" s="2"/>
      <c r="P90" s="2"/>
      <c r="Q90" s="2"/>
      <c r="R90" s="2"/>
      <c r="S90" s="2"/>
    </row>
    <row r="91" spans="1:19" ht="14.25" customHeight="1">
      <c r="A91" s="6">
        <f t="shared" si="17"/>
        <v>904</v>
      </c>
      <c r="B91" s="6" t="s">
        <v>4437</v>
      </c>
      <c r="C91" s="6">
        <v>5</v>
      </c>
      <c r="D91" s="2">
        <f t="shared" si="20"/>
        <v>390</v>
      </c>
      <c r="E91" s="2">
        <f t="shared" si="20"/>
        <v>39</v>
      </c>
      <c r="F91" s="2">
        <f t="shared" si="20"/>
        <v>10</v>
      </c>
      <c r="G91" s="2">
        <f t="shared" si="20"/>
        <v>28</v>
      </c>
      <c r="H91" s="2">
        <f t="shared" si="20"/>
        <v>22</v>
      </c>
      <c r="I91" s="2">
        <f t="shared" si="20"/>
        <v>39</v>
      </c>
      <c r="J91" s="21">
        <v>1</v>
      </c>
      <c r="K91" s="2"/>
      <c r="L91" s="2"/>
      <c r="M91" s="2"/>
      <c r="N91" s="2"/>
      <c r="O91" s="2"/>
      <c r="P91" s="2"/>
      <c r="Q91" s="2"/>
      <c r="R91" s="2"/>
      <c r="S91" s="2"/>
    </row>
    <row r="92" spans="1:19" ht="14.25" customHeight="1">
      <c r="A92" s="6">
        <f t="shared" si="17"/>
        <v>904</v>
      </c>
      <c r="B92" s="6" t="s">
        <v>4438</v>
      </c>
      <c r="C92" s="6">
        <v>6</v>
      </c>
      <c r="D92" s="2">
        <f t="shared" si="20"/>
        <v>455</v>
      </c>
      <c r="E92" s="2">
        <f t="shared" si="20"/>
        <v>46</v>
      </c>
      <c r="F92" s="2">
        <f t="shared" si="20"/>
        <v>11</v>
      </c>
      <c r="G92" s="2">
        <f t="shared" si="20"/>
        <v>33</v>
      </c>
      <c r="H92" s="2">
        <f t="shared" si="20"/>
        <v>26</v>
      </c>
      <c r="I92" s="2">
        <f t="shared" si="20"/>
        <v>46</v>
      </c>
      <c r="J92" s="21"/>
      <c r="K92" s="2">
        <v>0.05</v>
      </c>
      <c r="L92" s="2"/>
      <c r="M92" s="2">
        <v>0.05</v>
      </c>
      <c r="N92" s="2"/>
      <c r="O92" s="2"/>
      <c r="P92" s="2"/>
      <c r="Q92" s="2"/>
      <c r="R92" s="2"/>
      <c r="S92" s="2"/>
    </row>
    <row r="93" spans="1:19" ht="14.25" customHeight="1">
      <c r="A93" s="6">
        <f t="shared" si="17"/>
        <v>904</v>
      </c>
      <c r="B93" s="6" t="s">
        <v>4439</v>
      </c>
      <c r="C93" s="6">
        <v>7</v>
      </c>
      <c r="D93" s="2">
        <f t="shared" si="20"/>
        <v>520</v>
      </c>
      <c r="E93" s="2">
        <f t="shared" si="20"/>
        <v>52</v>
      </c>
      <c r="F93" s="2">
        <f t="shared" si="20"/>
        <v>13</v>
      </c>
      <c r="G93" s="2">
        <f t="shared" si="20"/>
        <v>38</v>
      </c>
      <c r="H93" s="2">
        <f t="shared" si="20"/>
        <v>29</v>
      </c>
      <c r="I93" s="2">
        <f t="shared" si="20"/>
        <v>52</v>
      </c>
      <c r="J93" s="21">
        <v>1</v>
      </c>
      <c r="K93" s="2">
        <v>0.05</v>
      </c>
      <c r="L93" s="2"/>
      <c r="M93" s="2">
        <v>0.05</v>
      </c>
      <c r="N93" s="2"/>
      <c r="O93" s="2"/>
      <c r="P93" s="2"/>
      <c r="Q93" s="2"/>
      <c r="R93" s="2"/>
      <c r="S93" s="2"/>
    </row>
    <row r="94" spans="1:19" ht="14.25" customHeight="1">
      <c r="A94" s="6">
        <f t="shared" si="17"/>
        <v>904</v>
      </c>
      <c r="B94" s="6" t="s">
        <v>4440</v>
      </c>
      <c r="C94" s="6">
        <v>8</v>
      </c>
      <c r="D94" s="2">
        <f t="shared" si="20"/>
        <v>585</v>
      </c>
      <c r="E94" s="2">
        <f t="shared" si="20"/>
        <v>58</v>
      </c>
      <c r="F94" s="2">
        <f t="shared" si="20"/>
        <v>14</v>
      </c>
      <c r="G94" s="2">
        <f t="shared" si="20"/>
        <v>42</v>
      </c>
      <c r="H94" s="2">
        <f t="shared" si="20"/>
        <v>33</v>
      </c>
      <c r="I94" s="2">
        <f t="shared" si="20"/>
        <v>58</v>
      </c>
      <c r="J94" s="21"/>
      <c r="K94" s="2">
        <v>0.05</v>
      </c>
      <c r="L94" s="2"/>
      <c r="M94" s="2">
        <v>0.05</v>
      </c>
      <c r="N94" s="2"/>
      <c r="O94" s="2"/>
      <c r="P94" s="2"/>
      <c r="Q94" s="2"/>
      <c r="R94" s="2"/>
      <c r="S94" s="2"/>
    </row>
    <row r="95" spans="1:19" ht="14.25" customHeight="1">
      <c r="A95" s="6">
        <f t="shared" si="17"/>
        <v>904</v>
      </c>
      <c r="B95" s="6" t="s">
        <v>4441</v>
      </c>
      <c r="C95" s="6">
        <v>9</v>
      </c>
      <c r="D95" s="2">
        <f t="shared" si="20"/>
        <v>650</v>
      </c>
      <c r="E95" s="2">
        <f t="shared" si="20"/>
        <v>65</v>
      </c>
      <c r="F95" s="2">
        <f t="shared" si="20"/>
        <v>16</v>
      </c>
      <c r="G95" s="2">
        <f t="shared" si="20"/>
        <v>47</v>
      </c>
      <c r="H95" s="2">
        <f t="shared" si="20"/>
        <v>37</v>
      </c>
      <c r="I95" s="2">
        <f t="shared" si="20"/>
        <v>65</v>
      </c>
      <c r="J95" s="21">
        <v>1</v>
      </c>
      <c r="K95" s="2">
        <v>0.05</v>
      </c>
      <c r="L95" s="2"/>
      <c r="M95" s="2">
        <v>0.05</v>
      </c>
      <c r="N95" s="2"/>
      <c r="O95" s="2"/>
      <c r="P95" s="2"/>
      <c r="Q95" s="2"/>
      <c r="R95" s="2"/>
      <c r="S95" s="2"/>
    </row>
    <row r="96" spans="1:19" ht="14.25" customHeight="1">
      <c r="A96" s="6">
        <f t="shared" si="17"/>
        <v>904</v>
      </c>
      <c r="B96" s="6" t="s">
        <v>4442</v>
      </c>
      <c r="C96" s="6">
        <v>10</v>
      </c>
      <c r="D96" s="2">
        <f t="shared" si="20"/>
        <v>780</v>
      </c>
      <c r="E96" s="2">
        <f t="shared" si="20"/>
        <v>78</v>
      </c>
      <c r="F96" s="2">
        <f t="shared" si="20"/>
        <v>18</v>
      </c>
      <c r="G96" s="2">
        <f t="shared" si="20"/>
        <v>56</v>
      </c>
      <c r="H96" s="2">
        <f t="shared" si="20"/>
        <v>44</v>
      </c>
      <c r="I96" s="2">
        <f t="shared" si="20"/>
        <v>78</v>
      </c>
      <c r="J96" s="21">
        <v>2</v>
      </c>
      <c r="K96" s="2">
        <v>0.05</v>
      </c>
      <c r="L96" s="2"/>
      <c r="M96" s="2">
        <v>0.05</v>
      </c>
      <c r="N96" s="2"/>
      <c r="O96" s="2"/>
      <c r="P96" s="2"/>
      <c r="Q96" s="2"/>
      <c r="R96" s="2"/>
      <c r="S96" s="2"/>
    </row>
    <row r="97" spans="1:19" ht="14.25" customHeight="1">
      <c r="A97" s="6">
        <f t="shared" si="17"/>
        <v>905</v>
      </c>
      <c r="B97" s="6" t="s">
        <v>4443</v>
      </c>
      <c r="C97" s="6">
        <v>1</v>
      </c>
      <c r="D97" s="2">
        <f t="shared" ref="D97:I106" si="21">ROUND(D77*0.8,0)</f>
        <v>104</v>
      </c>
      <c r="E97" s="2">
        <f t="shared" si="21"/>
        <v>2</v>
      </c>
      <c r="F97" s="2">
        <f t="shared" si="21"/>
        <v>17</v>
      </c>
      <c r="G97" s="2">
        <f t="shared" si="21"/>
        <v>6</v>
      </c>
      <c r="H97" s="2">
        <f t="shared" si="21"/>
        <v>9</v>
      </c>
      <c r="I97" s="2">
        <f t="shared" si="21"/>
        <v>23</v>
      </c>
      <c r="J97" s="21">
        <v>1</v>
      </c>
      <c r="K97" s="2"/>
      <c r="L97" s="2"/>
      <c r="M97" s="2"/>
      <c r="N97" s="2"/>
      <c r="O97" s="2"/>
      <c r="P97" s="2"/>
      <c r="Q97" s="2"/>
      <c r="R97" s="2"/>
      <c r="S97" s="2"/>
    </row>
    <row r="98" spans="1:19" ht="14.25" customHeight="1">
      <c r="A98" s="6">
        <f t="shared" si="17"/>
        <v>905</v>
      </c>
      <c r="B98" s="6" t="s">
        <v>4444</v>
      </c>
      <c r="C98" s="6">
        <v>2</v>
      </c>
      <c r="D98" s="2">
        <f t="shared" si="21"/>
        <v>156</v>
      </c>
      <c r="E98" s="2">
        <f t="shared" si="21"/>
        <v>3</v>
      </c>
      <c r="F98" s="2">
        <f t="shared" si="21"/>
        <v>25</v>
      </c>
      <c r="G98" s="2">
        <f t="shared" si="21"/>
        <v>8</v>
      </c>
      <c r="H98" s="2">
        <f t="shared" si="21"/>
        <v>14</v>
      </c>
      <c r="I98" s="2">
        <f t="shared" si="21"/>
        <v>34</v>
      </c>
      <c r="J98" s="21"/>
      <c r="K98" s="2"/>
      <c r="L98" s="2"/>
      <c r="M98" s="2"/>
      <c r="N98" s="2"/>
      <c r="O98" s="2"/>
      <c r="P98" s="2"/>
      <c r="Q98" s="2"/>
      <c r="R98" s="2"/>
      <c r="S98" s="2"/>
    </row>
    <row r="99" spans="1:19" ht="14.25" customHeight="1">
      <c r="A99" s="6">
        <f t="shared" si="17"/>
        <v>905</v>
      </c>
      <c r="B99" s="6" t="s">
        <v>4445</v>
      </c>
      <c r="C99" s="6">
        <v>3</v>
      </c>
      <c r="D99" s="2">
        <f t="shared" si="21"/>
        <v>208</v>
      </c>
      <c r="E99" s="2">
        <f t="shared" si="21"/>
        <v>4</v>
      </c>
      <c r="F99" s="2">
        <f t="shared" si="21"/>
        <v>34</v>
      </c>
      <c r="G99" s="2">
        <f t="shared" si="21"/>
        <v>10</v>
      </c>
      <c r="H99" s="2">
        <f t="shared" si="21"/>
        <v>18</v>
      </c>
      <c r="I99" s="2">
        <f t="shared" si="21"/>
        <v>46</v>
      </c>
      <c r="J99" s="21">
        <v>1</v>
      </c>
      <c r="K99" s="2"/>
      <c r="L99" s="2"/>
      <c r="M99" s="2"/>
      <c r="N99" s="2"/>
      <c r="O99" s="2"/>
      <c r="P99" s="2"/>
      <c r="Q99" s="2"/>
      <c r="R99" s="2"/>
      <c r="S99" s="2"/>
    </row>
    <row r="100" spans="1:19" ht="14.25" customHeight="1">
      <c r="A100" s="6">
        <f t="shared" si="17"/>
        <v>905</v>
      </c>
      <c r="B100" s="6" t="s">
        <v>4446</v>
      </c>
      <c r="C100" s="6">
        <v>4</v>
      </c>
      <c r="D100" s="2">
        <f t="shared" si="21"/>
        <v>260</v>
      </c>
      <c r="E100" s="2">
        <f t="shared" si="21"/>
        <v>6</v>
      </c>
      <c r="F100" s="2">
        <f t="shared" si="21"/>
        <v>42</v>
      </c>
      <c r="G100" s="2">
        <f t="shared" si="21"/>
        <v>13</v>
      </c>
      <c r="H100" s="2">
        <f t="shared" si="21"/>
        <v>22</v>
      </c>
      <c r="I100" s="2">
        <f t="shared" si="21"/>
        <v>58</v>
      </c>
      <c r="J100" s="21"/>
      <c r="K100" s="2"/>
      <c r="L100" s="2"/>
      <c r="M100" s="2"/>
      <c r="N100" s="2"/>
      <c r="O100" s="2"/>
      <c r="P100" s="2"/>
      <c r="Q100" s="2"/>
      <c r="R100" s="2"/>
      <c r="S100" s="2"/>
    </row>
    <row r="101" spans="1:19" ht="14.25" customHeight="1">
      <c r="A101" s="6">
        <f t="shared" si="17"/>
        <v>905</v>
      </c>
      <c r="B101" s="6" t="s">
        <v>4447</v>
      </c>
      <c r="C101" s="6">
        <v>5</v>
      </c>
      <c r="D101" s="2">
        <f t="shared" si="21"/>
        <v>312</v>
      </c>
      <c r="E101" s="2">
        <f t="shared" si="21"/>
        <v>6</v>
      </c>
      <c r="F101" s="2">
        <f t="shared" si="21"/>
        <v>50</v>
      </c>
      <c r="G101" s="2">
        <f t="shared" si="21"/>
        <v>16</v>
      </c>
      <c r="H101" s="2">
        <f t="shared" si="21"/>
        <v>26</v>
      </c>
      <c r="I101" s="2">
        <f t="shared" si="21"/>
        <v>69</v>
      </c>
      <c r="J101" s="21">
        <v>1</v>
      </c>
      <c r="K101" s="2"/>
      <c r="L101" s="2"/>
      <c r="M101" s="2"/>
      <c r="N101" s="2"/>
      <c r="O101" s="2"/>
      <c r="P101" s="2"/>
      <c r="Q101" s="2"/>
      <c r="R101" s="2"/>
      <c r="S101" s="2"/>
    </row>
    <row r="102" spans="1:19" ht="14.25" customHeight="1">
      <c r="A102" s="6">
        <f t="shared" si="17"/>
        <v>905</v>
      </c>
      <c r="B102" s="6" t="s">
        <v>4448</v>
      </c>
      <c r="C102" s="6">
        <v>6</v>
      </c>
      <c r="D102" s="2">
        <f t="shared" si="21"/>
        <v>364</v>
      </c>
      <c r="E102" s="2">
        <f t="shared" si="21"/>
        <v>7</v>
      </c>
      <c r="F102" s="2">
        <f t="shared" si="21"/>
        <v>58</v>
      </c>
      <c r="G102" s="2">
        <f t="shared" si="21"/>
        <v>18</v>
      </c>
      <c r="H102" s="2">
        <f t="shared" si="21"/>
        <v>31</v>
      </c>
      <c r="I102" s="2">
        <f t="shared" si="21"/>
        <v>80</v>
      </c>
      <c r="J102" s="21"/>
      <c r="K102" s="2">
        <v>0.05</v>
      </c>
      <c r="L102" s="2"/>
      <c r="M102" s="2">
        <v>0.05</v>
      </c>
      <c r="N102" s="2"/>
      <c r="O102" s="2"/>
      <c r="P102" s="2"/>
      <c r="Q102" s="2"/>
      <c r="R102" s="2"/>
      <c r="S102" s="2"/>
    </row>
    <row r="103" spans="1:19" ht="14.25" customHeight="1">
      <c r="A103" s="6">
        <f t="shared" si="17"/>
        <v>905</v>
      </c>
      <c r="B103" s="6" t="s">
        <v>4449</v>
      </c>
      <c r="C103" s="6">
        <v>7</v>
      </c>
      <c r="D103" s="2">
        <f t="shared" si="21"/>
        <v>416</v>
      </c>
      <c r="E103" s="2">
        <f t="shared" si="21"/>
        <v>8</v>
      </c>
      <c r="F103" s="2">
        <f t="shared" si="21"/>
        <v>66</v>
      </c>
      <c r="G103" s="2">
        <f t="shared" si="21"/>
        <v>21</v>
      </c>
      <c r="H103" s="2">
        <f t="shared" si="21"/>
        <v>35</v>
      </c>
      <c r="I103" s="2">
        <f t="shared" si="21"/>
        <v>91</v>
      </c>
      <c r="J103" s="21">
        <v>1</v>
      </c>
      <c r="K103" s="2">
        <v>0.05</v>
      </c>
      <c r="L103" s="2"/>
      <c r="M103" s="2">
        <v>0.05</v>
      </c>
      <c r="N103" s="2"/>
      <c r="O103" s="2"/>
      <c r="P103" s="2"/>
      <c r="Q103" s="2"/>
      <c r="R103" s="2"/>
      <c r="S103" s="2"/>
    </row>
    <row r="104" spans="1:19" ht="14.25" customHeight="1">
      <c r="A104" s="6">
        <f t="shared" si="17"/>
        <v>905</v>
      </c>
      <c r="B104" s="6" t="s">
        <v>4450</v>
      </c>
      <c r="C104" s="6">
        <v>8</v>
      </c>
      <c r="D104" s="2">
        <f t="shared" si="21"/>
        <v>468</v>
      </c>
      <c r="E104" s="2">
        <f t="shared" si="21"/>
        <v>10</v>
      </c>
      <c r="F104" s="2">
        <f t="shared" si="21"/>
        <v>75</v>
      </c>
      <c r="G104" s="2">
        <f t="shared" si="21"/>
        <v>23</v>
      </c>
      <c r="H104" s="2">
        <f t="shared" si="21"/>
        <v>40</v>
      </c>
      <c r="I104" s="2">
        <f t="shared" si="21"/>
        <v>103</v>
      </c>
      <c r="J104" s="21"/>
      <c r="K104" s="2">
        <v>0.05</v>
      </c>
      <c r="L104" s="2"/>
      <c r="M104" s="2">
        <v>0.05</v>
      </c>
      <c r="N104" s="2"/>
      <c r="O104" s="2"/>
      <c r="P104" s="2"/>
      <c r="Q104" s="2"/>
      <c r="R104" s="2"/>
      <c r="S104" s="2"/>
    </row>
    <row r="105" spans="1:19" ht="14.25" customHeight="1">
      <c r="A105" s="6">
        <f t="shared" si="17"/>
        <v>905</v>
      </c>
      <c r="B105" s="6" t="s">
        <v>4451</v>
      </c>
      <c r="C105" s="6">
        <v>9</v>
      </c>
      <c r="D105" s="2">
        <f t="shared" si="21"/>
        <v>520</v>
      </c>
      <c r="E105" s="2">
        <f t="shared" si="21"/>
        <v>10</v>
      </c>
      <c r="F105" s="2">
        <f t="shared" si="21"/>
        <v>83</v>
      </c>
      <c r="G105" s="2">
        <f t="shared" si="21"/>
        <v>26</v>
      </c>
      <c r="H105" s="2">
        <f t="shared" si="21"/>
        <v>44</v>
      </c>
      <c r="I105" s="2">
        <f t="shared" si="21"/>
        <v>114</v>
      </c>
      <c r="J105" s="21">
        <v>1</v>
      </c>
      <c r="K105" s="2">
        <v>0.05</v>
      </c>
      <c r="L105" s="2"/>
      <c r="M105" s="2">
        <v>0.05</v>
      </c>
      <c r="N105" s="2"/>
      <c r="O105" s="2"/>
      <c r="P105" s="2"/>
      <c r="Q105" s="2"/>
      <c r="R105" s="2"/>
      <c r="S105" s="2"/>
    </row>
    <row r="106" spans="1:19" ht="14.25" customHeight="1">
      <c r="A106" s="6">
        <f t="shared" si="17"/>
        <v>905</v>
      </c>
      <c r="B106" s="6" t="s">
        <v>4452</v>
      </c>
      <c r="C106" s="6">
        <v>10</v>
      </c>
      <c r="D106" s="2">
        <f t="shared" si="21"/>
        <v>624</v>
      </c>
      <c r="E106" s="2">
        <f t="shared" si="21"/>
        <v>13</v>
      </c>
      <c r="F106" s="2">
        <f t="shared" si="21"/>
        <v>100</v>
      </c>
      <c r="G106" s="2">
        <f t="shared" si="21"/>
        <v>31</v>
      </c>
      <c r="H106" s="2">
        <f t="shared" si="21"/>
        <v>53</v>
      </c>
      <c r="I106" s="2">
        <f t="shared" si="21"/>
        <v>138</v>
      </c>
      <c r="J106" s="21">
        <v>2</v>
      </c>
      <c r="K106" s="2">
        <v>0.05</v>
      </c>
      <c r="L106" s="2"/>
      <c r="M106" s="2">
        <v>0.05</v>
      </c>
      <c r="N106" s="2"/>
      <c r="O106" s="2"/>
      <c r="P106" s="2"/>
      <c r="Q106" s="2"/>
      <c r="R106" s="2"/>
      <c r="S106" s="2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L71"/>
  <sheetViews>
    <sheetView zoomScaleNormal="100" workbookViewId="0"/>
  </sheetViews>
  <sheetFormatPr defaultColWidth="12.5703125" defaultRowHeight="12.75"/>
  <sheetData>
    <row r="1" spans="1:8" ht="14.25" customHeight="1">
      <c r="A1" s="7"/>
    </row>
    <row r="3" spans="1:8" ht="14.25" customHeight="1">
      <c r="A3" s="40" t="s">
        <v>0</v>
      </c>
      <c r="B3" s="40" t="s">
        <v>1599</v>
      </c>
      <c r="C3" s="40" t="s">
        <v>63</v>
      </c>
      <c r="D3" s="40" t="s">
        <v>4453</v>
      </c>
      <c r="E3" s="40" t="s">
        <v>4454</v>
      </c>
      <c r="F3" s="40" t="s">
        <v>4455</v>
      </c>
      <c r="G3" s="40" t="s">
        <v>4456</v>
      </c>
      <c r="H3" s="40" t="s">
        <v>4457</v>
      </c>
    </row>
    <row r="4" spans="1:8" ht="16.5" customHeight="1">
      <c r="A4" s="6">
        <v>700</v>
      </c>
      <c r="B4" s="8" t="s">
        <v>4362</v>
      </c>
      <c r="C4" s="6">
        <v>1</v>
      </c>
      <c r="D4" s="6">
        <v>2000</v>
      </c>
      <c r="E4" s="32">
        <v>1</v>
      </c>
      <c r="F4" s="6">
        <v>1000</v>
      </c>
      <c r="G4" s="6">
        <v>4000</v>
      </c>
      <c r="H4" s="6">
        <v>1</v>
      </c>
    </row>
    <row r="5" spans="1:8" ht="16.5" customHeight="1">
      <c r="A5" s="6">
        <v>700</v>
      </c>
      <c r="B5" s="8" t="s">
        <v>4363</v>
      </c>
      <c r="C5" s="6">
        <v>2</v>
      </c>
      <c r="D5" s="6">
        <v>2000</v>
      </c>
      <c r="E5" s="32">
        <v>2</v>
      </c>
      <c r="F5" s="6">
        <v>1000</v>
      </c>
      <c r="G5" s="6">
        <f t="shared" ref="G5:G13" si="0">G4+500</f>
        <v>4500</v>
      </c>
      <c r="H5" s="6">
        <v>1</v>
      </c>
    </row>
    <row r="6" spans="1:8" ht="16.5" customHeight="1">
      <c r="A6" s="6">
        <v>700</v>
      </c>
      <c r="B6" s="8" t="s">
        <v>4364</v>
      </c>
      <c r="C6" s="6">
        <v>3</v>
      </c>
      <c r="D6" s="6">
        <v>2000</v>
      </c>
      <c r="E6" s="32">
        <v>3</v>
      </c>
      <c r="F6" s="6">
        <v>1000</v>
      </c>
      <c r="G6" s="6">
        <f t="shared" si="0"/>
        <v>5000</v>
      </c>
      <c r="H6" s="6">
        <v>1</v>
      </c>
    </row>
    <row r="7" spans="1:8" ht="16.5" customHeight="1">
      <c r="A7" s="6">
        <v>700</v>
      </c>
      <c r="B7" s="8" t="s">
        <v>4365</v>
      </c>
      <c r="C7" s="6">
        <v>4</v>
      </c>
      <c r="D7" s="6">
        <v>2000</v>
      </c>
      <c r="E7" s="32">
        <v>6</v>
      </c>
      <c r="F7" s="6">
        <v>1000</v>
      </c>
      <c r="G7" s="6">
        <f t="shared" si="0"/>
        <v>5500</v>
      </c>
      <c r="H7" s="6">
        <v>1</v>
      </c>
    </row>
    <row r="8" spans="1:8" ht="16.5" customHeight="1">
      <c r="A8" s="6">
        <v>700</v>
      </c>
      <c r="B8" s="8" t="s">
        <v>4366</v>
      </c>
      <c r="C8" s="6">
        <v>5</v>
      </c>
      <c r="D8" s="6">
        <v>2000</v>
      </c>
      <c r="E8" s="32">
        <v>10</v>
      </c>
      <c r="F8" s="6">
        <v>1000</v>
      </c>
      <c r="G8" s="6">
        <f t="shared" si="0"/>
        <v>6000</v>
      </c>
      <c r="H8" s="6">
        <v>0.9</v>
      </c>
    </row>
    <row r="9" spans="1:8" ht="16.5" customHeight="1">
      <c r="A9" s="6">
        <v>700</v>
      </c>
      <c r="B9" s="8" t="s">
        <v>4367</v>
      </c>
      <c r="C9" s="6">
        <v>6</v>
      </c>
      <c r="D9" s="6">
        <v>2000</v>
      </c>
      <c r="E9" s="32">
        <v>12</v>
      </c>
      <c r="F9" s="6">
        <v>1000</v>
      </c>
      <c r="G9" s="6">
        <f t="shared" si="0"/>
        <v>6500</v>
      </c>
      <c r="H9" s="6">
        <v>0.7</v>
      </c>
    </row>
    <row r="10" spans="1:8" ht="16.5" customHeight="1">
      <c r="A10" s="6">
        <v>700</v>
      </c>
      <c r="B10" s="8" t="s">
        <v>4368</v>
      </c>
      <c r="C10" s="6">
        <v>7</v>
      </c>
      <c r="D10" s="6">
        <v>2000</v>
      </c>
      <c r="E10" s="32">
        <v>15</v>
      </c>
      <c r="F10" s="6">
        <v>1000</v>
      </c>
      <c r="G10" s="6">
        <f t="shared" si="0"/>
        <v>7000</v>
      </c>
      <c r="H10" s="6">
        <v>0.5</v>
      </c>
    </row>
    <row r="11" spans="1:8" ht="16.5" customHeight="1">
      <c r="A11" s="6">
        <v>700</v>
      </c>
      <c r="B11" s="8" t="s">
        <v>4369</v>
      </c>
      <c r="C11" s="6">
        <v>8</v>
      </c>
      <c r="D11" s="6">
        <v>2000</v>
      </c>
      <c r="E11" s="32">
        <v>20</v>
      </c>
      <c r="F11" s="6">
        <v>1000</v>
      </c>
      <c r="G11" s="6">
        <f t="shared" si="0"/>
        <v>7500</v>
      </c>
      <c r="H11" s="6">
        <v>0.45</v>
      </c>
    </row>
    <row r="12" spans="1:8" ht="16.5" customHeight="1">
      <c r="A12" s="6">
        <v>700</v>
      </c>
      <c r="B12" s="8" t="s">
        <v>4370</v>
      </c>
      <c r="C12" s="6">
        <v>9</v>
      </c>
      <c r="D12" s="6">
        <v>2000</v>
      </c>
      <c r="E12" s="32">
        <v>25</v>
      </c>
      <c r="F12" s="6">
        <v>1000</v>
      </c>
      <c r="G12" s="6">
        <f t="shared" si="0"/>
        <v>8000</v>
      </c>
      <c r="H12" s="6">
        <v>0.35</v>
      </c>
    </row>
    <row r="13" spans="1:8" ht="16.5" customHeight="1">
      <c r="A13" s="6">
        <v>700</v>
      </c>
      <c r="B13" s="8" t="s">
        <v>4371</v>
      </c>
      <c r="C13" s="6">
        <v>10</v>
      </c>
      <c r="D13" s="6">
        <v>2000</v>
      </c>
      <c r="E13" s="32">
        <v>40</v>
      </c>
      <c r="F13" s="6">
        <v>1000</v>
      </c>
      <c r="G13" s="6">
        <f t="shared" si="0"/>
        <v>8500</v>
      </c>
      <c r="H13" s="6">
        <v>0.3</v>
      </c>
    </row>
    <row r="14" spans="1:8" ht="16.5" customHeight="1">
      <c r="A14" s="6">
        <v>701</v>
      </c>
      <c r="B14" s="8" t="s">
        <v>4372</v>
      </c>
      <c r="C14" s="6">
        <v>1</v>
      </c>
      <c r="D14" s="6">
        <v>2003</v>
      </c>
      <c r="E14" s="32">
        <v>1</v>
      </c>
      <c r="F14" s="6">
        <v>1000</v>
      </c>
      <c r="G14" s="6">
        <v>5000</v>
      </c>
      <c r="H14" s="6">
        <v>1</v>
      </c>
    </row>
    <row r="15" spans="1:8" ht="16.5" customHeight="1">
      <c r="A15" s="6">
        <v>701</v>
      </c>
      <c r="B15" s="8" t="s">
        <v>4373</v>
      </c>
      <c r="C15" s="6">
        <v>2</v>
      </c>
      <c r="D15" s="6">
        <v>2003</v>
      </c>
      <c r="E15" s="32">
        <v>2</v>
      </c>
      <c r="F15" s="6">
        <v>1000</v>
      </c>
      <c r="G15" s="6">
        <f t="shared" ref="G15:G23" si="1">G14+500</f>
        <v>5500</v>
      </c>
      <c r="H15" s="6">
        <v>1</v>
      </c>
    </row>
    <row r="16" spans="1:8" ht="16.5" customHeight="1">
      <c r="A16" s="6">
        <v>701</v>
      </c>
      <c r="B16" s="8" t="s">
        <v>4374</v>
      </c>
      <c r="C16" s="6">
        <v>3</v>
      </c>
      <c r="D16" s="6">
        <v>2003</v>
      </c>
      <c r="E16" s="32">
        <v>3</v>
      </c>
      <c r="F16" s="6">
        <v>1000</v>
      </c>
      <c r="G16" s="6">
        <f t="shared" si="1"/>
        <v>6000</v>
      </c>
      <c r="H16" s="6">
        <v>1</v>
      </c>
    </row>
    <row r="17" spans="1:8" ht="16.5" customHeight="1">
      <c r="A17" s="6">
        <v>701</v>
      </c>
      <c r="B17" s="8" t="s">
        <v>4375</v>
      </c>
      <c r="C17" s="6">
        <v>4</v>
      </c>
      <c r="D17" s="6">
        <v>2003</v>
      </c>
      <c r="E17" s="32">
        <v>6</v>
      </c>
      <c r="F17" s="6">
        <v>1000</v>
      </c>
      <c r="G17" s="6">
        <f t="shared" si="1"/>
        <v>6500</v>
      </c>
      <c r="H17" s="6">
        <v>1</v>
      </c>
    </row>
    <row r="18" spans="1:8" ht="16.5" customHeight="1">
      <c r="A18" s="6">
        <v>701</v>
      </c>
      <c r="B18" s="8" t="s">
        <v>4376</v>
      </c>
      <c r="C18" s="6">
        <v>5</v>
      </c>
      <c r="D18" s="6">
        <v>2003</v>
      </c>
      <c r="E18" s="32">
        <v>10</v>
      </c>
      <c r="F18" s="6">
        <v>1000</v>
      </c>
      <c r="G18" s="6">
        <f t="shared" si="1"/>
        <v>7000</v>
      </c>
      <c r="H18" s="6">
        <v>0.9</v>
      </c>
    </row>
    <row r="19" spans="1:8" ht="16.5" customHeight="1">
      <c r="A19" s="6">
        <v>701</v>
      </c>
      <c r="B19" s="8" t="s">
        <v>4377</v>
      </c>
      <c r="C19" s="6">
        <v>6</v>
      </c>
      <c r="D19" s="6">
        <v>2003</v>
      </c>
      <c r="E19" s="32">
        <v>12</v>
      </c>
      <c r="F19" s="6">
        <v>1000</v>
      </c>
      <c r="G19" s="6">
        <f t="shared" si="1"/>
        <v>7500</v>
      </c>
      <c r="H19" s="6">
        <v>0.7</v>
      </c>
    </row>
    <row r="20" spans="1:8" ht="16.5" customHeight="1">
      <c r="A20" s="6">
        <v>701</v>
      </c>
      <c r="B20" s="8" t="s">
        <v>4378</v>
      </c>
      <c r="C20" s="6">
        <v>7</v>
      </c>
      <c r="D20" s="6">
        <v>2003</v>
      </c>
      <c r="E20" s="32">
        <v>15</v>
      </c>
      <c r="F20" s="6">
        <v>1000</v>
      </c>
      <c r="G20" s="6">
        <f t="shared" si="1"/>
        <v>8000</v>
      </c>
      <c r="H20" s="6">
        <v>0.5</v>
      </c>
    </row>
    <row r="21" spans="1:8" ht="16.5" customHeight="1">
      <c r="A21" s="6">
        <v>701</v>
      </c>
      <c r="B21" s="8" t="s">
        <v>4379</v>
      </c>
      <c r="C21" s="6">
        <v>8</v>
      </c>
      <c r="D21" s="6">
        <v>2003</v>
      </c>
      <c r="E21" s="32">
        <v>20</v>
      </c>
      <c r="F21" s="6">
        <v>1000</v>
      </c>
      <c r="G21" s="6">
        <f t="shared" si="1"/>
        <v>8500</v>
      </c>
      <c r="H21" s="6">
        <v>0.45</v>
      </c>
    </row>
    <row r="22" spans="1:8" ht="16.5" customHeight="1">
      <c r="A22" s="6">
        <v>701</v>
      </c>
      <c r="B22" s="8" t="s">
        <v>4380</v>
      </c>
      <c r="C22" s="6">
        <v>9</v>
      </c>
      <c r="D22" s="6">
        <v>2003</v>
      </c>
      <c r="E22" s="32">
        <v>25</v>
      </c>
      <c r="F22" s="6">
        <v>1000</v>
      </c>
      <c r="G22" s="6">
        <f t="shared" si="1"/>
        <v>9000</v>
      </c>
      <c r="H22" s="6">
        <v>0.35</v>
      </c>
    </row>
    <row r="23" spans="1:8" ht="16.5" customHeight="1">
      <c r="A23" s="6">
        <v>701</v>
      </c>
      <c r="B23" s="8" t="s">
        <v>4381</v>
      </c>
      <c r="C23" s="6">
        <v>10</v>
      </c>
      <c r="D23" s="6">
        <v>2003</v>
      </c>
      <c r="E23" s="32">
        <v>40</v>
      </c>
      <c r="F23" s="6">
        <v>1000</v>
      </c>
      <c r="G23" s="6">
        <f t="shared" si="1"/>
        <v>9500</v>
      </c>
      <c r="H23" s="6">
        <v>0.3</v>
      </c>
    </row>
    <row r="24" spans="1:8" ht="16.5" customHeight="1">
      <c r="A24" s="6">
        <v>702</v>
      </c>
      <c r="B24" s="8" t="s">
        <v>4382</v>
      </c>
      <c r="C24" s="6">
        <v>1</v>
      </c>
      <c r="D24" s="6">
        <v>2004</v>
      </c>
      <c r="E24" s="32">
        <v>1</v>
      </c>
      <c r="F24" s="6">
        <v>1000</v>
      </c>
      <c r="G24" s="6">
        <v>6000</v>
      </c>
      <c r="H24" s="6">
        <v>1</v>
      </c>
    </row>
    <row r="25" spans="1:8" ht="16.5" customHeight="1">
      <c r="A25" s="6">
        <v>702</v>
      </c>
      <c r="B25" s="8" t="s">
        <v>4382</v>
      </c>
      <c r="C25" s="6">
        <v>2</v>
      </c>
      <c r="D25" s="6">
        <v>2004</v>
      </c>
      <c r="E25" s="32">
        <v>2</v>
      </c>
      <c r="F25" s="6">
        <v>1000</v>
      </c>
      <c r="G25" s="6">
        <f t="shared" ref="G25:G33" si="2">G24+500</f>
        <v>6500</v>
      </c>
      <c r="H25" s="6">
        <v>1</v>
      </c>
    </row>
    <row r="26" spans="1:8" ht="16.5" customHeight="1">
      <c r="A26" s="6">
        <v>702</v>
      </c>
      <c r="B26" s="8" t="s">
        <v>4382</v>
      </c>
      <c r="C26" s="6">
        <v>3</v>
      </c>
      <c r="D26" s="6">
        <v>2004</v>
      </c>
      <c r="E26" s="32">
        <v>3</v>
      </c>
      <c r="F26" s="6">
        <v>1000</v>
      </c>
      <c r="G26" s="6">
        <f t="shared" si="2"/>
        <v>7000</v>
      </c>
      <c r="H26" s="6">
        <v>1</v>
      </c>
    </row>
    <row r="27" spans="1:8" ht="16.5" customHeight="1">
      <c r="A27" s="6">
        <v>702</v>
      </c>
      <c r="B27" s="8" t="s">
        <v>4382</v>
      </c>
      <c r="C27" s="6">
        <v>4</v>
      </c>
      <c r="D27" s="6">
        <v>2004</v>
      </c>
      <c r="E27" s="32">
        <v>6</v>
      </c>
      <c r="F27" s="6">
        <v>1000</v>
      </c>
      <c r="G27" s="6">
        <f t="shared" si="2"/>
        <v>7500</v>
      </c>
      <c r="H27" s="6">
        <v>1</v>
      </c>
    </row>
    <row r="28" spans="1:8" ht="16.5" customHeight="1">
      <c r="A28" s="6">
        <v>702</v>
      </c>
      <c r="B28" s="8" t="s">
        <v>4382</v>
      </c>
      <c r="C28" s="6">
        <v>5</v>
      </c>
      <c r="D28" s="6">
        <v>2004</v>
      </c>
      <c r="E28" s="32">
        <v>10</v>
      </c>
      <c r="F28" s="6">
        <v>1000</v>
      </c>
      <c r="G28" s="6">
        <f t="shared" si="2"/>
        <v>8000</v>
      </c>
      <c r="H28" s="6">
        <v>0.9</v>
      </c>
    </row>
    <row r="29" spans="1:8" ht="16.5" customHeight="1">
      <c r="A29" s="6">
        <v>702</v>
      </c>
      <c r="B29" s="8" t="s">
        <v>4382</v>
      </c>
      <c r="C29" s="6">
        <v>6</v>
      </c>
      <c r="D29" s="6">
        <v>2004</v>
      </c>
      <c r="E29" s="32">
        <v>12</v>
      </c>
      <c r="F29" s="6">
        <v>1000</v>
      </c>
      <c r="G29" s="6">
        <f t="shared" si="2"/>
        <v>8500</v>
      </c>
      <c r="H29" s="6">
        <v>0.7</v>
      </c>
    </row>
    <row r="30" spans="1:8" ht="16.5" customHeight="1">
      <c r="A30" s="6">
        <v>702</v>
      </c>
      <c r="B30" s="8" t="s">
        <v>4382</v>
      </c>
      <c r="C30" s="6">
        <v>7</v>
      </c>
      <c r="D30" s="6">
        <v>2004</v>
      </c>
      <c r="E30" s="32">
        <v>15</v>
      </c>
      <c r="F30" s="6">
        <v>1000</v>
      </c>
      <c r="G30" s="6">
        <f t="shared" si="2"/>
        <v>9000</v>
      </c>
      <c r="H30" s="6">
        <v>0.5</v>
      </c>
    </row>
    <row r="31" spans="1:8" ht="16.5" customHeight="1">
      <c r="A31" s="6">
        <v>702</v>
      </c>
      <c r="B31" s="8" t="s">
        <v>4382</v>
      </c>
      <c r="C31" s="6">
        <v>8</v>
      </c>
      <c r="D31" s="6">
        <v>2004</v>
      </c>
      <c r="E31" s="32">
        <v>20</v>
      </c>
      <c r="F31" s="6">
        <v>1000</v>
      </c>
      <c r="G31" s="6">
        <f t="shared" si="2"/>
        <v>9500</v>
      </c>
      <c r="H31" s="6">
        <v>0.45</v>
      </c>
    </row>
    <row r="32" spans="1:8" ht="16.5" customHeight="1">
      <c r="A32" s="6">
        <v>702</v>
      </c>
      <c r="B32" s="8" t="s">
        <v>4382</v>
      </c>
      <c r="C32" s="6">
        <v>9</v>
      </c>
      <c r="D32" s="6">
        <v>2004</v>
      </c>
      <c r="E32" s="32">
        <v>25</v>
      </c>
      <c r="F32" s="6">
        <v>1000</v>
      </c>
      <c r="G32" s="6">
        <f t="shared" si="2"/>
        <v>10000</v>
      </c>
      <c r="H32" s="6">
        <v>0.35</v>
      </c>
    </row>
    <row r="33" spans="1:11" ht="16.5" customHeight="1">
      <c r="A33" s="6">
        <v>702</v>
      </c>
      <c r="B33" s="8" t="s">
        <v>4382</v>
      </c>
      <c r="C33" s="6">
        <v>10</v>
      </c>
      <c r="D33" s="6">
        <v>2004</v>
      </c>
      <c r="E33" s="32">
        <v>40</v>
      </c>
      <c r="F33" s="6">
        <v>1000</v>
      </c>
      <c r="G33" s="6">
        <f t="shared" si="2"/>
        <v>10500</v>
      </c>
      <c r="H33" s="6">
        <v>0.3</v>
      </c>
    </row>
    <row r="35" spans="1:11" ht="14.25" customHeight="1">
      <c r="A35" s="40" t="s">
        <v>0</v>
      </c>
      <c r="B35" s="40" t="s">
        <v>1599</v>
      </c>
      <c r="C35" s="40" t="s">
        <v>63</v>
      </c>
      <c r="D35" s="40" t="s">
        <v>4453</v>
      </c>
      <c r="E35" s="40" t="s">
        <v>4454</v>
      </c>
      <c r="F35" s="40" t="s">
        <v>4455</v>
      </c>
      <c r="G35" s="40" t="s">
        <v>4456</v>
      </c>
      <c r="H35" s="40" t="s">
        <v>4457</v>
      </c>
    </row>
    <row r="36" spans="1:11" ht="16.5" customHeight="1">
      <c r="A36" s="6">
        <v>800</v>
      </c>
      <c r="B36" s="8" t="s">
        <v>4383</v>
      </c>
      <c r="C36" s="6">
        <v>1</v>
      </c>
      <c r="D36" s="6">
        <v>2001</v>
      </c>
      <c r="E36" s="32">
        <v>1</v>
      </c>
      <c r="F36" s="6">
        <v>1000</v>
      </c>
      <c r="G36" s="6">
        <v>2000</v>
      </c>
      <c r="H36" s="6">
        <v>1</v>
      </c>
    </row>
    <row r="37" spans="1:11" ht="16.5" customHeight="1">
      <c r="A37" s="6">
        <v>800</v>
      </c>
      <c r="B37" s="8" t="s">
        <v>4384</v>
      </c>
      <c r="C37" s="6">
        <v>2</v>
      </c>
      <c r="D37" s="6">
        <v>2001</v>
      </c>
      <c r="E37" s="32">
        <v>2</v>
      </c>
      <c r="F37" s="6">
        <v>1000</v>
      </c>
      <c r="G37" s="6">
        <f t="shared" ref="G37:G45" si="3">G36+200</f>
        <v>2200</v>
      </c>
      <c r="H37" s="6">
        <v>1</v>
      </c>
    </row>
    <row r="38" spans="1:11" ht="16.5" customHeight="1">
      <c r="A38" s="6">
        <v>800</v>
      </c>
      <c r="B38" s="8" t="s">
        <v>4385</v>
      </c>
      <c r="C38" s="6">
        <v>3</v>
      </c>
      <c r="D38" s="6">
        <v>2001</v>
      </c>
      <c r="E38" s="32">
        <v>3</v>
      </c>
      <c r="F38" s="6">
        <v>1000</v>
      </c>
      <c r="G38" s="6">
        <f t="shared" si="3"/>
        <v>2400</v>
      </c>
      <c r="H38" s="6">
        <v>1</v>
      </c>
    </row>
    <row r="39" spans="1:11" ht="16.5" customHeight="1">
      <c r="A39" s="6">
        <v>800</v>
      </c>
      <c r="B39" s="8" t="s">
        <v>4386</v>
      </c>
      <c r="C39" s="6">
        <v>4</v>
      </c>
      <c r="D39" s="6">
        <v>2001</v>
      </c>
      <c r="E39" s="32">
        <v>6</v>
      </c>
      <c r="F39" s="6">
        <v>1000</v>
      </c>
      <c r="G39" s="6">
        <f t="shared" si="3"/>
        <v>2600</v>
      </c>
      <c r="H39" s="6">
        <v>1</v>
      </c>
    </row>
    <row r="40" spans="1:11" ht="16.5" customHeight="1">
      <c r="A40" s="6">
        <v>800</v>
      </c>
      <c r="B40" s="8" t="s">
        <v>4387</v>
      </c>
      <c r="C40" s="6">
        <v>5</v>
      </c>
      <c r="D40" s="6">
        <v>2001</v>
      </c>
      <c r="E40" s="32">
        <v>10</v>
      </c>
      <c r="F40" s="6">
        <v>1000</v>
      </c>
      <c r="G40" s="6">
        <f t="shared" si="3"/>
        <v>2800</v>
      </c>
      <c r="H40" s="6">
        <v>1</v>
      </c>
    </row>
    <row r="41" spans="1:11" ht="16.5" customHeight="1">
      <c r="A41" s="6">
        <v>800</v>
      </c>
      <c r="B41" s="8" t="s">
        <v>4388</v>
      </c>
      <c r="C41" s="6">
        <v>6</v>
      </c>
      <c r="D41" s="6">
        <v>2001</v>
      </c>
      <c r="E41" s="32">
        <v>12</v>
      </c>
      <c r="F41" s="6">
        <v>1000</v>
      </c>
      <c r="G41" s="6">
        <f t="shared" si="3"/>
        <v>3000</v>
      </c>
      <c r="H41" s="6">
        <v>1</v>
      </c>
    </row>
    <row r="42" spans="1:11" ht="16.5" customHeight="1">
      <c r="A42" s="6">
        <v>800</v>
      </c>
      <c r="B42" s="8" t="s">
        <v>4389</v>
      </c>
      <c r="C42" s="6">
        <v>7</v>
      </c>
      <c r="D42" s="6">
        <v>2001</v>
      </c>
      <c r="E42" s="32">
        <v>15</v>
      </c>
      <c r="F42" s="6">
        <v>1000</v>
      </c>
      <c r="G42" s="6">
        <f t="shared" si="3"/>
        <v>3200</v>
      </c>
      <c r="H42" s="6">
        <v>1</v>
      </c>
    </row>
    <row r="43" spans="1:11" ht="16.5" customHeight="1">
      <c r="A43" s="6">
        <v>800</v>
      </c>
      <c r="B43" s="8" t="s">
        <v>4390</v>
      </c>
      <c r="C43" s="6">
        <v>8</v>
      </c>
      <c r="D43" s="6">
        <v>2001</v>
      </c>
      <c r="E43" s="32">
        <v>20</v>
      </c>
      <c r="F43" s="6">
        <v>1000</v>
      </c>
      <c r="G43" s="6">
        <f t="shared" si="3"/>
        <v>3400</v>
      </c>
      <c r="H43" s="6">
        <v>0.9</v>
      </c>
    </row>
    <row r="44" spans="1:11" ht="16.5" customHeight="1">
      <c r="A44" s="6">
        <v>800</v>
      </c>
      <c r="B44" s="8" t="s">
        <v>4391</v>
      </c>
      <c r="C44" s="6">
        <v>9</v>
      </c>
      <c r="D44" s="6">
        <v>2001</v>
      </c>
      <c r="E44" s="32">
        <v>25</v>
      </c>
      <c r="F44" s="6">
        <v>1000</v>
      </c>
      <c r="G44" s="6">
        <f t="shared" si="3"/>
        <v>3600</v>
      </c>
      <c r="H44" s="6">
        <v>0.7</v>
      </c>
    </row>
    <row r="45" spans="1:11" ht="16.5" customHeight="1">
      <c r="A45" s="6">
        <v>800</v>
      </c>
      <c r="B45" s="8" t="s">
        <v>4392</v>
      </c>
      <c r="C45" s="6">
        <v>10</v>
      </c>
      <c r="D45" s="6">
        <v>2001</v>
      </c>
      <c r="E45" s="32">
        <v>40</v>
      </c>
      <c r="F45" s="6">
        <v>1000</v>
      </c>
      <c r="G45" s="6">
        <f t="shared" si="3"/>
        <v>3800</v>
      </c>
      <c r="H45" s="6">
        <v>0.5</v>
      </c>
    </row>
    <row r="46" spans="1:11" ht="14.25" customHeight="1">
      <c r="K46" s="3" t="s">
        <v>4458</v>
      </c>
    </row>
    <row r="47" spans="1:11" ht="14.25" customHeight="1">
      <c r="K47" s="7" t="s">
        <v>4459</v>
      </c>
    </row>
    <row r="48" spans="1:11" ht="14.25" customHeight="1">
      <c r="A48" s="40" t="s">
        <v>0</v>
      </c>
      <c r="B48" s="40" t="s">
        <v>1599</v>
      </c>
      <c r="C48" s="40" t="s">
        <v>63</v>
      </c>
      <c r="D48" s="40" t="s">
        <v>4453</v>
      </c>
      <c r="E48" s="40" t="s">
        <v>4454</v>
      </c>
      <c r="F48" s="40" t="s">
        <v>4455</v>
      </c>
      <c r="G48" s="40" t="s">
        <v>4456</v>
      </c>
      <c r="H48" s="40" t="s">
        <v>4457</v>
      </c>
    </row>
    <row r="49" spans="1:12" ht="16.5" customHeight="1">
      <c r="A49" s="6">
        <v>900</v>
      </c>
      <c r="B49" s="8" t="s">
        <v>4460</v>
      </c>
      <c r="C49" s="6">
        <v>1</v>
      </c>
      <c r="D49" s="6">
        <v>-1</v>
      </c>
      <c r="E49" s="32">
        <v>20</v>
      </c>
      <c r="F49" s="6"/>
      <c r="G49" s="6"/>
      <c r="H49" s="6">
        <v>1</v>
      </c>
    </row>
    <row r="50" spans="1:12" ht="16.5" customHeight="1">
      <c r="A50" s="6">
        <v>900</v>
      </c>
      <c r="B50" s="8" t="s">
        <v>4461</v>
      </c>
      <c r="C50" s="6">
        <v>2</v>
      </c>
      <c r="D50" s="6">
        <v>-1</v>
      </c>
      <c r="E50" s="32">
        <v>30</v>
      </c>
      <c r="F50" s="6"/>
      <c r="G50" s="6"/>
      <c r="H50" s="6">
        <v>1</v>
      </c>
    </row>
    <row r="51" spans="1:12" ht="16.5" customHeight="1">
      <c r="A51" s="6">
        <v>900</v>
      </c>
      <c r="B51" s="8" t="s">
        <v>4462</v>
      </c>
      <c r="C51" s="6">
        <v>3</v>
      </c>
      <c r="D51" s="6">
        <v>-1</v>
      </c>
      <c r="E51" s="32">
        <v>40</v>
      </c>
      <c r="F51" s="6"/>
      <c r="G51" s="6"/>
      <c r="H51" s="6">
        <v>1</v>
      </c>
    </row>
    <row r="52" spans="1:12" ht="16.5" customHeight="1">
      <c r="A52" s="6">
        <v>900</v>
      </c>
      <c r="B52" s="8" t="s">
        <v>4463</v>
      </c>
      <c r="C52" s="6">
        <v>4</v>
      </c>
      <c r="D52" s="6">
        <v>-1</v>
      </c>
      <c r="E52" s="32">
        <f t="shared" ref="E52:E57" si="4">E51+10</f>
        <v>50</v>
      </c>
      <c r="F52" s="6"/>
      <c r="G52" s="6"/>
      <c r="H52" s="6">
        <v>1</v>
      </c>
    </row>
    <row r="53" spans="1:12" ht="16.5" customHeight="1">
      <c r="A53" s="6">
        <v>900</v>
      </c>
      <c r="B53" s="8" t="s">
        <v>4464</v>
      </c>
      <c r="C53" s="6">
        <v>5</v>
      </c>
      <c r="D53" s="6">
        <v>-1</v>
      </c>
      <c r="E53" s="32">
        <f t="shared" si="4"/>
        <v>60</v>
      </c>
      <c r="F53" s="6"/>
      <c r="G53" s="6"/>
      <c r="H53" s="6">
        <v>1</v>
      </c>
    </row>
    <row r="54" spans="1:12" ht="16.5" customHeight="1">
      <c r="A54" s="6">
        <v>900</v>
      </c>
      <c r="B54" s="8" t="s">
        <v>4465</v>
      </c>
      <c r="C54" s="6">
        <v>6</v>
      </c>
      <c r="D54" s="6">
        <v>-1</v>
      </c>
      <c r="E54" s="32">
        <f t="shared" si="4"/>
        <v>70</v>
      </c>
      <c r="F54" s="6"/>
      <c r="G54" s="6"/>
      <c r="H54" s="6">
        <v>1</v>
      </c>
    </row>
    <row r="55" spans="1:12" ht="16.5" customHeight="1">
      <c r="A55" s="6">
        <v>900</v>
      </c>
      <c r="B55" s="8" t="s">
        <v>4466</v>
      </c>
      <c r="C55" s="6">
        <v>7</v>
      </c>
      <c r="D55" s="6">
        <v>-1</v>
      </c>
      <c r="E55" s="32">
        <f t="shared" si="4"/>
        <v>80</v>
      </c>
      <c r="F55" s="6"/>
      <c r="G55" s="6"/>
      <c r="H55" s="6">
        <v>1</v>
      </c>
      <c r="K55" s="8" t="s">
        <v>4467</v>
      </c>
      <c r="L55" s="8" t="s">
        <v>4468</v>
      </c>
    </row>
    <row r="56" spans="1:12" ht="16.5" customHeight="1">
      <c r="A56" s="6">
        <v>900</v>
      </c>
      <c r="B56" s="8" t="s">
        <v>4469</v>
      </c>
      <c r="C56" s="6">
        <v>8</v>
      </c>
      <c r="D56" s="6">
        <v>-1</v>
      </c>
      <c r="E56" s="32">
        <f t="shared" si="4"/>
        <v>90</v>
      </c>
      <c r="F56" s="6"/>
      <c r="G56" s="6"/>
      <c r="H56" s="6">
        <v>1</v>
      </c>
      <c r="K56" s="6" t="s">
        <v>75</v>
      </c>
      <c r="L56" s="6">
        <v>30</v>
      </c>
    </row>
    <row r="57" spans="1:12" ht="16.5" customHeight="1">
      <c r="A57" s="6">
        <v>900</v>
      </c>
      <c r="B57" s="8" t="s">
        <v>4470</v>
      </c>
      <c r="C57" s="6">
        <v>9</v>
      </c>
      <c r="D57" s="6">
        <v>-1</v>
      </c>
      <c r="E57" s="32">
        <f t="shared" si="4"/>
        <v>100</v>
      </c>
      <c r="F57" s="6"/>
      <c r="G57" s="6"/>
      <c r="H57" s="6">
        <v>1</v>
      </c>
      <c r="K57" s="6" t="s">
        <v>77</v>
      </c>
      <c r="L57" s="6">
        <v>10</v>
      </c>
    </row>
    <row r="58" spans="1:12" ht="16.5" customHeight="1">
      <c r="A58" s="6">
        <v>900</v>
      </c>
      <c r="B58" s="8" t="s">
        <v>4471</v>
      </c>
      <c r="C58" s="6">
        <v>10</v>
      </c>
      <c r="D58" s="6">
        <v>-1</v>
      </c>
      <c r="E58" s="32">
        <v>120</v>
      </c>
      <c r="F58" s="6"/>
      <c r="G58" s="6"/>
      <c r="H58" s="6">
        <v>1</v>
      </c>
      <c r="K58" s="6" t="s">
        <v>79</v>
      </c>
      <c r="L58" s="6">
        <v>5</v>
      </c>
    </row>
    <row r="61" spans="1:12" ht="14.25" customHeight="1">
      <c r="A61" s="40" t="s">
        <v>0</v>
      </c>
      <c r="B61" s="40" t="s">
        <v>1599</v>
      </c>
      <c r="C61" s="40" t="s">
        <v>63</v>
      </c>
      <c r="D61" s="40" t="s">
        <v>4453</v>
      </c>
      <c r="E61" s="40" t="s">
        <v>4454</v>
      </c>
      <c r="F61" s="40" t="s">
        <v>4455</v>
      </c>
      <c r="G61" s="40" t="s">
        <v>4456</v>
      </c>
      <c r="H61" s="40" t="s">
        <v>4457</v>
      </c>
    </row>
    <row r="62" spans="1:12" ht="16.5" customHeight="1">
      <c r="A62" s="6">
        <v>910</v>
      </c>
      <c r="B62" s="8" t="s">
        <v>4472</v>
      </c>
      <c r="C62" s="6">
        <v>1</v>
      </c>
      <c r="D62" s="6">
        <v>9000</v>
      </c>
      <c r="E62" s="32">
        <v>20</v>
      </c>
      <c r="F62" s="6"/>
      <c r="G62" s="6"/>
      <c r="H62" s="6">
        <v>1</v>
      </c>
    </row>
    <row r="63" spans="1:12" ht="16.5" customHeight="1">
      <c r="A63" s="6">
        <v>910</v>
      </c>
      <c r="B63" s="8" t="s">
        <v>4461</v>
      </c>
      <c r="C63" s="6">
        <v>2</v>
      </c>
      <c r="D63" s="6">
        <v>9000</v>
      </c>
      <c r="E63" s="32">
        <v>30</v>
      </c>
      <c r="F63" s="6"/>
      <c r="G63" s="6"/>
      <c r="H63" s="6">
        <v>1</v>
      </c>
    </row>
    <row r="64" spans="1:12" ht="16.5" customHeight="1">
      <c r="A64" s="6">
        <v>910</v>
      </c>
      <c r="B64" s="8" t="s">
        <v>4462</v>
      </c>
      <c r="C64" s="6">
        <v>3</v>
      </c>
      <c r="D64" s="6">
        <v>9000</v>
      </c>
      <c r="E64" s="32">
        <v>40</v>
      </c>
      <c r="F64" s="6"/>
      <c r="G64" s="6"/>
      <c r="H64" s="6">
        <v>1</v>
      </c>
    </row>
    <row r="65" spans="1:8" ht="16.5" customHeight="1">
      <c r="A65" s="6">
        <v>910</v>
      </c>
      <c r="B65" s="8" t="s">
        <v>4463</v>
      </c>
      <c r="C65" s="6">
        <v>4</v>
      </c>
      <c r="D65" s="6">
        <v>9000</v>
      </c>
      <c r="E65" s="32">
        <f t="shared" ref="E65:E70" si="5">E64+10</f>
        <v>50</v>
      </c>
      <c r="F65" s="6"/>
      <c r="G65" s="6"/>
      <c r="H65" s="6">
        <v>1</v>
      </c>
    </row>
    <row r="66" spans="1:8" ht="16.5" customHeight="1">
      <c r="A66" s="6">
        <v>910</v>
      </c>
      <c r="B66" s="8" t="s">
        <v>4464</v>
      </c>
      <c r="C66" s="6">
        <v>5</v>
      </c>
      <c r="D66" s="6">
        <v>9000</v>
      </c>
      <c r="E66" s="32">
        <f t="shared" si="5"/>
        <v>60</v>
      </c>
      <c r="F66" s="6"/>
      <c r="G66" s="6"/>
      <c r="H66" s="6">
        <v>1</v>
      </c>
    </row>
    <row r="67" spans="1:8" ht="16.5" customHeight="1">
      <c r="A67" s="6">
        <v>910</v>
      </c>
      <c r="B67" s="8" t="s">
        <v>4465</v>
      </c>
      <c r="C67" s="6">
        <v>6</v>
      </c>
      <c r="D67" s="6">
        <v>9000</v>
      </c>
      <c r="E67" s="32">
        <f t="shared" si="5"/>
        <v>70</v>
      </c>
      <c r="F67" s="6"/>
      <c r="G67" s="6"/>
      <c r="H67" s="6">
        <v>1</v>
      </c>
    </row>
    <row r="68" spans="1:8" ht="16.5" customHeight="1">
      <c r="A68" s="6">
        <v>910</v>
      </c>
      <c r="B68" s="8" t="s">
        <v>4466</v>
      </c>
      <c r="C68" s="6">
        <v>7</v>
      </c>
      <c r="D68" s="6">
        <v>9000</v>
      </c>
      <c r="E68" s="32">
        <f t="shared" si="5"/>
        <v>80</v>
      </c>
      <c r="F68" s="6"/>
      <c r="G68" s="6"/>
      <c r="H68" s="6">
        <v>1</v>
      </c>
    </row>
    <row r="69" spans="1:8" ht="16.5" customHeight="1">
      <c r="A69" s="6">
        <v>910</v>
      </c>
      <c r="B69" s="8" t="s">
        <v>4469</v>
      </c>
      <c r="C69" s="6">
        <v>8</v>
      </c>
      <c r="D69" s="6">
        <v>9000</v>
      </c>
      <c r="E69" s="32">
        <f t="shared" si="5"/>
        <v>90</v>
      </c>
      <c r="F69" s="6"/>
      <c r="G69" s="6"/>
      <c r="H69" s="6">
        <v>1</v>
      </c>
    </row>
    <row r="70" spans="1:8" ht="16.5" customHeight="1">
      <c r="A70" s="6">
        <v>910</v>
      </c>
      <c r="B70" s="8" t="s">
        <v>4470</v>
      </c>
      <c r="C70" s="6">
        <v>9</v>
      </c>
      <c r="D70" s="6">
        <v>9000</v>
      </c>
      <c r="E70" s="32">
        <f t="shared" si="5"/>
        <v>100</v>
      </c>
      <c r="F70" s="6"/>
      <c r="G70" s="6"/>
      <c r="H70" s="6">
        <v>1</v>
      </c>
    </row>
    <row r="71" spans="1:8" ht="16.5" customHeight="1">
      <c r="A71" s="6">
        <v>910</v>
      </c>
      <c r="B71" s="8" t="s">
        <v>4471</v>
      </c>
      <c r="C71" s="6">
        <v>10</v>
      </c>
      <c r="D71" s="6">
        <v>9000</v>
      </c>
      <c r="E71" s="32">
        <v>120</v>
      </c>
      <c r="F71" s="6"/>
      <c r="G71" s="6"/>
      <c r="H71" s="6">
        <v>1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L44"/>
  <sheetViews>
    <sheetView topLeftCell="A12" zoomScaleNormal="100" workbookViewId="0">
      <selection activeCell="A42" sqref="A42"/>
    </sheetView>
  </sheetViews>
  <sheetFormatPr defaultColWidth="12.5703125" defaultRowHeight="12.75"/>
  <cols>
    <col min="3" max="3" width="19.5703125" customWidth="1"/>
    <col min="11" max="11" width="30.28515625" customWidth="1"/>
  </cols>
  <sheetData>
    <row r="1" spans="1:12" ht="14.25" customHeight="1">
      <c r="A1" s="40" t="s">
        <v>0</v>
      </c>
      <c r="B1" s="40" t="s">
        <v>1</v>
      </c>
      <c r="C1" s="40" t="s">
        <v>4473</v>
      </c>
    </row>
    <row r="2" spans="1:12" ht="15.75" customHeight="1">
      <c r="A2" s="6">
        <v>1</v>
      </c>
      <c r="B2" s="55" t="s">
        <v>337</v>
      </c>
      <c r="C2" s="6" t="s">
        <v>4474</v>
      </c>
    </row>
    <row r="3" spans="1:12" ht="14.25" customHeight="1">
      <c r="A3" s="6">
        <v>2</v>
      </c>
      <c r="B3" s="6" t="s">
        <v>298</v>
      </c>
      <c r="C3" s="8" t="s">
        <v>4475</v>
      </c>
    </row>
    <row r="4" spans="1:12" ht="14.25" customHeight="1">
      <c r="A4" s="6">
        <v>3</v>
      </c>
      <c r="B4" s="6" t="s">
        <v>272</v>
      </c>
      <c r="C4" s="6" t="s">
        <v>4476</v>
      </c>
    </row>
    <row r="5" spans="1:12" ht="15.75" customHeight="1">
      <c r="A5" s="6">
        <v>4</v>
      </c>
      <c r="B5" s="55" t="s">
        <v>338</v>
      </c>
      <c r="C5" s="6" t="s">
        <v>4477</v>
      </c>
    </row>
    <row r="6" spans="1:12" ht="14.25" customHeight="1">
      <c r="A6" s="6">
        <v>5</v>
      </c>
      <c r="B6" s="6" t="s">
        <v>4478</v>
      </c>
      <c r="C6" s="6" t="s">
        <v>4479</v>
      </c>
    </row>
    <row r="7" spans="1:12" ht="14.25" customHeight="1">
      <c r="A7" s="6">
        <v>6</v>
      </c>
      <c r="B7" s="6" t="s">
        <v>273</v>
      </c>
      <c r="C7" s="6" t="s">
        <v>4480</v>
      </c>
    </row>
    <row r="8" spans="1:12" ht="14.25" customHeight="1">
      <c r="A8" s="6">
        <v>7</v>
      </c>
      <c r="B8" s="6" t="s">
        <v>443</v>
      </c>
      <c r="C8" s="6" t="s">
        <v>4481</v>
      </c>
    </row>
    <row r="9" spans="1:12" ht="15.75" customHeight="1">
      <c r="A9" s="6">
        <v>8</v>
      </c>
      <c r="B9" s="55" t="s">
        <v>317</v>
      </c>
      <c r="C9" s="6" t="s">
        <v>4482</v>
      </c>
    </row>
    <row r="10" spans="1:12" ht="15.75" customHeight="1">
      <c r="A10" s="6">
        <v>9</v>
      </c>
      <c r="B10" s="55" t="s">
        <v>442</v>
      </c>
      <c r="C10" s="6" t="s">
        <v>4483</v>
      </c>
      <c r="L10" s="7"/>
    </row>
    <row r="11" spans="1:12" ht="15.75" customHeight="1">
      <c r="A11" s="6">
        <v>10</v>
      </c>
      <c r="B11" s="6" t="s">
        <v>458</v>
      </c>
      <c r="C11" s="6" t="s">
        <v>4484</v>
      </c>
      <c r="G11" s="85"/>
    </row>
    <row r="12" spans="1:12" ht="15.75" customHeight="1">
      <c r="A12" s="6">
        <v>11</v>
      </c>
      <c r="B12" s="6" t="s">
        <v>383</v>
      </c>
      <c r="C12" s="8" t="s">
        <v>4485</v>
      </c>
      <c r="G12" s="85"/>
    </row>
    <row r="13" spans="1:12" ht="15.75" customHeight="1">
      <c r="A13" s="6">
        <v>12</v>
      </c>
      <c r="B13" s="6" t="s">
        <v>4486</v>
      </c>
      <c r="C13" s="8" t="s">
        <v>4487</v>
      </c>
      <c r="G13" s="85"/>
    </row>
    <row r="14" spans="1:12" ht="15.75" customHeight="1">
      <c r="A14" s="6">
        <v>13</v>
      </c>
      <c r="B14" s="6" t="s">
        <v>271</v>
      </c>
      <c r="C14" s="8" t="s">
        <v>4488</v>
      </c>
      <c r="G14" s="85"/>
    </row>
    <row r="15" spans="1:12" ht="15.75" customHeight="1">
      <c r="A15" s="6">
        <v>14</v>
      </c>
      <c r="B15" s="6" t="s">
        <v>316</v>
      </c>
      <c r="C15" s="8" t="s">
        <v>4489</v>
      </c>
      <c r="G15" s="85"/>
    </row>
    <row r="16" spans="1:12" ht="15.75" customHeight="1">
      <c r="A16" s="6">
        <v>15</v>
      </c>
      <c r="B16" s="6" t="s">
        <v>367</v>
      </c>
      <c r="C16" s="8" t="s">
        <v>4490</v>
      </c>
      <c r="G16" s="85"/>
    </row>
    <row r="17" spans="1:7" ht="15.75" customHeight="1">
      <c r="A17" s="6">
        <v>16</v>
      </c>
      <c r="B17" s="6" t="s">
        <v>336</v>
      </c>
      <c r="C17" s="8" t="s">
        <v>4491</v>
      </c>
      <c r="G17" s="85"/>
    </row>
    <row r="18" spans="1:7" ht="15.75" customHeight="1">
      <c r="A18" s="6">
        <v>17</v>
      </c>
      <c r="B18" s="6" t="s">
        <v>270</v>
      </c>
      <c r="C18" s="8" t="s">
        <v>4492</v>
      </c>
      <c r="G18" s="85"/>
    </row>
    <row r="19" spans="1:7" ht="15.75" customHeight="1">
      <c r="A19" s="6">
        <v>18</v>
      </c>
      <c r="B19" s="6" t="s">
        <v>274</v>
      </c>
      <c r="C19" s="8" t="s">
        <v>4493</v>
      </c>
      <c r="G19" s="85"/>
    </row>
    <row r="20" spans="1:7" ht="15.75" customHeight="1">
      <c r="A20" s="6">
        <v>19</v>
      </c>
      <c r="B20" s="6" t="s">
        <v>299</v>
      </c>
      <c r="C20" s="8" t="s">
        <v>4494</v>
      </c>
      <c r="G20" s="85"/>
    </row>
    <row r="21" spans="1:7" ht="15.75" customHeight="1">
      <c r="A21" s="6">
        <v>20</v>
      </c>
      <c r="B21" s="6" t="s">
        <v>384</v>
      </c>
      <c r="C21" s="8" t="s">
        <v>4495</v>
      </c>
      <c r="G21" s="85"/>
    </row>
    <row r="22" spans="1:7" ht="15.75" customHeight="1">
      <c r="A22" s="6">
        <v>51</v>
      </c>
      <c r="B22" s="6" t="s">
        <v>366</v>
      </c>
      <c r="C22" s="8" t="s">
        <v>4496</v>
      </c>
      <c r="G22" s="85"/>
    </row>
    <row r="23" spans="1:7" ht="15.75" customHeight="1">
      <c r="A23" s="6">
        <v>52</v>
      </c>
      <c r="B23" s="6" t="s">
        <v>414</v>
      </c>
      <c r="C23" s="8" t="s">
        <v>4496</v>
      </c>
      <c r="G23" s="85"/>
    </row>
    <row r="24" spans="1:7" ht="15.75" customHeight="1">
      <c r="A24" s="6">
        <v>53</v>
      </c>
      <c r="B24" s="6" t="s">
        <v>300</v>
      </c>
      <c r="C24" s="8" t="s">
        <v>4496</v>
      </c>
      <c r="G24" s="85"/>
    </row>
    <row r="25" spans="1:7" ht="15.75" customHeight="1">
      <c r="A25" s="6">
        <v>54</v>
      </c>
      <c r="B25" s="55" t="s">
        <v>318</v>
      </c>
      <c r="C25" s="8" t="s">
        <v>4496</v>
      </c>
      <c r="G25" s="85"/>
    </row>
    <row r="26" spans="1:7" ht="15.75" customHeight="1">
      <c r="A26" s="6">
        <v>55</v>
      </c>
      <c r="B26" s="55" t="s">
        <v>290</v>
      </c>
      <c r="C26" s="8" t="s">
        <v>4496</v>
      </c>
      <c r="G26" s="85"/>
    </row>
    <row r="27" spans="1:7" ht="15.75" customHeight="1">
      <c r="A27" s="6">
        <v>56</v>
      </c>
      <c r="B27" s="6" t="s">
        <v>297</v>
      </c>
      <c r="C27" s="8" t="s">
        <v>4497</v>
      </c>
      <c r="G27" s="85"/>
    </row>
    <row r="28" spans="1:7" ht="15.75" customHeight="1">
      <c r="A28" s="6">
        <v>57</v>
      </c>
      <c r="B28" s="6" t="s">
        <v>335</v>
      </c>
      <c r="C28" s="8" t="s">
        <v>4497</v>
      </c>
      <c r="G28" s="85"/>
    </row>
    <row r="29" spans="1:7" ht="15.75" customHeight="1">
      <c r="A29" s="6">
        <v>58</v>
      </c>
      <c r="B29" s="6" t="s">
        <v>269</v>
      </c>
      <c r="C29" s="8" t="s">
        <v>4497</v>
      </c>
      <c r="G29" s="85"/>
    </row>
    <row r="30" spans="1:7" ht="14.25" customHeight="1">
      <c r="A30" s="6">
        <v>59</v>
      </c>
      <c r="B30" s="6" t="s">
        <v>400</v>
      </c>
      <c r="C30" s="8" t="s">
        <v>4497</v>
      </c>
    </row>
    <row r="31" spans="1:7" ht="15.75" customHeight="1">
      <c r="A31" s="6">
        <v>60</v>
      </c>
      <c r="B31" s="6" t="s">
        <v>605</v>
      </c>
      <c r="C31" s="8" t="s">
        <v>4497</v>
      </c>
      <c r="G31" s="85"/>
    </row>
    <row r="32" spans="1:7" ht="14.25" customHeight="1">
      <c r="A32" s="6">
        <v>61</v>
      </c>
      <c r="B32" s="6" t="s">
        <v>477</v>
      </c>
      <c r="C32" s="8" t="s">
        <v>4497</v>
      </c>
    </row>
    <row r="33" spans="1:7" ht="15.75" customHeight="1">
      <c r="G33" s="85"/>
    </row>
    <row r="34" spans="1:7">
      <c r="A34">
        <v>62</v>
      </c>
      <c r="B34" t="s">
        <v>4498</v>
      </c>
      <c r="C34" t="s">
        <v>4499</v>
      </c>
    </row>
    <row r="35" spans="1:7">
      <c r="A35">
        <v>63</v>
      </c>
      <c r="B35" t="s">
        <v>4500</v>
      </c>
      <c r="C35" t="s">
        <v>4499</v>
      </c>
    </row>
    <row r="36" spans="1:7">
      <c r="A36">
        <v>64</v>
      </c>
      <c r="B36" t="s">
        <v>4501</v>
      </c>
      <c r="C36" t="s">
        <v>4499</v>
      </c>
    </row>
    <row r="37" spans="1:7">
      <c r="A37">
        <v>65</v>
      </c>
      <c r="B37" t="s">
        <v>4502</v>
      </c>
      <c r="C37" t="s">
        <v>4499</v>
      </c>
    </row>
    <row r="38" spans="1:7">
      <c r="A38">
        <v>66</v>
      </c>
      <c r="B38" t="s">
        <v>4503</v>
      </c>
      <c r="C38" t="s">
        <v>4499</v>
      </c>
    </row>
    <row r="39" spans="1:7">
      <c r="A39">
        <v>67</v>
      </c>
      <c r="B39" t="s">
        <v>4504</v>
      </c>
      <c r="C39" t="s">
        <v>4499</v>
      </c>
    </row>
    <row r="40" spans="1:7">
      <c r="A40">
        <v>68</v>
      </c>
      <c r="B40" t="s">
        <v>4505</v>
      </c>
      <c r="C40" t="s">
        <v>4499</v>
      </c>
    </row>
    <row r="41" spans="1:7">
      <c r="A41">
        <v>69</v>
      </c>
      <c r="B41" t="s">
        <v>4506</v>
      </c>
      <c r="C41" t="s">
        <v>4499</v>
      </c>
    </row>
    <row r="42" spans="1:7" ht="13.5">
      <c r="A42">
        <v>21</v>
      </c>
      <c r="B42" s="146" t="s">
        <v>4543</v>
      </c>
    </row>
    <row r="43" spans="1:7" ht="13.5">
      <c r="A43">
        <v>22</v>
      </c>
      <c r="B43" s="146" t="s">
        <v>4544</v>
      </c>
    </row>
    <row r="44" spans="1:7" ht="13.5">
      <c r="A44">
        <v>23</v>
      </c>
      <c r="B44" s="146" t="s">
        <v>4545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7"/>
  <sheetViews>
    <sheetView zoomScaleNormal="100" workbookViewId="0"/>
  </sheetViews>
  <sheetFormatPr defaultColWidth="12.5703125" defaultRowHeight="12.75"/>
  <sheetData>
    <row r="1" spans="1:3" ht="14.25" customHeight="1">
      <c r="A1" s="6" t="s">
        <v>4507</v>
      </c>
      <c r="B1" s="6" t="s">
        <v>1</v>
      </c>
      <c r="C1" s="6" t="s">
        <v>4508</v>
      </c>
    </row>
    <row r="2" spans="1:3" ht="14.25" customHeight="1">
      <c r="A2" s="6">
        <v>1</v>
      </c>
      <c r="B2" s="4" t="s">
        <v>4509</v>
      </c>
      <c r="C2" s="6">
        <v>90001</v>
      </c>
    </row>
    <row r="3" spans="1:3" ht="14.25" customHeight="1">
      <c r="A3" s="6">
        <v>2</v>
      </c>
      <c r="B3" s="4" t="s">
        <v>4510</v>
      </c>
      <c r="C3" s="6">
        <f>C2+1</f>
        <v>90002</v>
      </c>
    </row>
    <row r="4" spans="1:3" ht="14.25" customHeight="1">
      <c r="A4" s="6">
        <v>3</v>
      </c>
      <c r="B4" s="4" t="s">
        <v>4511</v>
      </c>
      <c r="C4" s="6">
        <f>C3+1</f>
        <v>90003</v>
      </c>
    </row>
    <row r="5" spans="1:3" ht="14.25" customHeight="1">
      <c r="A5" s="6">
        <v>4</v>
      </c>
      <c r="B5" s="4" t="s">
        <v>4512</v>
      </c>
      <c r="C5" s="6">
        <f>C4+1</f>
        <v>90004</v>
      </c>
    </row>
    <row r="6" spans="1:3" ht="14.25" customHeight="1">
      <c r="A6" s="6">
        <v>5</v>
      </c>
      <c r="B6" s="4" t="s">
        <v>4513</v>
      </c>
      <c r="C6" s="6">
        <f>C5+1</f>
        <v>90005</v>
      </c>
    </row>
    <row r="7" spans="1:3" ht="14.25" customHeight="1">
      <c r="A7" s="6">
        <v>6</v>
      </c>
      <c r="B7" s="4" t="s">
        <v>4514</v>
      </c>
      <c r="C7" s="6">
        <f>C6+1</f>
        <v>90006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5:J95"/>
  <sheetViews>
    <sheetView topLeftCell="A5" zoomScaleNormal="100" workbookViewId="0">
      <selection activeCell="J14" sqref="J14"/>
    </sheetView>
  </sheetViews>
  <sheetFormatPr defaultColWidth="12.5703125" defaultRowHeight="12.75"/>
  <cols>
    <col min="3" max="3" width="26" customWidth="1"/>
    <col min="4" max="4" width="13.85546875" customWidth="1"/>
    <col min="5" max="5" width="23" customWidth="1"/>
    <col min="8" max="8" width="14.85546875" customWidth="1"/>
    <col min="10" max="10" width="19.28515625" customWidth="1"/>
  </cols>
  <sheetData>
    <row r="5" spans="1:10" ht="14.25" customHeight="1">
      <c r="A5" s="52" t="s">
        <v>0</v>
      </c>
      <c r="B5" s="52" t="s">
        <v>4507</v>
      </c>
      <c r="C5" s="52" t="s">
        <v>4515</v>
      </c>
      <c r="D5" s="52" t="s">
        <v>4516</v>
      </c>
      <c r="E5" s="52" t="s">
        <v>4517</v>
      </c>
      <c r="F5" s="52" t="s">
        <v>4518</v>
      </c>
      <c r="G5" s="52" t="s">
        <v>3660</v>
      </c>
      <c r="H5" s="52" t="s">
        <v>4519</v>
      </c>
    </row>
    <row r="6" spans="1:10" ht="114" customHeight="1">
      <c r="A6" s="52">
        <v>100</v>
      </c>
      <c r="B6" s="52">
        <v>1</v>
      </c>
      <c r="C6" s="1" t="s">
        <v>4532</v>
      </c>
      <c r="D6" s="52"/>
      <c r="E6" s="142" t="s">
        <v>4539</v>
      </c>
      <c r="F6" s="52">
        <v>5</v>
      </c>
      <c r="G6" s="52">
        <f t="shared" ref="G6:G37" si="0">A6+7900</f>
        <v>8000</v>
      </c>
      <c r="H6" s="52"/>
    </row>
    <row r="7" spans="1:10" ht="14.25" customHeight="1">
      <c r="A7" s="52">
        <f t="shared" ref="A7:A38" si="1">A6+1</f>
        <v>101</v>
      </c>
      <c r="B7" s="52">
        <v>1</v>
      </c>
      <c r="C7" s="143" t="s">
        <v>4533</v>
      </c>
      <c r="D7" s="52">
        <v>100</v>
      </c>
      <c r="E7" s="52"/>
      <c r="F7" s="52">
        <v>7</v>
      </c>
      <c r="G7" s="52">
        <f t="shared" si="0"/>
        <v>8001</v>
      </c>
      <c r="H7" s="52"/>
    </row>
    <row r="8" spans="1:10" ht="14.25" customHeight="1">
      <c r="A8" s="52">
        <f t="shared" si="1"/>
        <v>102</v>
      </c>
      <c r="B8" s="52">
        <v>1</v>
      </c>
      <c r="C8" s="143" t="s">
        <v>4534</v>
      </c>
      <c r="D8" s="52">
        <v>100</v>
      </c>
      <c r="E8" s="52"/>
      <c r="F8" s="52">
        <v>7</v>
      </c>
      <c r="G8" s="52">
        <f t="shared" si="0"/>
        <v>8002</v>
      </c>
      <c r="H8" s="52"/>
    </row>
    <row r="9" spans="1:10" ht="14.25" customHeight="1">
      <c r="A9" s="52">
        <f t="shared" si="1"/>
        <v>103</v>
      </c>
      <c r="B9" s="52">
        <v>1</v>
      </c>
      <c r="C9" s="143" t="s">
        <v>4535</v>
      </c>
      <c r="D9" s="52">
        <v>101</v>
      </c>
      <c r="E9" s="52"/>
      <c r="F9" s="52">
        <v>9</v>
      </c>
      <c r="G9" s="52">
        <f t="shared" si="0"/>
        <v>8003</v>
      </c>
      <c r="H9" s="52"/>
      <c r="J9" s="2"/>
    </row>
    <row r="10" spans="1:10" ht="14.25" customHeight="1">
      <c r="A10" s="52">
        <f t="shared" si="1"/>
        <v>104</v>
      </c>
      <c r="B10" s="52">
        <v>1</v>
      </c>
      <c r="C10" s="143" t="s">
        <v>4536</v>
      </c>
      <c r="D10" s="52">
        <v>102</v>
      </c>
      <c r="E10" s="52"/>
      <c r="F10" s="52">
        <v>11</v>
      </c>
      <c r="G10" s="52">
        <f t="shared" si="0"/>
        <v>8004</v>
      </c>
      <c r="H10" s="52"/>
    </row>
    <row r="11" spans="1:10" ht="14.25" customHeight="1">
      <c r="A11" s="52">
        <f t="shared" si="1"/>
        <v>105</v>
      </c>
      <c r="B11" s="52">
        <v>1</v>
      </c>
      <c r="C11" s="143" t="s">
        <v>4537</v>
      </c>
      <c r="D11" s="52">
        <v>103</v>
      </c>
      <c r="E11" s="52"/>
      <c r="F11" s="52">
        <v>13</v>
      </c>
      <c r="G11" s="52">
        <f t="shared" si="0"/>
        <v>8005</v>
      </c>
      <c r="H11" s="52"/>
    </row>
    <row r="12" spans="1:10" ht="14.25" customHeight="1">
      <c r="A12" s="52">
        <f t="shared" si="1"/>
        <v>106</v>
      </c>
      <c r="B12" s="52">
        <v>1</v>
      </c>
      <c r="C12" s="143" t="s">
        <v>4538</v>
      </c>
      <c r="D12" s="52">
        <v>104</v>
      </c>
      <c r="E12" s="52"/>
      <c r="F12" s="52">
        <v>12</v>
      </c>
      <c r="G12" s="52">
        <f t="shared" si="0"/>
        <v>8006</v>
      </c>
      <c r="H12" s="52"/>
    </row>
    <row r="13" spans="1:10" ht="14.25" customHeight="1">
      <c r="A13" s="52">
        <f t="shared" si="1"/>
        <v>107</v>
      </c>
      <c r="B13" s="52">
        <v>1</v>
      </c>
      <c r="C13" s="1" t="s">
        <v>1392</v>
      </c>
      <c r="D13" s="52" t="str">
        <f>"105,106"</f>
        <v>105,106</v>
      </c>
      <c r="E13" s="52"/>
      <c r="F13" s="52">
        <v>8</v>
      </c>
      <c r="G13" s="52">
        <f t="shared" si="0"/>
        <v>8007</v>
      </c>
      <c r="H13" s="52"/>
    </row>
    <row r="14" spans="1:10" ht="14.25" customHeight="1">
      <c r="A14" s="52">
        <v>108</v>
      </c>
      <c r="B14" s="52">
        <v>1</v>
      </c>
      <c r="C14" s="144" t="s">
        <v>4540</v>
      </c>
      <c r="D14" s="52">
        <v>107</v>
      </c>
      <c r="E14" s="52"/>
      <c r="F14" s="52">
        <v>10</v>
      </c>
      <c r="G14" s="52">
        <v>8008</v>
      </c>
      <c r="H14" s="52"/>
    </row>
    <row r="15" spans="1:10" ht="14.25" customHeight="1">
      <c r="A15" s="52">
        <v>109</v>
      </c>
      <c r="B15" s="52">
        <v>1</v>
      </c>
      <c r="C15" s="143" t="s">
        <v>4541</v>
      </c>
      <c r="D15" s="52">
        <v>107</v>
      </c>
      <c r="E15" s="52"/>
      <c r="F15" s="52">
        <v>15</v>
      </c>
      <c r="G15" s="52">
        <v>8009</v>
      </c>
      <c r="H15" s="52"/>
    </row>
    <row r="16" spans="1:10" ht="14.25" customHeight="1">
      <c r="A16" s="52"/>
      <c r="B16" s="52"/>
      <c r="C16" s="1"/>
      <c r="D16" s="58"/>
      <c r="E16" s="52"/>
      <c r="F16" s="52"/>
      <c r="G16" s="52"/>
      <c r="H16" s="52"/>
    </row>
    <row r="17" spans="1:8" ht="14.25" customHeight="1">
      <c r="A17" s="52"/>
      <c r="B17" s="52"/>
      <c r="C17" s="1"/>
      <c r="D17" s="58"/>
      <c r="E17" s="52"/>
      <c r="F17" s="52"/>
      <c r="G17" s="52"/>
      <c r="H17" s="52"/>
    </row>
    <row r="18" spans="1:8" ht="14.25" customHeight="1">
      <c r="A18" s="52"/>
      <c r="B18" s="52"/>
      <c r="C18" s="1"/>
      <c r="D18" s="58"/>
      <c r="E18" s="52"/>
      <c r="F18" s="52"/>
      <c r="G18" s="52"/>
      <c r="H18" s="52"/>
    </row>
    <row r="19" spans="1:8" ht="14.25" customHeight="1">
      <c r="A19" s="52"/>
      <c r="B19" s="52"/>
      <c r="C19" s="1"/>
      <c r="D19" s="58"/>
      <c r="E19" s="52"/>
      <c r="F19" s="52"/>
      <c r="G19" s="52"/>
      <c r="H19" s="52"/>
    </row>
    <row r="20" spans="1:8" ht="14.25" customHeight="1">
      <c r="A20" s="52"/>
      <c r="B20" s="52"/>
      <c r="C20" s="1"/>
      <c r="D20" s="58"/>
      <c r="E20" s="52"/>
      <c r="F20" s="52"/>
      <c r="G20" s="52"/>
      <c r="H20" s="52"/>
    </row>
    <row r="21" spans="1:8" ht="114" customHeight="1">
      <c r="A21" s="52">
        <f t="shared" si="1"/>
        <v>1</v>
      </c>
      <c r="B21" s="52">
        <v>2</v>
      </c>
      <c r="C21" s="1" t="s">
        <v>4520</v>
      </c>
      <c r="D21" s="52"/>
      <c r="E21" s="125" t="s">
        <v>4521</v>
      </c>
      <c r="F21" s="52">
        <v>5</v>
      </c>
      <c r="G21" s="52">
        <f t="shared" si="0"/>
        <v>7901</v>
      </c>
      <c r="H21" s="52"/>
    </row>
    <row r="22" spans="1:8" ht="14.25" customHeight="1">
      <c r="A22" s="52">
        <f t="shared" si="1"/>
        <v>2</v>
      </c>
      <c r="B22" s="52">
        <v>2</v>
      </c>
      <c r="C22" s="1" t="s">
        <v>4520</v>
      </c>
      <c r="D22" s="52">
        <f>D7+15</f>
        <v>115</v>
      </c>
      <c r="E22" s="52"/>
      <c r="F22" s="52">
        <v>7</v>
      </c>
      <c r="G22" s="52">
        <f t="shared" si="0"/>
        <v>7902</v>
      </c>
      <c r="H22" s="52"/>
    </row>
    <row r="23" spans="1:8" ht="14.25" customHeight="1">
      <c r="A23" s="52">
        <f t="shared" si="1"/>
        <v>3</v>
      </c>
      <c r="B23" s="52">
        <v>2</v>
      </c>
      <c r="C23" s="1" t="s">
        <v>4520</v>
      </c>
      <c r="D23" s="52">
        <f>D8+15</f>
        <v>115</v>
      </c>
      <c r="E23" s="52"/>
      <c r="F23" s="52">
        <f t="shared" ref="F23:F35" si="2">F22+5</f>
        <v>12</v>
      </c>
      <c r="G23" s="52">
        <f t="shared" si="0"/>
        <v>7903</v>
      </c>
      <c r="H23" s="52"/>
    </row>
    <row r="24" spans="1:8" ht="14.25" customHeight="1">
      <c r="A24" s="52">
        <f t="shared" si="1"/>
        <v>4</v>
      </c>
      <c r="B24" s="52">
        <v>2</v>
      </c>
      <c r="C24" s="1" t="s">
        <v>4520</v>
      </c>
      <c r="D24" s="52">
        <f>D9+15</f>
        <v>116</v>
      </c>
      <c r="E24" s="52"/>
      <c r="F24" s="52">
        <f t="shared" si="2"/>
        <v>17</v>
      </c>
      <c r="G24" s="52">
        <f t="shared" si="0"/>
        <v>7904</v>
      </c>
      <c r="H24" s="52"/>
    </row>
    <row r="25" spans="1:8" ht="14.25" customHeight="1">
      <c r="A25" s="52">
        <f t="shared" si="1"/>
        <v>5</v>
      </c>
      <c r="B25" s="52">
        <v>2</v>
      </c>
      <c r="C25" s="1" t="s">
        <v>4520</v>
      </c>
      <c r="D25" s="52">
        <f>D10+15</f>
        <v>117</v>
      </c>
      <c r="E25" s="52"/>
      <c r="F25" s="52">
        <f t="shared" si="2"/>
        <v>22</v>
      </c>
      <c r="G25" s="52">
        <f t="shared" si="0"/>
        <v>7905</v>
      </c>
      <c r="H25" s="52"/>
    </row>
    <row r="26" spans="1:8" ht="14.25" customHeight="1">
      <c r="A26" s="52">
        <f t="shared" si="1"/>
        <v>6</v>
      </c>
      <c r="B26" s="52">
        <v>2</v>
      </c>
      <c r="C26" s="1" t="s">
        <v>4520</v>
      </c>
      <c r="D26" s="52">
        <f>D11+15</f>
        <v>118</v>
      </c>
      <c r="E26" s="52"/>
      <c r="F26" s="52">
        <f t="shared" si="2"/>
        <v>27</v>
      </c>
      <c r="G26" s="52">
        <f t="shared" si="0"/>
        <v>7906</v>
      </c>
      <c r="H26" s="52"/>
    </row>
    <row r="27" spans="1:8" ht="14.25" customHeight="1">
      <c r="A27" s="52">
        <f t="shared" si="1"/>
        <v>7</v>
      </c>
      <c r="B27" s="52">
        <v>2</v>
      </c>
      <c r="C27" s="1" t="s">
        <v>4520</v>
      </c>
      <c r="D27" s="52" t="str">
        <f>"118,119"</f>
        <v>118,119</v>
      </c>
      <c r="E27" s="52"/>
      <c r="F27" s="52">
        <f t="shared" si="2"/>
        <v>32</v>
      </c>
      <c r="G27" s="52">
        <f t="shared" si="0"/>
        <v>7907</v>
      </c>
      <c r="H27" s="52"/>
    </row>
    <row r="28" spans="1:8" ht="14.25" customHeight="1">
      <c r="A28" s="52">
        <f t="shared" si="1"/>
        <v>8</v>
      </c>
      <c r="B28" s="52">
        <v>2</v>
      </c>
      <c r="C28" s="1" t="s">
        <v>4520</v>
      </c>
      <c r="D28" s="52">
        <f>D13+15</f>
        <v>105121</v>
      </c>
      <c r="E28" s="52"/>
      <c r="F28" s="52">
        <f t="shared" si="2"/>
        <v>37</v>
      </c>
      <c r="G28" s="52">
        <f t="shared" si="0"/>
        <v>7908</v>
      </c>
      <c r="H28" s="52"/>
    </row>
    <row r="29" spans="1:8" ht="14.25" customHeight="1">
      <c r="A29" s="52">
        <f t="shared" si="1"/>
        <v>9</v>
      </c>
      <c r="B29" s="52">
        <v>2</v>
      </c>
      <c r="C29" s="1" t="s">
        <v>4520</v>
      </c>
      <c r="D29" s="52" t="str">
        <f>"120,121"</f>
        <v>120,121</v>
      </c>
      <c r="E29" s="52"/>
      <c r="F29" s="52">
        <f t="shared" si="2"/>
        <v>42</v>
      </c>
      <c r="G29" s="52">
        <f t="shared" si="0"/>
        <v>7909</v>
      </c>
      <c r="H29" s="52"/>
    </row>
    <row r="30" spans="1:8" ht="14.25" customHeight="1">
      <c r="A30" s="52">
        <f t="shared" si="1"/>
        <v>10</v>
      </c>
      <c r="B30" s="52">
        <v>2</v>
      </c>
      <c r="C30" s="1" t="s">
        <v>4520</v>
      </c>
      <c r="D30" s="52" t="str">
        <f>"121,122"</f>
        <v>121,122</v>
      </c>
      <c r="E30" s="52"/>
      <c r="F30" s="52">
        <f t="shared" si="2"/>
        <v>47</v>
      </c>
      <c r="G30" s="52">
        <f t="shared" si="0"/>
        <v>7910</v>
      </c>
      <c r="H30" s="52"/>
    </row>
    <row r="31" spans="1:8" ht="14.25" customHeight="1">
      <c r="A31" s="52">
        <f t="shared" si="1"/>
        <v>11</v>
      </c>
      <c r="B31" s="52">
        <v>2</v>
      </c>
      <c r="C31" s="1" t="s">
        <v>4520</v>
      </c>
      <c r="D31" s="58">
        <f>D16+15</f>
        <v>15</v>
      </c>
      <c r="E31" s="52"/>
      <c r="F31" s="52">
        <f t="shared" si="2"/>
        <v>52</v>
      </c>
      <c r="G31" s="52">
        <f t="shared" si="0"/>
        <v>7911</v>
      </c>
      <c r="H31" s="52"/>
    </row>
    <row r="32" spans="1:8" ht="14.25" customHeight="1">
      <c r="A32" s="52">
        <f t="shared" si="1"/>
        <v>12</v>
      </c>
      <c r="B32" s="52">
        <v>2</v>
      </c>
      <c r="C32" s="1" t="s">
        <v>4520</v>
      </c>
      <c r="D32" s="58">
        <f>D17+15</f>
        <v>15</v>
      </c>
      <c r="E32" s="52"/>
      <c r="F32" s="52">
        <f t="shared" si="2"/>
        <v>57</v>
      </c>
      <c r="G32" s="52">
        <f t="shared" si="0"/>
        <v>7912</v>
      </c>
      <c r="H32" s="52"/>
    </row>
    <row r="33" spans="1:8" ht="14.25" customHeight="1">
      <c r="A33" s="52">
        <f t="shared" si="1"/>
        <v>13</v>
      </c>
      <c r="B33" s="52">
        <v>2</v>
      </c>
      <c r="C33" s="1" t="s">
        <v>4520</v>
      </c>
      <c r="D33" s="58">
        <f>D18+15</f>
        <v>15</v>
      </c>
      <c r="E33" s="52"/>
      <c r="F33" s="52">
        <f t="shared" si="2"/>
        <v>62</v>
      </c>
      <c r="G33" s="52">
        <f t="shared" si="0"/>
        <v>7913</v>
      </c>
      <c r="H33" s="52"/>
    </row>
    <row r="34" spans="1:8" ht="14.25" customHeight="1">
      <c r="A34" s="52">
        <f t="shared" si="1"/>
        <v>14</v>
      </c>
      <c r="B34" s="52">
        <v>2</v>
      </c>
      <c r="C34" s="1" t="s">
        <v>4520</v>
      </c>
      <c r="D34" s="58">
        <f>D19+15</f>
        <v>15</v>
      </c>
      <c r="E34" s="52"/>
      <c r="F34" s="52">
        <f t="shared" si="2"/>
        <v>67</v>
      </c>
      <c r="G34" s="52">
        <f t="shared" si="0"/>
        <v>7914</v>
      </c>
      <c r="H34" s="52"/>
    </row>
    <row r="35" spans="1:8" ht="14.25" customHeight="1">
      <c r="A35" s="52">
        <f t="shared" si="1"/>
        <v>15</v>
      </c>
      <c r="B35" s="52">
        <v>2</v>
      </c>
      <c r="C35" s="1" t="s">
        <v>1393</v>
      </c>
      <c r="D35" s="52" t="str">
        <f>"127,128"</f>
        <v>127,128</v>
      </c>
      <c r="E35" s="52"/>
      <c r="F35" s="52">
        <f t="shared" si="2"/>
        <v>72</v>
      </c>
      <c r="G35" s="52">
        <f t="shared" si="0"/>
        <v>7915</v>
      </c>
      <c r="H35" s="52">
        <v>90009</v>
      </c>
    </row>
    <row r="36" spans="1:8" ht="114" customHeight="1">
      <c r="A36" s="52">
        <f t="shared" si="1"/>
        <v>16</v>
      </c>
      <c r="B36" s="52">
        <v>3</v>
      </c>
      <c r="C36" s="1" t="s">
        <v>4520</v>
      </c>
      <c r="D36" s="52"/>
      <c r="E36" s="125" t="s">
        <v>4522</v>
      </c>
      <c r="F36" s="52">
        <v>5</v>
      </c>
      <c r="G36" s="52">
        <f t="shared" si="0"/>
        <v>7916</v>
      </c>
      <c r="H36" s="52"/>
    </row>
    <row r="37" spans="1:8" ht="14.25" customHeight="1">
      <c r="A37" s="52">
        <f t="shared" si="1"/>
        <v>17</v>
      </c>
      <c r="B37" s="52">
        <v>3</v>
      </c>
      <c r="C37" s="1" t="s">
        <v>4520</v>
      </c>
      <c r="D37" s="52">
        <v>130</v>
      </c>
      <c r="E37" s="52"/>
      <c r="F37" s="52">
        <v>7</v>
      </c>
      <c r="G37" s="52">
        <f t="shared" si="0"/>
        <v>7917</v>
      </c>
      <c r="H37" s="52"/>
    </row>
    <row r="38" spans="1:8" ht="14.25" customHeight="1">
      <c r="A38" s="52">
        <f t="shared" si="1"/>
        <v>18</v>
      </c>
      <c r="B38" s="52">
        <v>3</v>
      </c>
      <c r="C38" s="1" t="s">
        <v>4520</v>
      </c>
      <c r="D38" s="52">
        <v>130</v>
      </c>
      <c r="E38" s="52"/>
      <c r="F38" s="52">
        <f t="shared" ref="F38:F50" si="3">F37+5</f>
        <v>12</v>
      </c>
      <c r="G38" s="52">
        <f t="shared" ref="G38:G69" si="4">A38+7900</f>
        <v>7918</v>
      </c>
      <c r="H38" s="52"/>
    </row>
    <row r="39" spans="1:8" ht="14.25" customHeight="1">
      <c r="A39" s="52">
        <f t="shared" ref="A39:A70" si="5">A38+1</f>
        <v>19</v>
      </c>
      <c r="B39" s="52">
        <v>3</v>
      </c>
      <c r="C39" s="1" t="s">
        <v>4520</v>
      </c>
      <c r="D39" s="52">
        <v>131</v>
      </c>
      <c r="E39" s="52"/>
      <c r="F39" s="52">
        <f t="shared" si="3"/>
        <v>17</v>
      </c>
      <c r="G39" s="52">
        <f t="shared" si="4"/>
        <v>7919</v>
      </c>
      <c r="H39" s="52"/>
    </row>
    <row r="40" spans="1:8" ht="14.25" customHeight="1">
      <c r="A40" s="52">
        <f t="shared" si="5"/>
        <v>20</v>
      </c>
      <c r="B40" s="52">
        <v>3</v>
      </c>
      <c r="C40" s="1" t="s">
        <v>4520</v>
      </c>
      <c r="D40" s="52">
        <v>132</v>
      </c>
      <c r="E40" s="52"/>
      <c r="F40" s="52">
        <f t="shared" si="3"/>
        <v>22</v>
      </c>
      <c r="G40" s="52">
        <f t="shared" si="4"/>
        <v>7920</v>
      </c>
      <c r="H40" s="52"/>
    </row>
    <row r="41" spans="1:8" ht="14.25" customHeight="1">
      <c r="A41" s="52">
        <f t="shared" si="5"/>
        <v>21</v>
      </c>
      <c r="B41" s="52">
        <v>3</v>
      </c>
      <c r="C41" s="1" t="s">
        <v>4520</v>
      </c>
      <c r="D41" s="52">
        <v>133</v>
      </c>
      <c r="E41" s="52"/>
      <c r="F41" s="52">
        <f t="shared" si="3"/>
        <v>27</v>
      </c>
      <c r="G41" s="52">
        <f t="shared" si="4"/>
        <v>7921</v>
      </c>
      <c r="H41" s="52"/>
    </row>
    <row r="42" spans="1:8" ht="14.25" customHeight="1">
      <c r="A42" s="52">
        <f t="shared" si="5"/>
        <v>22</v>
      </c>
      <c r="B42" s="52">
        <v>3</v>
      </c>
      <c r="C42" s="1" t="s">
        <v>4520</v>
      </c>
      <c r="D42" s="52" t="str">
        <f>"133,134"</f>
        <v>133,134</v>
      </c>
      <c r="E42" s="52"/>
      <c r="F42" s="52">
        <f t="shared" si="3"/>
        <v>32</v>
      </c>
      <c r="G42" s="52">
        <f t="shared" si="4"/>
        <v>7922</v>
      </c>
      <c r="H42" s="52"/>
    </row>
    <row r="43" spans="1:8" ht="14.25" customHeight="1">
      <c r="A43" s="52">
        <f t="shared" si="5"/>
        <v>23</v>
      </c>
      <c r="B43" s="52">
        <v>3</v>
      </c>
      <c r="C43" s="1" t="s">
        <v>4520</v>
      </c>
      <c r="D43" s="52">
        <v>134</v>
      </c>
      <c r="E43" s="52"/>
      <c r="F43" s="52">
        <f t="shared" si="3"/>
        <v>37</v>
      </c>
      <c r="G43" s="52">
        <f t="shared" si="4"/>
        <v>7923</v>
      </c>
      <c r="H43" s="52"/>
    </row>
    <row r="44" spans="1:8" ht="14.25" customHeight="1">
      <c r="A44" s="52">
        <f t="shared" si="5"/>
        <v>24</v>
      </c>
      <c r="B44" s="52">
        <v>3</v>
      </c>
      <c r="C44" s="1" t="s">
        <v>4520</v>
      </c>
      <c r="D44" s="52" t="str">
        <f>"135,136"</f>
        <v>135,136</v>
      </c>
      <c r="E44" s="52"/>
      <c r="F44" s="52">
        <f t="shared" si="3"/>
        <v>42</v>
      </c>
      <c r="G44" s="52">
        <f t="shared" si="4"/>
        <v>7924</v>
      </c>
      <c r="H44" s="52"/>
    </row>
    <row r="45" spans="1:8" ht="14.25" customHeight="1">
      <c r="A45" s="52">
        <f t="shared" si="5"/>
        <v>25</v>
      </c>
      <c r="B45" s="52">
        <v>3</v>
      </c>
      <c r="C45" s="1" t="s">
        <v>4520</v>
      </c>
      <c r="D45" s="52" t="str">
        <f>"136,137"</f>
        <v>136,137</v>
      </c>
      <c r="E45" s="52"/>
      <c r="F45" s="52">
        <f t="shared" si="3"/>
        <v>47</v>
      </c>
      <c r="G45" s="52">
        <f t="shared" si="4"/>
        <v>7925</v>
      </c>
      <c r="H45" s="52"/>
    </row>
    <row r="46" spans="1:8" ht="14.25" customHeight="1">
      <c r="A46" s="52">
        <f t="shared" si="5"/>
        <v>26</v>
      </c>
      <c r="B46" s="52">
        <v>3</v>
      </c>
      <c r="C46" s="1" t="s">
        <v>4520</v>
      </c>
      <c r="D46" s="58">
        <v>138</v>
      </c>
      <c r="E46" s="52"/>
      <c r="F46" s="52">
        <f t="shared" si="3"/>
        <v>52</v>
      </c>
      <c r="G46" s="52">
        <f t="shared" si="4"/>
        <v>7926</v>
      </c>
      <c r="H46" s="52"/>
    </row>
    <row r="47" spans="1:8" ht="14.25" customHeight="1">
      <c r="A47" s="52">
        <f t="shared" si="5"/>
        <v>27</v>
      </c>
      <c r="B47" s="52">
        <v>3</v>
      </c>
      <c r="C47" s="1" t="s">
        <v>4520</v>
      </c>
      <c r="D47" s="58">
        <v>139</v>
      </c>
      <c r="E47" s="52"/>
      <c r="F47" s="52">
        <f t="shared" si="3"/>
        <v>57</v>
      </c>
      <c r="G47" s="52">
        <f t="shared" si="4"/>
        <v>7927</v>
      </c>
      <c r="H47" s="52"/>
    </row>
    <row r="48" spans="1:8" ht="14.25" customHeight="1">
      <c r="A48" s="52">
        <f t="shared" si="5"/>
        <v>28</v>
      </c>
      <c r="B48" s="52">
        <v>3</v>
      </c>
      <c r="C48" s="1" t="s">
        <v>4520</v>
      </c>
      <c r="D48" s="58">
        <v>140</v>
      </c>
      <c r="E48" s="52"/>
      <c r="F48" s="52">
        <f t="shared" si="3"/>
        <v>62</v>
      </c>
      <c r="G48" s="52">
        <f t="shared" si="4"/>
        <v>7928</v>
      </c>
      <c r="H48" s="52"/>
    </row>
    <row r="49" spans="1:8" ht="14.25" customHeight="1">
      <c r="A49" s="52">
        <f t="shared" si="5"/>
        <v>29</v>
      </c>
      <c r="B49" s="52">
        <v>3</v>
      </c>
      <c r="C49" s="1" t="s">
        <v>4520</v>
      </c>
      <c r="D49" s="58">
        <v>141</v>
      </c>
      <c r="E49" s="52"/>
      <c r="F49" s="52">
        <f t="shared" si="3"/>
        <v>67</v>
      </c>
      <c r="G49" s="52">
        <f t="shared" si="4"/>
        <v>7929</v>
      </c>
      <c r="H49" s="52"/>
    </row>
    <row r="50" spans="1:8" ht="14.25" customHeight="1">
      <c r="A50" s="52">
        <f t="shared" si="5"/>
        <v>30</v>
      </c>
      <c r="B50" s="52">
        <v>3</v>
      </c>
      <c r="C50" s="1" t="s">
        <v>1394</v>
      </c>
      <c r="D50" s="58" t="str">
        <f>"142,143"</f>
        <v>142,143</v>
      </c>
      <c r="E50" s="52"/>
      <c r="F50" s="52">
        <f t="shared" si="3"/>
        <v>72</v>
      </c>
      <c r="G50" s="52">
        <f t="shared" si="4"/>
        <v>7930</v>
      </c>
      <c r="H50" s="52">
        <v>90010</v>
      </c>
    </row>
    <row r="51" spans="1:8" ht="114" customHeight="1">
      <c r="A51" s="52">
        <f t="shared" si="5"/>
        <v>31</v>
      </c>
      <c r="B51" s="52">
        <v>4</v>
      </c>
      <c r="C51" s="1" t="s">
        <v>4520</v>
      </c>
      <c r="D51" s="52"/>
      <c r="E51" s="125" t="s">
        <v>4523</v>
      </c>
      <c r="F51" s="52">
        <v>5</v>
      </c>
      <c r="G51" s="52">
        <f t="shared" si="4"/>
        <v>7931</v>
      </c>
      <c r="H51" s="52"/>
    </row>
    <row r="52" spans="1:8" ht="14.25" customHeight="1">
      <c r="A52" s="52">
        <f t="shared" si="5"/>
        <v>32</v>
      </c>
      <c r="B52" s="52">
        <v>4</v>
      </c>
      <c r="C52" s="1" t="s">
        <v>4520</v>
      </c>
      <c r="D52" s="52">
        <v>145</v>
      </c>
      <c r="E52" s="52"/>
      <c r="F52" s="52">
        <v>7</v>
      </c>
      <c r="G52" s="52">
        <f t="shared" si="4"/>
        <v>7932</v>
      </c>
      <c r="H52" s="52"/>
    </row>
    <row r="53" spans="1:8" ht="14.25" customHeight="1">
      <c r="A53" s="52">
        <f t="shared" si="5"/>
        <v>33</v>
      </c>
      <c r="B53" s="52">
        <v>4</v>
      </c>
      <c r="C53" s="1" t="s">
        <v>4520</v>
      </c>
      <c r="D53" s="52">
        <v>145</v>
      </c>
      <c r="E53" s="52"/>
      <c r="F53" s="52">
        <f t="shared" ref="F53:F65" si="6">F52+5</f>
        <v>12</v>
      </c>
      <c r="G53" s="52">
        <f t="shared" si="4"/>
        <v>7933</v>
      </c>
      <c r="H53" s="52"/>
    </row>
    <row r="54" spans="1:8" ht="14.25" customHeight="1">
      <c r="A54" s="52">
        <f t="shared" si="5"/>
        <v>34</v>
      </c>
      <c r="B54" s="52">
        <v>4</v>
      </c>
      <c r="C54" s="1" t="s">
        <v>4520</v>
      </c>
      <c r="D54" s="52">
        <v>146</v>
      </c>
      <c r="E54" s="52"/>
      <c r="F54" s="52">
        <f t="shared" si="6"/>
        <v>17</v>
      </c>
      <c r="G54" s="52">
        <f t="shared" si="4"/>
        <v>7934</v>
      </c>
      <c r="H54" s="52"/>
    </row>
    <row r="55" spans="1:8" ht="14.25" customHeight="1">
      <c r="A55" s="52">
        <f t="shared" si="5"/>
        <v>35</v>
      </c>
      <c r="B55" s="52">
        <v>4</v>
      </c>
      <c r="C55" s="1" t="s">
        <v>4520</v>
      </c>
      <c r="D55" s="52">
        <v>147</v>
      </c>
      <c r="E55" s="52"/>
      <c r="F55" s="52">
        <f t="shared" si="6"/>
        <v>22</v>
      </c>
      <c r="G55" s="52">
        <f t="shared" si="4"/>
        <v>7935</v>
      </c>
      <c r="H55" s="52"/>
    </row>
    <row r="56" spans="1:8" ht="14.25" customHeight="1">
      <c r="A56" s="52">
        <f t="shared" si="5"/>
        <v>36</v>
      </c>
      <c r="B56" s="52">
        <v>4</v>
      </c>
      <c r="C56" s="1" t="s">
        <v>4520</v>
      </c>
      <c r="D56" s="52">
        <v>148</v>
      </c>
      <c r="E56" s="52"/>
      <c r="F56" s="52">
        <f t="shared" si="6"/>
        <v>27</v>
      </c>
      <c r="G56" s="52">
        <f t="shared" si="4"/>
        <v>7936</v>
      </c>
      <c r="H56" s="52"/>
    </row>
    <row r="57" spans="1:8" ht="14.25" customHeight="1">
      <c r="A57" s="52">
        <f t="shared" si="5"/>
        <v>37</v>
      </c>
      <c r="B57" s="52">
        <v>4</v>
      </c>
      <c r="C57" s="1" t="s">
        <v>4520</v>
      </c>
      <c r="D57" s="52" t="str">
        <f>"148,149"</f>
        <v>148,149</v>
      </c>
      <c r="E57" s="52"/>
      <c r="F57" s="52">
        <f t="shared" si="6"/>
        <v>32</v>
      </c>
      <c r="G57" s="52">
        <f t="shared" si="4"/>
        <v>7937</v>
      </c>
      <c r="H57" s="52"/>
    </row>
    <row r="58" spans="1:8" ht="14.25" customHeight="1">
      <c r="A58" s="52">
        <f t="shared" si="5"/>
        <v>38</v>
      </c>
      <c r="B58" s="52">
        <v>4</v>
      </c>
      <c r="C58" s="1" t="s">
        <v>4520</v>
      </c>
      <c r="D58" s="52">
        <v>149</v>
      </c>
      <c r="E58" s="52"/>
      <c r="F58" s="52">
        <f t="shared" si="6"/>
        <v>37</v>
      </c>
      <c r="G58" s="52">
        <f t="shared" si="4"/>
        <v>7938</v>
      </c>
      <c r="H58" s="52"/>
    </row>
    <row r="59" spans="1:8" ht="14.25" customHeight="1">
      <c r="A59" s="52">
        <f t="shared" si="5"/>
        <v>39</v>
      </c>
      <c r="B59" s="52">
        <v>4</v>
      </c>
      <c r="C59" s="1" t="s">
        <v>4520</v>
      </c>
      <c r="D59" s="52" t="str">
        <f>"150,151"</f>
        <v>150,151</v>
      </c>
      <c r="E59" s="52"/>
      <c r="F59" s="52">
        <f t="shared" si="6"/>
        <v>42</v>
      </c>
      <c r="G59" s="52">
        <f t="shared" si="4"/>
        <v>7939</v>
      </c>
      <c r="H59" s="52"/>
    </row>
    <row r="60" spans="1:8" ht="14.25" customHeight="1">
      <c r="A60" s="52">
        <f t="shared" si="5"/>
        <v>40</v>
      </c>
      <c r="B60" s="52">
        <v>4</v>
      </c>
      <c r="C60" s="1" t="s">
        <v>4520</v>
      </c>
      <c r="D60" s="52" t="str">
        <f>"151,152"</f>
        <v>151,152</v>
      </c>
      <c r="E60" s="52"/>
      <c r="F60" s="52">
        <f t="shared" si="6"/>
        <v>47</v>
      </c>
      <c r="G60" s="52">
        <f t="shared" si="4"/>
        <v>7940</v>
      </c>
      <c r="H60" s="52"/>
    </row>
    <row r="61" spans="1:8" ht="14.25" customHeight="1">
      <c r="A61" s="52">
        <f t="shared" si="5"/>
        <v>41</v>
      </c>
      <c r="B61" s="52">
        <v>4</v>
      </c>
      <c r="C61" s="1" t="s">
        <v>4520</v>
      </c>
      <c r="D61" s="58">
        <v>153</v>
      </c>
      <c r="E61" s="52"/>
      <c r="F61" s="52">
        <f t="shared" si="6"/>
        <v>52</v>
      </c>
      <c r="G61" s="52">
        <f t="shared" si="4"/>
        <v>7941</v>
      </c>
      <c r="H61" s="52"/>
    </row>
    <row r="62" spans="1:8" ht="14.25" customHeight="1">
      <c r="A62" s="52">
        <f t="shared" si="5"/>
        <v>42</v>
      </c>
      <c r="B62" s="52">
        <v>4</v>
      </c>
      <c r="C62" s="1" t="s">
        <v>4520</v>
      </c>
      <c r="D62" s="58">
        <v>154</v>
      </c>
      <c r="E62" s="52"/>
      <c r="F62" s="52">
        <f t="shared" si="6"/>
        <v>57</v>
      </c>
      <c r="G62" s="52">
        <f t="shared" si="4"/>
        <v>7942</v>
      </c>
      <c r="H62" s="52"/>
    </row>
    <row r="63" spans="1:8" ht="14.25" customHeight="1">
      <c r="A63" s="52">
        <f t="shared" si="5"/>
        <v>43</v>
      </c>
      <c r="B63" s="52">
        <v>4</v>
      </c>
      <c r="C63" s="1" t="s">
        <v>4520</v>
      </c>
      <c r="D63" s="58">
        <v>155</v>
      </c>
      <c r="E63" s="52"/>
      <c r="F63" s="52">
        <f t="shared" si="6"/>
        <v>62</v>
      </c>
      <c r="G63" s="52">
        <f t="shared" si="4"/>
        <v>7943</v>
      </c>
      <c r="H63" s="52"/>
    </row>
    <row r="64" spans="1:8" ht="14.25" customHeight="1">
      <c r="A64" s="52">
        <f t="shared" si="5"/>
        <v>44</v>
      </c>
      <c r="B64" s="52">
        <v>4</v>
      </c>
      <c r="C64" s="1" t="s">
        <v>4520</v>
      </c>
      <c r="D64" s="58">
        <v>156</v>
      </c>
      <c r="E64" s="52"/>
      <c r="F64" s="52">
        <f t="shared" si="6"/>
        <v>67</v>
      </c>
      <c r="G64" s="52">
        <f t="shared" si="4"/>
        <v>7944</v>
      </c>
      <c r="H64" s="52"/>
    </row>
    <row r="65" spans="1:8" ht="14.25" customHeight="1">
      <c r="A65" s="52">
        <f t="shared" si="5"/>
        <v>45</v>
      </c>
      <c r="B65" s="52">
        <v>4</v>
      </c>
      <c r="C65" s="1" t="s">
        <v>1395</v>
      </c>
      <c r="D65" s="58" t="str">
        <f>"157,158"</f>
        <v>157,158</v>
      </c>
      <c r="E65" s="52"/>
      <c r="F65" s="52">
        <f t="shared" si="6"/>
        <v>72</v>
      </c>
      <c r="G65" s="52">
        <f t="shared" si="4"/>
        <v>7945</v>
      </c>
      <c r="H65" s="52">
        <v>90011</v>
      </c>
    </row>
    <row r="66" spans="1:8" ht="114" customHeight="1">
      <c r="A66" s="52">
        <f t="shared" si="5"/>
        <v>46</v>
      </c>
      <c r="B66" s="52">
        <v>5</v>
      </c>
      <c r="C66" s="1" t="s">
        <v>4524</v>
      </c>
      <c r="D66" s="52"/>
      <c r="E66" s="125" t="s">
        <v>4525</v>
      </c>
      <c r="F66" s="52">
        <v>5</v>
      </c>
      <c r="G66" s="52">
        <f t="shared" si="4"/>
        <v>7946</v>
      </c>
      <c r="H66" s="52"/>
    </row>
    <row r="67" spans="1:8" ht="14.25" customHeight="1">
      <c r="A67" s="52">
        <f t="shared" si="5"/>
        <v>47</v>
      </c>
      <c r="B67" s="52">
        <v>5</v>
      </c>
      <c r="C67" s="1" t="s">
        <v>4524</v>
      </c>
      <c r="D67" s="52">
        <v>160</v>
      </c>
      <c r="E67" s="52"/>
      <c r="F67" s="52">
        <v>7</v>
      </c>
      <c r="G67" s="52">
        <f t="shared" si="4"/>
        <v>7947</v>
      </c>
      <c r="H67" s="52"/>
    </row>
    <row r="68" spans="1:8" ht="14.25" customHeight="1">
      <c r="A68" s="52">
        <f t="shared" si="5"/>
        <v>48</v>
      </c>
      <c r="B68" s="52">
        <v>5</v>
      </c>
      <c r="C68" s="1" t="s">
        <v>4524</v>
      </c>
      <c r="D68" s="52">
        <v>160</v>
      </c>
      <c r="E68" s="52"/>
      <c r="F68" s="52">
        <f t="shared" ref="F68:F80" si="7">F67+5</f>
        <v>12</v>
      </c>
      <c r="G68" s="52">
        <f t="shared" si="4"/>
        <v>7948</v>
      </c>
      <c r="H68" s="52"/>
    </row>
    <row r="69" spans="1:8" ht="14.25" customHeight="1">
      <c r="A69" s="52">
        <f t="shared" si="5"/>
        <v>49</v>
      </c>
      <c r="B69" s="52">
        <v>5</v>
      </c>
      <c r="C69" s="1" t="s">
        <v>4524</v>
      </c>
      <c r="D69" s="52">
        <v>161</v>
      </c>
      <c r="E69" s="52"/>
      <c r="F69" s="52">
        <f t="shared" si="7"/>
        <v>17</v>
      </c>
      <c r="G69" s="52">
        <f t="shared" si="4"/>
        <v>7949</v>
      </c>
      <c r="H69" s="52"/>
    </row>
    <row r="70" spans="1:8" ht="14.25" customHeight="1">
      <c r="A70" s="52">
        <f t="shared" si="5"/>
        <v>50</v>
      </c>
      <c r="B70" s="52">
        <v>5</v>
      </c>
      <c r="C70" s="1" t="s">
        <v>4524</v>
      </c>
      <c r="D70" s="52">
        <v>162</v>
      </c>
      <c r="E70" s="52"/>
      <c r="F70" s="52">
        <f t="shared" si="7"/>
        <v>22</v>
      </c>
      <c r="G70" s="52">
        <f t="shared" ref="G70:G95" si="8">A70+7900</f>
        <v>7950</v>
      </c>
      <c r="H70" s="52"/>
    </row>
    <row r="71" spans="1:8" ht="14.25" customHeight="1">
      <c r="A71" s="52">
        <f t="shared" ref="A71:A95" si="9">A70+1</f>
        <v>51</v>
      </c>
      <c r="B71" s="52">
        <v>5</v>
      </c>
      <c r="C71" s="1" t="s">
        <v>4524</v>
      </c>
      <c r="D71" s="52">
        <v>163</v>
      </c>
      <c r="E71" s="52"/>
      <c r="F71" s="52">
        <f t="shared" si="7"/>
        <v>27</v>
      </c>
      <c r="G71" s="52">
        <f t="shared" si="8"/>
        <v>7951</v>
      </c>
      <c r="H71" s="52"/>
    </row>
    <row r="72" spans="1:8" ht="14.25" customHeight="1">
      <c r="A72" s="52">
        <f t="shared" si="9"/>
        <v>52</v>
      </c>
      <c r="B72" s="52">
        <v>5</v>
      </c>
      <c r="C72" s="1" t="s">
        <v>4524</v>
      </c>
      <c r="D72" s="52" t="str">
        <f>"163,164"</f>
        <v>163,164</v>
      </c>
      <c r="E72" s="52"/>
      <c r="F72" s="52">
        <f t="shared" si="7"/>
        <v>32</v>
      </c>
      <c r="G72" s="52">
        <f t="shared" si="8"/>
        <v>7952</v>
      </c>
      <c r="H72" s="52"/>
    </row>
    <row r="73" spans="1:8" ht="14.25" customHeight="1">
      <c r="A73" s="52">
        <f t="shared" si="9"/>
        <v>53</v>
      </c>
      <c r="B73" s="52">
        <v>5</v>
      </c>
      <c r="C73" s="1" t="s">
        <v>4524</v>
      </c>
      <c r="D73" s="52">
        <v>164</v>
      </c>
      <c r="E73" s="52"/>
      <c r="F73" s="52">
        <f t="shared" si="7"/>
        <v>37</v>
      </c>
      <c r="G73" s="52">
        <f t="shared" si="8"/>
        <v>7953</v>
      </c>
      <c r="H73" s="52"/>
    </row>
    <row r="74" spans="1:8" ht="14.25" customHeight="1">
      <c r="A74" s="52">
        <f t="shared" si="9"/>
        <v>54</v>
      </c>
      <c r="B74" s="52">
        <v>5</v>
      </c>
      <c r="C74" s="1" t="s">
        <v>4524</v>
      </c>
      <c r="D74" s="52" t="str">
        <f>"165,166"</f>
        <v>165,166</v>
      </c>
      <c r="E74" s="52"/>
      <c r="F74" s="52">
        <f t="shared" si="7"/>
        <v>42</v>
      </c>
      <c r="G74" s="52">
        <f t="shared" si="8"/>
        <v>7954</v>
      </c>
      <c r="H74" s="52"/>
    </row>
    <row r="75" spans="1:8" ht="14.25" customHeight="1">
      <c r="A75" s="52">
        <f t="shared" si="9"/>
        <v>55</v>
      </c>
      <c r="B75" s="52">
        <v>5</v>
      </c>
      <c r="C75" s="1" t="s">
        <v>4524</v>
      </c>
      <c r="D75" s="52" t="str">
        <f>"166,167"</f>
        <v>166,167</v>
      </c>
      <c r="E75" s="52"/>
      <c r="F75" s="52">
        <f t="shared" si="7"/>
        <v>47</v>
      </c>
      <c r="G75" s="52">
        <f t="shared" si="8"/>
        <v>7955</v>
      </c>
      <c r="H75" s="52"/>
    </row>
    <row r="76" spans="1:8" ht="14.25" customHeight="1">
      <c r="A76" s="52">
        <f t="shared" si="9"/>
        <v>56</v>
      </c>
      <c r="B76" s="52">
        <v>5</v>
      </c>
      <c r="C76" s="1" t="s">
        <v>4524</v>
      </c>
      <c r="D76" s="58">
        <v>168</v>
      </c>
      <c r="E76" s="52"/>
      <c r="F76" s="52">
        <f t="shared" si="7"/>
        <v>52</v>
      </c>
      <c r="G76" s="52">
        <f t="shared" si="8"/>
        <v>7956</v>
      </c>
      <c r="H76" s="52"/>
    </row>
    <row r="77" spans="1:8" ht="14.25" customHeight="1">
      <c r="A77" s="52">
        <f t="shared" si="9"/>
        <v>57</v>
      </c>
      <c r="B77" s="52">
        <v>5</v>
      </c>
      <c r="C77" s="1" t="s">
        <v>4524</v>
      </c>
      <c r="D77" s="58">
        <v>169</v>
      </c>
      <c r="E77" s="52"/>
      <c r="F77" s="52">
        <f t="shared" si="7"/>
        <v>57</v>
      </c>
      <c r="G77" s="52">
        <f t="shared" si="8"/>
        <v>7957</v>
      </c>
      <c r="H77" s="52"/>
    </row>
    <row r="78" spans="1:8" ht="14.25" customHeight="1">
      <c r="A78" s="52">
        <f t="shared" si="9"/>
        <v>58</v>
      </c>
      <c r="B78" s="52">
        <v>5</v>
      </c>
      <c r="C78" s="1" t="s">
        <v>4524</v>
      </c>
      <c r="D78" s="58">
        <v>170</v>
      </c>
      <c r="E78" s="52"/>
      <c r="F78" s="52">
        <f t="shared" si="7"/>
        <v>62</v>
      </c>
      <c r="G78" s="52">
        <f t="shared" si="8"/>
        <v>7958</v>
      </c>
      <c r="H78" s="52"/>
    </row>
    <row r="79" spans="1:8" ht="14.25" customHeight="1">
      <c r="A79" s="52">
        <f t="shared" si="9"/>
        <v>59</v>
      </c>
      <c r="B79" s="52">
        <v>5</v>
      </c>
      <c r="C79" s="1" t="s">
        <v>4524</v>
      </c>
      <c r="D79" s="58">
        <v>171</v>
      </c>
      <c r="E79" s="52"/>
      <c r="F79" s="52">
        <f t="shared" si="7"/>
        <v>67</v>
      </c>
      <c r="G79" s="52">
        <f t="shared" si="8"/>
        <v>7959</v>
      </c>
      <c r="H79" s="52"/>
    </row>
    <row r="80" spans="1:8" ht="14.25" customHeight="1">
      <c r="A80" s="52">
        <f t="shared" si="9"/>
        <v>60</v>
      </c>
      <c r="B80" s="52">
        <v>5</v>
      </c>
      <c r="C80" s="1" t="s">
        <v>1397</v>
      </c>
      <c r="D80" s="58" t="str">
        <f>"172,173"</f>
        <v>172,173</v>
      </c>
      <c r="E80" s="52"/>
      <c r="F80" s="52">
        <f t="shared" si="7"/>
        <v>72</v>
      </c>
      <c r="G80" s="52">
        <f t="shared" si="8"/>
        <v>7960</v>
      </c>
      <c r="H80" s="52">
        <v>90012</v>
      </c>
    </row>
    <row r="81" spans="1:8" ht="114" customHeight="1">
      <c r="A81" s="52">
        <f t="shared" si="9"/>
        <v>61</v>
      </c>
      <c r="B81" s="52">
        <v>6</v>
      </c>
      <c r="C81" s="1" t="s">
        <v>4524</v>
      </c>
      <c r="D81" s="52"/>
      <c r="E81" s="125" t="s">
        <v>4526</v>
      </c>
      <c r="F81" s="52">
        <v>5</v>
      </c>
      <c r="G81" s="52">
        <f t="shared" si="8"/>
        <v>7961</v>
      </c>
      <c r="H81" s="52"/>
    </row>
    <row r="82" spans="1:8" ht="14.25" customHeight="1">
      <c r="A82" s="52">
        <f t="shared" si="9"/>
        <v>62</v>
      </c>
      <c r="B82" s="52">
        <v>6</v>
      </c>
      <c r="C82" s="1" t="s">
        <v>4524</v>
      </c>
      <c r="D82" s="52">
        <v>175</v>
      </c>
      <c r="E82" s="52"/>
      <c r="F82" s="52">
        <v>7</v>
      </c>
      <c r="G82" s="52">
        <f t="shared" si="8"/>
        <v>7962</v>
      </c>
      <c r="H82" s="52"/>
    </row>
    <row r="83" spans="1:8" ht="14.25" customHeight="1">
      <c r="A83" s="52">
        <f t="shared" si="9"/>
        <v>63</v>
      </c>
      <c r="B83" s="52">
        <v>6</v>
      </c>
      <c r="C83" s="1" t="s">
        <v>4524</v>
      </c>
      <c r="D83" s="52">
        <v>175</v>
      </c>
      <c r="E83" s="52"/>
      <c r="F83" s="52">
        <f t="shared" ref="F83:F95" si="10">F82+5</f>
        <v>12</v>
      </c>
      <c r="G83" s="52">
        <f t="shared" si="8"/>
        <v>7963</v>
      </c>
      <c r="H83" s="52"/>
    </row>
    <row r="84" spans="1:8" ht="14.25" customHeight="1">
      <c r="A84" s="52">
        <f t="shared" si="9"/>
        <v>64</v>
      </c>
      <c r="B84" s="52">
        <v>6</v>
      </c>
      <c r="C84" s="1" t="s">
        <v>4524</v>
      </c>
      <c r="D84" s="52">
        <v>176</v>
      </c>
      <c r="E84" s="52"/>
      <c r="F84" s="52">
        <f t="shared" si="10"/>
        <v>17</v>
      </c>
      <c r="G84" s="52">
        <f t="shared" si="8"/>
        <v>7964</v>
      </c>
      <c r="H84" s="52"/>
    </row>
    <row r="85" spans="1:8" ht="14.25" customHeight="1">
      <c r="A85" s="52">
        <f t="shared" si="9"/>
        <v>65</v>
      </c>
      <c r="B85" s="52">
        <v>6</v>
      </c>
      <c r="C85" s="1" t="s">
        <v>4524</v>
      </c>
      <c r="D85" s="52">
        <v>177</v>
      </c>
      <c r="E85" s="52"/>
      <c r="F85" s="52">
        <f t="shared" si="10"/>
        <v>22</v>
      </c>
      <c r="G85" s="52">
        <f t="shared" si="8"/>
        <v>7965</v>
      </c>
      <c r="H85" s="52"/>
    </row>
    <row r="86" spans="1:8" ht="14.25" customHeight="1">
      <c r="A86" s="52">
        <f t="shared" si="9"/>
        <v>66</v>
      </c>
      <c r="B86" s="52">
        <v>6</v>
      </c>
      <c r="C86" s="1" t="s">
        <v>4524</v>
      </c>
      <c r="D86" s="52">
        <v>178</v>
      </c>
      <c r="E86" s="52"/>
      <c r="F86" s="52">
        <f t="shared" si="10"/>
        <v>27</v>
      </c>
      <c r="G86" s="52">
        <f t="shared" si="8"/>
        <v>7966</v>
      </c>
      <c r="H86" s="52"/>
    </row>
    <row r="87" spans="1:8" ht="14.25" customHeight="1">
      <c r="A87" s="52">
        <f t="shared" si="9"/>
        <v>67</v>
      </c>
      <c r="B87" s="52">
        <v>6</v>
      </c>
      <c r="C87" s="1" t="s">
        <v>4524</v>
      </c>
      <c r="D87" s="52" t="str">
        <f>"178,179"</f>
        <v>178,179</v>
      </c>
      <c r="E87" s="52"/>
      <c r="F87" s="52">
        <f t="shared" si="10"/>
        <v>32</v>
      </c>
      <c r="G87" s="52">
        <f t="shared" si="8"/>
        <v>7967</v>
      </c>
      <c r="H87" s="52"/>
    </row>
    <row r="88" spans="1:8" ht="14.25" customHeight="1">
      <c r="A88" s="52">
        <f t="shared" si="9"/>
        <v>68</v>
      </c>
      <c r="B88" s="52">
        <v>6</v>
      </c>
      <c r="C88" s="1" t="s">
        <v>4524</v>
      </c>
      <c r="D88" s="52">
        <v>179</v>
      </c>
      <c r="E88" s="52"/>
      <c r="F88" s="52">
        <f t="shared" si="10"/>
        <v>37</v>
      </c>
      <c r="G88" s="52">
        <f t="shared" si="8"/>
        <v>7968</v>
      </c>
      <c r="H88" s="52"/>
    </row>
    <row r="89" spans="1:8" ht="14.25" customHeight="1">
      <c r="A89" s="52">
        <f t="shared" si="9"/>
        <v>69</v>
      </c>
      <c r="B89" s="52">
        <v>6</v>
      </c>
      <c r="C89" s="1" t="s">
        <v>4524</v>
      </c>
      <c r="D89" s="52" t="str">
        <f>"180,181"</f>
        <v>180,181</v>
      </c>
      <c r="E89" s="52"/>
      <c r="F89" s="52">
        <f t="shared" si="10"/>
        <v>42</v>
      </c>
      <c r="G89" s="52">
        <f t="shared" si="8"/>
        <v>7969</v>
      </c>
      <c r="H89" s="52"/>
    </row>
    <row r="90" spans="1:8" ht="14.25" customHeight="1">
      <c r="A90" s="52">
        <f t="shared" si="9"/>
        <v>70</v>
      </c>
      <c r="B90" s="52">
        <v>6</v>
      </c>
      <c r="C90" s="1" t="s">
        <v>4524</v>
      </c>
      <c r="D90" s="52" t="str">
        <f>"181,182"</f>
        <v>181,182</v>
      </c>
      <c r="E90" s="52"/>
      <c r="F90" s="52">
        <f t="shared" si="10"/>
        <v>47</v>
      </c>
      <c r="G90" s="52">
        <f t="shared" si="8"/>
        <v>7970</v>
      </c>
      <c r="H90" s="52"/>
    </row>
    <row r="91" spans="1:8" ht="14.25" customHeight="1">
      <c r="A91" s="52">
        <f t="shared" si="9"/>
        <v>71</v>
      </c>
      <c r="B91" s="52">
        <v>6</v>
      </c>
      <c r="C91" s="1" t="s">
        <v>4524</v>
      </c>
      <c r="D91" s="58">
        <v>183</v>
      </c>
      <c r="E91" s="52"/>
      <c r="F91" s="52">
        <f t="shared" si="10"/>
        <v>52</v>
      </c>
      <c r="G91" s="52">
        <f t="shared" si="8"/>
        <v>7971</v>
      </c>
      <c r="H91" s="52"/>
    </row>
    <row r="92" spans="1:8" ht="14.25" customHeight="1">
      <c r="A92" s="52">
        <f t="shared" si="9"/>
        <v>72</v>
      </c>
      <c r="B92" s="52">
        <v>6</v>
      </c>
      <c r="C92" s="1" t="s">
        <v>4524</v>
      </c>
      <c r="D92" s="58">
        <v>184</v>
      </c>
      <c r="E92" s="52"/>
      <c r="F92" s="52">
        <f t="shared" si="10"/>
        <v>57</v>
      </c>
      <c r="G92" s="52">
        <f t="shared" si="8"/>
        <v>7972</v>
      </c>
      <c r="H92" s="52"/>
    </row>
    <row r="93" spans="1:8" ht="14.25" customHeight="1">
      <c r="A93" s="52">
        <f t="shared" si="9"/>
        <v>73</v>
      </c>
      <c r="B93" s="52">
        <v>6</v>
      </c>
      <c r="C93" s="1" t="s">
        <v>4524</v>
      </c>
      <c r="D93" s="58">
        <v>185</v>
      </c>
      <c r="E93" s="52"/>
      <c r="F93" s="52">
        <f t="shared" si="10"/>
        <v>62</v>
      </c>
      <c r="G93" s="52">
        <f t="shared" si="8"/>
        <v>7973</v>
      </c>
      <c r="H93" s="52"/>
    </row>
    <row r="94" spans="1:8" ht="14.25" customHeight="1">
      <c r="A94" s="52">
        <f t="shared" si="9"/>
        <v>74</v>
      </c>
      <c r="B94" s="52">
        <v>6</v>
      </c>
      <c r="C94" s="1" t="s">
        <v>4524</v>
      </c>
      <c r="D94" s="58">
        <v>186</v>
      </c>
      <c r="E94" s="52"/>
      <c r="F94" s="52">
        <f t="shared" si="10"/>
        <v>67</v>
      </c>
      <c r="G94" s="52">
        <f t="shared" si="8"/>
        <v>7974</v>
      </c>
      <c r="H94" s="52"/>
    </row>
    <row r="95" spans="1:8" ht="14.25" customHeight="1">
      <c r="A95" s="52">
        <f t="shared" si="9"/>
        <v>75</v>
      </c>
      <c r="B95" s="52">
        <v>6</v>
      </c>
      <c r="C95" s="1" t="s">
        <v>1398</v>
      </c>
      <c r="D95" s="58" t="str">
        <f>"187,188"</f>
        <v>187,188</v>
      </c>
      <c r="E95" s="52"/>
      <c r="F95" s="52">
        <f t="shared" si="10"/>
        <v>72</v>
      </c>
      <c r="G95" s="52">
        <f t="shared" si="8"/>
        <v>7975</v>
      </c>
      <c r="H95" s="52">
        <v>90013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1"/>
  <sheetViews>
    <sheetView topLeftCell="A71" zoomScaleNormal="100" workbookViewId="0">
      <selection activeCell="C41" sqref="C41"/>
    </sheetView>
  </sheetViews>
  <sheetFormatPr defaultColWidth="12.5703125" defaultRowHeight="12.75"/>
  <cols>
    <col min="2" max="2" width="14.5703125" customWidth="1"/>
  </cols>
  <sheetData>
    <row r="1" spans="1:3" ht="15" customHeight="1">
      <c r="A1" s="126" t="s">
        <v>63</v>
      </c>
      <c r="B1" s="126" t="s">
        <v>4527</v>
      </c>
      <c r="C1" s="127" t="s">
        <v>4528</v>
      </c>
    </row>
    <row r="2" spans="1:3" ht="15.75" customHeight="1">
      <c r="A2" s="128">
        <v>1</v>
      </c>
      <c r="B2" s="128"/>
      <c r="C2" s="128">
        <v>0</v>
      </c>
    </row>
    <row r="3" spans="1:3" ht="15.75" customHeight="1">
      <c r="A3" s="128">
        <v>2</v>
      </c>
      <c r="B3" s="128">
        <v>211</v>
      </c>
      <c r="C3" s="128">
        <f>SUM(B$2:B3)</f>
        <v>211</v>
      </c>
    </row>
    <row r="4" spans="1:3" ht="15.75" customHeight="1">
      <c r="A4" s="128">
        <v>3</v>
      </c>
      <c r="B4" s="128">
        <v>200</v>
      </c>
      <c r="C4" s="128">
        <f>SUM(B$2:B4)</f>
        <v>411</v>
      </c>
    </row>
    <row r="5" spans="1:3" ht="15.75" customHeight="1">
      <c r="A5" s="128">
        <v>4</v>
      </c>
      <c r="B5" s="128">
        <v>284</v>
      </c>
      <c r="C5" s="128">
        <f>SUM(B$2:B5)</f>
        <v>695</v>
      </c>
    </row>
    <row r="6" spans="1:3" ht="15.75" customHeight="1">
      <c r="A6" s="128">
        <v>5</v>
      </c>
      <c r="B6" s="128">
        <v>300</v>
      </c>
      <c r="C6" s="128">
        <f>SUM(B$2:B6)</f>
        <v>995</v>
      </c>
    </row>
    <row r="7" spans="1:3" ht="15.75" customHeight="1">
      <c r="A7" s="128">
        <v>6</v>
      </c>
      <c r="B7" s="128">
        <v>300</v>
      </c>
      <c r="C7" s="128">
        <f>SUM(B$2:B7)</f>
        <v>1295</v>
      </c>
    </row>
    <row r="8" spans="1:3" ht="15.75" customHeight="1">
      <c r="A8" s="128">
        <v>7</v>
      </c>
      <c r="B8" s="128">
        <v>300</v>
      </c>
      <c r="C8" s="128">
        <f>SUM(B$2:B8)</f>
        <v>1595</v>
      </c>
    </row>
    <row r="9" spans="1:3" ht="15.75" customHeight="1">
      <c r="A9" s="128">
        <v>8</v>
      </c>
      <c r="B9" s="128">
        <v>300</v>
      </c>
      <c r="C9" s="128">
        <f>SUM(B$2:B9)</f>
        <v>1895</v>
      </c>
    </row>
    <row r="10" spans="1:3" ht="15.75" customHeight="1">
      <c r="A10" s="128">
        <v>9</v>
      </c>
      <c r="B10" s="129">
        <v>300</v>
      </c>
      <c r="C10" s="128">
        <f>SUM(B$2:B10)</f>
        <v>2195</v>
      </c>
    </row>
    <row r="11" spans="1:3" ht="15.75" customHeight="1">
      <c r="A11" s="128">
        <v>10</v>
      </c>
      <c r="B11" s="129">
        <v>300</v>
      </c>
      <c r="C11" s="128">
        <f>SUM(B$2:B11)</f>
        <v>2495</v>
      </c>
    </row>
    <row r="12" spans="1:3" ht="15.75" customHeight="1">
      <c r="A12" s="128">
        <v>11</v>
      </c>
      <c r="B12" s="129">
        <v>300</v>
      </c>
      <c r="C12" s="128">
        <f>SUM(B$2:B12)</f>
        <v>2795</v>
      </c>
    </row>
    <row r="13" spans="1:3" ht="15.75" customHeight="1">
      <c r="A13" s="128">
        <v>12</v>
      </c>
      <c r="B13" s="129">
        <v>300</v>
      </c>
      <c r="C13" s="128">
        <f>SUM(B$2:B13)</f>
        <v>3095</v>
      </c>
    </row>
    <row r="14" spans="1:3" ht="15.75" customHeight="1">
      <c r="A14" s="128">
        <v>13</v>
      </c>
      <c r="B14" s="129">
        <v>300</v>
      </c>
      <c r="C14" s="128">
        <f>SUM(B$2:B14)</f>
        <v>3395</v>
      </c>
    </row>
    <row r="15" spans="1:3" ht="15.75" customHeight="1">
      <c r="A15" s="128">
        <v>14</v>
      </c>
      <c r="B15" s="129">
        <v>400</v>
      </c>
      <c r="C15" s="128">
        <f>SUM(B$2:B15)</f>
        <v>3795</v>
      </c>
    </row>
    <row r="16" spans="1:3" ht="15.75" customHeight="1">
      <c r="A16" s="128">
        <v>15</v>
      </c>
      <c r="B16" s="129">
        <v>400</v>
      </c>
      <c r="C16" s="128">
        <f>SUM(B$2:B16)</f>
        <v>4195</v>
      </c>
    </row>
    <row r="17" spans="1:3" ht="15.75" customHeight="1">
      <c r="A17" s="128">
        <v>16</v>
      </c>
      <c r="B17" s="129">
        <v>400</v>
      </c>
      <c r="C17" s="128">
        <f>SUM(B$2:B17)</f>
        <v>4595</v>
      </c>
    </row>
    <row r="18" spans="1:3" ht="15.75" customHeight="1">
      <c r="A18" s="128">
        <v>17</v>
      </c>
      <c r="B18" s="129">
        <v>400</v>
      </c>
      <c r="C18" s="128">
        <f>SUM(B$2:B18)</f>
        <v>4995</v>
      </c>
    </row>
    <row r="19" spans="1:3" ht="15.75" customHeight="1">
      <c r="A19" s="128">
        <v>18</v>
      </c>
      <c r="B19" s="129">
        <v>400</v>
      </c>
      <c r="C19" s="128">
        <f>SUM(B$2:B19)</f>
        <v>5395</v>
      </c>
    </row>
    <row r="20" spans="1:3" ht="15.75" customHeight="1">
      <c r="A20" s="128">
        <v>19</v>
      </c>
      <c r="B20" s="129">
        <v>400</v>
      </c>
      <c r="C20" s="128">
        <f>SUM(B$2:B20)</f>
        <v>5795</v>
      </c>
    </row>
    <row r="21" spans="1:3" ht="15.75" customHeight="1">
      <c r="A21" s="128">
        <v>20</v>
      </c>
      <c r="B21" s="129">
        <v>500</v>
      </c>
      <c r="C21" s="128">
        <f>SUM(B$2:B21)</f>
        <v>6295</v>
      </c>
    </row>
    <row r="22" spans="1:3" ht="15.75" customHeight="1">
      <c r="A22" s="128">
        <v>21</v>
      </c>
      <c r="B22" s="129">
        <v>500</v>
      </c>
      <c r="C22" s="128">
        <f>SUM(B$2:B22)</f>
        <v>6795</v>
      </c>
    </row>
    <row r="23" spans="1:3" ht="15.75" customHeight="1">
      <c r="A23" s="128">
        <v>22</v>
      </c>
      <c r="B23" s="129">
        <v>500</v>
      </c>
      <c r="C23" s="128">
        <f>SUM(B$2:B23)</f>
        <v>7295</v>
      </c>
    </row>
    <row r="24" spans="1:3" ht="15.75" customHeight="1">
      <c r="A24" s="128">
        <v>23</v>
      </c>
      <c r="B24" s="129">
        <v>500</v>
      </c>
      <c r="C24" s="128">
        <f>SUM(B$2:B24)</f>
        <v>7795</v>
      </c>
    </row>
    <row r="25" spans="1:3" ht="15.75" customHeight="1">
      <c r="A25" s="128">
        <v>24</v>
      </c>
      <c r="B25" s="129">
        <v>500</v>
      </c>
      <c r="C25" s="128">
        <f>SUM(B$2:B25)</f>
        <v>8295</v>
      </c>
    </row>
    <row r="26" spans="1:3" ht="15.75" customHeight="1">
      <c r="A26" s="128">
        <v>25</v>
      </c>
      <c r="B26" s="129">
        <v>1000</v>
      </c>
      <c r="C26" s="128">
        <f>SUM(B$2:B26)</f>
        <v>9295</v>
      </c>
    </row>
    <row r="27" spans="1:3" ht="15.75" customHeight="1">
      <c r="A27" s="128">
        <v>26</v>
      </c>
      <c r="B27" s="129">
        <v>1000</v>
      </c>
      <c r="C27" s="128">
        <f>SUM(B$2:B27)</f>
        <v>10295</v>
      </c>
    </row>
    <row r="28" spans="1:3" ht="15.75" customHeight="1">
      <c r="A28" s="128">
        <v>27</v>
      </c>
      <c r="B28" s="129">
        <v>1000</v>
      </c>
      <c r="C28" s="128">
        <f>SUM(B$2:B28)</f>
        <v>11295</v>
      </c>
    </row>
    <row r="29" spans="1:3" ht="15.75" customHeight="1">
      <c r="A29" s="128">
        <v>28</v>
      </c>
      <c r="B29" s="129">
        <v>1000</v>
      </c>
      <c r="C29" s="128">
        <f>SUM(B$2:B29)</f>
        <v>12295</v>
      </c>
    </row>
    <row r="30" spans="1:3" ht="15.75" customHeight="1">
      <c r="A30" s="128">
        <v>29</v>
      </c>
      <c r="B30" s="129">
        <v>1000</v>
      </c>
      <c r="C30" s="128">
        <f>SUM(B$2:B30)</f>
        <v>13295</v>
      </c>
    </row>
    <row r="31" spans="1:3" ht="15.75" customHeight="1">
      <c r="A31" s="128">
        <v>30</v>
      </c>
      <c r="B31" s="129">
        <v>1000</v>
      </c>
      <c r="C31" s="128">
        <f>SUM(B$2:B31)</f>
        <v>14295</v>
      </c>
    </row>
    <row r="32" spans="1:3" ht="15.75" customHeight="1">
      <c r="A32" s="128">
        <v>31</v>
      </c>
      <c r="B32" s="129">
        <v>1800</v>
      </c>
      <c r="C32" s="128">
        <f>SUM(B$2:B32)</f>
        <v>16095</v>
      </c>
    </row>
    <row r="33" spans="1:3" ht="15.75" customHeight="1">
      <c r="A33" s="128">
        <v>32</v>
      </c>
      <c r="B33" s="129">
        <v>1800</v>
      </c>
      <c r="C33" s="128">
        <f>SUM(B$2:B33)</f>
        <v>17895</v>
      </c>
    </row>
    <row r="34" spans="1:3" ht="15.75" customHeight="1">
      <c r="A34" s="128">
        <v>33</v>
      </c>
      <c r="B34" s="129">
        <v>1800</v>
      </c>
      <c r="C34" s="128">
        <f>SUM(B$2:B34)</f>
        <v>19695</v>
      </c>
    </row>
    <row r="35" spans="1:3" ht="15.75" customHeight="1">
      <c r="A35" s="128">
        <v>34</v>
      </c>
      <c r="B35" s="129">
        <v>1800</v>
      </c>
      <c r="C35" s="128">
        <f>SUM(B$2:B35)</f>
        <v>21495</v>
      </c>
    </row>
    <row r="36" spans="1:3" ht="15.75" customHeight="1">
      <c r="A36" s="128">
        <v>35</v>
      </c>
      <c r="B36" s="129">
        <v>1800</v>
      </c>
      <c r="C36" s="128">
        <f>SUM(B$2:B36)</f>
        <v>23295</v>
      </c>
    </row>
    <row r="37" spans="1:3" ht="15.75" customHeight="1">
      <c r="A37" s="128">
        <v>36</v>
      </c>
      <c r="B37" s="129">
        <v>2500</v>
      </c>
      <c r="C37" s="128">
        <f>SUM(B$2:B37)</f>
        <v>25795</v>
      </c>
    </row>
    <row r="38" spans="1:3" ht="15.75" customHeight="1">
      <c r="A38" s="128">
        <v>37</v>
      </c>
      <c r="B38" s="129">
        <v>2500</v>
      </c>
      <c r="C38" s="128">
        <f>SUM(B$2:B38)</f>
        <v>28295</v>
      </c>
    </row>
    <row r="39" spans="1:3" ht="15.75" customHeight="1">
      <c r="A39" s="128">
        <v>38</v>
      </c>
      <c r="B39" s="129">
        <v>2500</v>
      </c>
      <c r="C39" s="128">
        <f>SUM(B$2:B39)</f>
        <v>30795</v>
      </c>
    </row>
    <row r="40" spans="1:3" ht="15.75" customHeight="1">
      <c r="A40" s="128">
        <v>39</v>
      </c>
      <c r="B40" s="129">
        <v>2500</v>
      </c>
      <c r="C40" s="128">
        <f>SUM(B$2:B40)</f>
        <v>33295</v>
      </c>
    </row>
    <row r="41" spans="1:3" ht="15.75" customHeight="1">
      <c r="A41" s="128">
        <v>40</v>
      </c>
      <c r="B41" s="129">
        <v>2500</v>
      </c>
      <c r="C41" s="128">
        <f>SUM(B$2:B41)</f>
        <v>35795</v>
      </c>
    </row>
    <row r="42" spans="1:3" ht="15.75" customHeight="1">
      <c r="A42" s="128">
        <v>41</v>
      </c>
      <c r="B42" s="129">
        <v>2500</v>
      </c>
      <c r="C42" s="128">
        <f>SUM(B$2:B42)</f>
        <v>38295</v>
      </c>
    </row>
    <row r="43" spans="1:3" ht="15.75" customHeight="1">
      <c r="A43" s="128">
        <v>42</v>
      </c>
      <c r="B43" s="129">
        <v>3562</v>
      </c>
      <c r="C43" s="128">
        <f>SUM(B$2:B43)</f>
        <v>41857</v>
      </c>
    </row>
    <row r="44" spans="1:3" ht="15.75" customHeight="1">
      <c r="A44" s="128">
        <v>43</v>
      </c>
      <c r="B44" s="129">
        <v>2626</v>
      </c>
      <c r="C44" s="128">
        <f>SUM(B$2:B44)</f>
        <v>44483</v>
      </c>
    </row>
    <row r="45" spans="1:3" ht="15.75" customHeight="1">
      <c r="A45" s="128">
        <v>44</v>
      </c>
      <c r="B45" s="129">
        <v>2740</v>
      </c>
      <c r="C45" s="128">
        <f>SUM(B$2:B45)</f>
        <v>47223</v>
      </c>
    </row>
    <row r="46" spans="1:3" ht="15.75" customHeight="1">
      <c r="A46" s="128">
        <v>45</v>
      </c>
      <c r="B46" s="129">
        <v>2856</v>
      </c>
      <c r="C46" s="128">
        <f>SUM(B$2:B46)</f>
        <v>50079</v>
      </c>
    </row>
    <row r="47" spans="1:3" ht="15.75" customHeight="1">
      <c r="A47" s="128">
        <v>46</v>
      </c>
      <c r="B47" s="129">
        <v>2974</v>
      </c>
      <c r="C47" s="128">
        <f>SUM(B$2:B47)</f>
        <v>53053</v>
      </c>
    </row>
    <row r="48" spans="1:3" ht="15.75" customHeight="1">
      <c r="A48" s="128">
        <v>47</v>
      </c>
      <c r="B48" s="129">
        <v>3096</v>
      </c>
      <c r="C48" s="128">
        <f>SUM(B$2:B48)</f>
        <v>56149</v>
      </c>
    </row>
    <row r="49" spans="1:3" ht="15.75" customHeight="1">
      <c r="A49" s="128">
        <v>48</v>
      </c>
      <c r="B49" s="129">
        <v>3218</v>
      </c>
      <c r="C49" s="128">
        <f>SUM(B$2:B49)</f>
        <v>59367</v>
      </c>
    </row>
    <row r="50" spans="1:3" ht="15.75" customHeight="1">
      <c r="A50" s="128">
        <v>49</v>
      </c>
      <c r="B50" s="129">
        <v>3344</v>
      </c>
      <c r="C50" s="128">
        <f>SUM(B$2:B50)</f>
        <v>62711</v>
      </c>
    </row>
    <row r="51" spans="1:3" ht="15.75" customHeight="1">
      <c r="A51" s="128">
        <v>50</v>
      </c>
      <c r="B51" s="129">
        <v>3472</v>
      </c>
      <c r="C51" s="128">
        <f>SUM(B$2:B51)</f>
        <v>66183</v>
      </c>
    </row>
    <row r="52" spans="1:3" ht="15.75" customHeight="1">
      <c r="A52" s="128">
        <v>51</v>
      </c>
      <c r="B52" s="129">
        <v>3602</v>
      </c>
      <c r="C52" s="128">
        <f>SUM(B$2:B52)</f>
        <v>69785</v>
      </c>
    </row>
    <row r="53" spans="1:3" ht="15.75" customHeight="1">
      <c r="A53" s="128">
        <v>52</v>
      </c>
      <c r="B53" s="129">
        <v>3736</v>
      </c>
      <c r="C53" s="128">
        <f>SUM(B$2:B53)</f>
        <v>73521</v>
      </c>
    </row>
    <row r="54" spans="1:3" ht="15.75" customHeight="1">
      <c r="A54" s="128">
        <v>53</v>
      </c>
      <c r="B54" s="129">
        <v>3870</v>
      </c>
      <c r="C54" s="128">
        <f>SUM(B$2:B54)</f>
        <v>77391</v>
      </c>
    </row>
    <row r="55" spans="1:3" ht="15.75" customHeight="1">
      <c r="A55" s="128">
        <v>54</v>
      </c>
      <c r="B55" s="129">
        <v>4008</v>
      </c>
      <c r="C55" s="128">
        <f>SUM(B$2:B55)</f>
        <v>81399</v>
      </c>
    </row>
    <row r="56" spans="1:3" ht="15.75" customHeight="1">
      <c r="A56" s="128">
        <v>55</v>
      </c>
      <c r="B56" s="129">
        <v>4148</v>
      </c>
      <c r="C56" s="128">
        <f>SUM(B$2:B56)</f>
        <v>85547</v>
      </c>
    </row>
    <row r="57" spans="1:3" ht="15.75" customHeight="1">
      <c r="A57" s="128">
        <v>56</v>
      </c>
      <c r="B57" s="129">
        <v>4290</v>
      </c>
      <c r="C57" s="128">
        <f>SUM(B$2:B57)</f>
        <v>89837</v>
      </c>
    </row>
    <row r="58" spans="1:3" ht="15.75" customHeight="1">
      <c r="A58" s="128">
        <v>57</v>
      </c>
      <c r="B58" s="129">
        <v>4436</v>
      </c>
      <c r="C58" s="128">
        <f>SUM(B$2:B58)</f>
        <v>94273</v>
      </c>
    </row>
    <row r="59" spans="1:3" ht="15.75" customHeight="1">
      <c r="A59" s="128">
        <v>58</v>
      </c>
      <c r="B59" s="129">
        <v>4582</v>
      </c>
      <c r="C59" s="128">
        <f>SUM(B$2:B59)</f>
        <v>98855</v>
      </c>
    </row>
    <row r="60" spans="1:3" ht="15.75" customHeight="1">
      <c r="A60" s="128">
        <v>59</v>
      </c>
      <c r="B60" s="129">
        <v>4732</v>
      </c>
      <c r="C60" s="128">
        <f>SUM(B$2:B60)</f>
        <v>103587</v>
      </c>
    </row>
    <row r="61" spans="1:3" ht="15.75" customHeight="1">
      <c r="A61" s="128">
        <v>60</v>
      </c>
      <c r="B61" s="129">
        <v>4884</v>
      </c>
      <c r="C61" s="128">
        <f>SUM(B$2:B61)</f>
        <v>108471</v>
      </c>
    </row>
    <row r="62" spans="1:3" ht="15.75" customHeight="1">
      <c r="A62" s="128">
        <v>61</v>
      </c>
      <c r="B62" s="129">
        <v>5038</v>
      </c>
      <c r="C62" s="128">
        <f>SUM(B$2:B62)</f>
        <v>113509</v>
      </c>
    </row>
    <row r="63" spans="1:3" ht="15.75" customHeight="1">
      <c r="A63" s="128">
        <v>62</v>
      </c>
      <c r="B63" s="129">
        <v>5196</v>
      </c>
      <c r="C63" s="128">
        <f>SUM(B$2:B63)</f>
        <v>118705</v>
      </c>
    </row>
    <row r="64" spans="1:3" ht="15.75" customHeight="1">
      <c r="A64" s="128">
        <v>63</v>
      </c>
      <c r="B64" s="129">
        <v>5354</v>
      </c>
      <c r="C64" s="128">
        <f>SUM(B$2:B64)</f>
        <v>124059</v>
      </c>
    </row>
    <row r="65" spans="1:3" ht="15.75" customHeight="1">
      <c r="A65" s="128">
        <v>64</v>
      </c>
      <c r="B65" s="129">
        <v>5516</v>
      </c>
      <c r="C65" s="128">
        <f>SUM(B$2:B65)</f>
        <v>129575</v>
      </c>
    </row>
    <row r="66" spans="1:3" ht="15.75" customHeight="1">
      <c r="A66" s="128">
        <v>65</v>
      </c>
      <c r="B66" s="129">
        <v>5680</v>
      </c>
      <c r="C66" s="128">
        <f>SUM(B$2:B66)</f>
        <v>135255</v>
      </c>
    </row>
    <row r="67" spans="1:3" ht="15.75" customHeight="1">
      <c r="A67" s="128">
        <v>66</v>
      </c>
      <c r="B67" s="129">
        <v>5846</v>
      </c>
      <c r="C67" s="128">
        <f>SUM(B$2:B67)</f>
        <v>141101</v>
      </c>
    </row>
    <row r="68" spans="1:3" ht="15.75" customHeight="1">
      <c r="A68" s="128">
        <v>67</v>
      </c>
      <c r="B68" s="129">
        <v>6016</v>
      </c>
      <c r="C68" s="128">
        <f>SUM(B$2:B68)</f>
        <v>147117</v>
      </c>
    </row>
    <row r="69" spans="1:3" ht="15.75" customHeight="1">
      <c r="A69" s="128">
        <v>68</v>
      </c>
      <c r="B69" s="129">
        <v>8686</v>
      </c>
      <c r="C69" s="128">
        <f>SUM(B$2:B69)</f>
        <v>155803</v>
      </c>
    </row>
    <row r="70" spans="1:3" ht="15.75" customHeight="1">
      <c r="A70" s="128">
        <v>69</v>
      </c>
      <c r="B70" s="129">
        <v>9800</v>
      </c>
      <c r="C70" s="128">
        <f>SUM(B$2:B70)</f>
        <v>165603</v>
      </c>
    </row>
    <row r="71" spans="1:3" ht="15.75" customHeight="1">
      <c r="A71" s="128">
        <v>70</v>
      </c>
      <c r="B71" s="129">
        <v>12603</v>
      </c>
      <c r="C71" s="128">
        <f>SUM(B$2:B71)</f>
        <v>178206</v>
      </c>
    </row>
    <row r="72" spans="1:3" ht="15.75" customHeight="1">
      <c r="A72" s="128">
        <v>71</v>
      </c>
      <c r="B72" s="129">
        <v>18662</v>
      </c>
      <c r="C72" s="128">
        <f>SUM(B$2:B72)</f>
        <v>196868</v>
      </c>
    </row>
    <row r="73" spans="1:3" ht="15.75" customHeight="1">
      <c r="A73" s="128">
        <v>72</v>
      </c>
      <c r="B73" s="129">
        <v>23450</v>
      </c>
      <c r="C73" s="128">
        <f>SUM(B$2:B73)</f>
        <v>220318</v>
      </c>
    </row>
    <row r="74" spans="1:3" ht="15.75" customHeight="1">
      <c r="A74" s="128">
        <v>73</v>
      </c>
      <c r="B74" s="129">
        <v>26405</v>
      </c>
      <c r="C74" s="128">
        <f>SUM(B$2:B74)</f>
        <v>246723</v>
      </c>
    </row>
    <row r="75" spans="1:3" ht="15.75" customHeight="1">
      <c r="A75" s="128">
        <v>74</v>
      </c>
      <c r="B75" s="129">
        <v>29431</v>
      </c>
      <c r="C75" s="128">
        <f>SUM(B$2:B75)</f>
        <v>276154</v>
      </c>
    </row>
    <row r="76" spans="1:3" ht="15.75" customHeight="1">
      <c r="A76" s="128">
        <v>75</v>
      </c>
      <c r="B76" s="129">
        <v>32530</v>
      </c>
      <c r="C76" s="128">
        <f>SUM(B$2:B76)</f>
        <v>308684</v>
      </c>
    </row>
    <row r="77" spans="1:3" ht="15.75" customHeight="1">
      <c r="A77" s="128">
        <v>76</v>
      </c>
      <c r="B77" s="129">
        <v>33402</v>
      </c>
      <c r="C77" s="128">
        <f>SUM(B$2:B77)</f>
        <v>342086</v>
      </c>
    </row>
    <row r="78" spans="1:3" ht="15.75" customHeight="1">
      <c r="A78" s="128">
        <v>77</v>
      </c>
      <c r="B78" s="129">
        <v>34286</v>
      </c>
      <c r="C78" s="128">
        <f>SUM(B$2:B78)</f>
        <v>376372</v>
      </c>
    </row>
    <row r="79" spans="1:3" ht="15.75" customHeight="1">
      <c r="A79" s="128">
        <v>78</v>
      </c>
      <c r="B79" s="129">
        <v>35181</v>
      </c>
      <c r="C79" s="128">
        <f>SUM(B$2:B79)</f>
        <v>411553</v>
      </c>
    </row>
    <row r="80" spans="1:3" ht="15.75" customHeight="1">
      <c r="A80" s="128">
        <v>79</v>
      </c>
      <c r="B80" s="129">
        <v>36088</v>
      </c>
      <c r="C80" s="128">
        <f>SUM(B$2:B80)</f>
        <v>447641</v>
      </c>
    </row>
    <row r="81" spans="1:3" ht="15.75" customHeight="1">
      <c r="A81" s="128">
        <v>80</v>
      </c>
      <c r="B81" s="129">
        <v>37006</v>
      </c>
      <c r="C81" s="128">
        <f>SUM(B$2:B81)</f>
        <v>484647</v>
      </c>
    </row>
    <row r="82" spans="1:3" ht="15.75" customHeight="1">
      <c r="A82" s="128">
        <v>81</v>
      </c>
      <c r="B82" s="129">
        <v>37936</v>
      </c>
      <c r="C82" s="128">
        <f>SUM(B$2:B82)</f>
        <v>522583</v>
      </c>
    </row>
    <row r="83" spans="1:3" ht="15.75" customHeight="1">
      <c r="A83" s="128">
        <v>82</v>
      </c>
      <c r="B83" s="129">
        <v>38878</v>
      </c>
      <c r="C83" s="128">
        <f>SUM(B$2:B83)</f>
        <v>561461</v>
      </c>
    </row>
    <row r="84" spans="1:3" ht="15.75" customHeight="1">
      <c r="A84" s="128">
        <v>83</v>
      </c>
      <c r="B84" s="129">
        <v>39831</v>
      </c>
      <c r="C84" s="128">
        <f>SUM(B$2:B84)</f>
        <v>601292</v>
      </c>
    </row>
    <row r="85" spans="1:3" ht="15.75" customHeight="1">
      <c r="A85" s="128">
        <v>84</v>
      </c>
      <c r="B85" s="129">
        <v>40795</v>
      </c>
      <c r="C85" s="128">
        <f>SUM(B$2:B85)</f>
        <v>642087</v>
      </c>
    </row>
    <row r="86" spans="1:3" ht="15.75" customHeight="1">
      <c r="A86" s="128">
        <v>85</v>
      </c>
      <c r="B86" s="129">
        <v>41771</v>
      </c>
      <c r="C86" s="128">
        <f>SUM(B$2:B86)</f>
        <v>683858</v>
      </c>
    </row>
    <row r="87" spans="1:3" ht="15.75" customHeight="1">
      <c r="A87" s="128">
        <v>86</v>
      </c>
      <c r="B87" s="129">
        <v>42759</v>
      </c>
      <c r="C87" s="128">
        <f>SUM(B$2:B87)</f>
        <v>726617</v>
      </c>
    </row>
    <row r="88" spans="1:3" ht="15.75" customHeight="1">
      <c r="A88" s="128">
        <v>87</v>
      </c>
      <c r="B88" s="129">
        <v>43758</v>
      </c>
      <c r="C88" s="128">
        <f>SUM(B$2:B88)</f>
        <v>770375</v>
      </c>
    </row>
    <row r="89" spans="1:3" ht="15.75" customHeight="1">
      <c r="A89" s="128">
        <v>88</v>
      </c>
      <c r="B89" s="129">
        <v>44769</v>
      </c>
      <c r="C89" s="128">
        <f>SUM(B$2:B89)</f>
        <v>815144</v>
      </c>
    </row>
    <row r="90" spans="1:3" ht="15.75" customHeight="1">
      <c r="A90" s="128">
        <v>89</v>
      </c>
      <c r="B90" s="129">
        <v>45791</v>
      </c>
      <c r="C90" s="128">
        <f>SUM(B$2:B90)</f>
        <v>860935</v>
      </c>
    </row>
    <row r="91" spans="1:3" ht="15.75" customHeight="1">
      <c r="A91" s="128">
        <v>90</v>
      </c>
      <c r="B91" s="129">
        <v>46825</v>
      </c>
      <c r="C91" s="128">
        <f>SUM(B$2:B91)</f>
        <v>907760</v>
      </c>
    </row>
    <row r="92" spans="1:3" ht="15.75" customHeight="1">
      <c r="A92" s="128">
        <v>91</v>
      </c>
      <c r="B92" s="129">
        <v>47870</v>
      </c>
      <c r="C92" s="128">
        <f>SUM(B$2:B92)</f>
        <v>955630</v>
      </c>
    </row>
    <row r="93" spans="1:3" ht="15.75" customHeight="1">
      <c r="A93" s="128">
        <v>92</v>
      </c>
      <c r="B93" s="129">
        <v>48927</v>
      </c>
      <c r="C93" s="128">
        <f>SUM(B$2:B93)</f>
        <v>1004557</v>
      </c>
    </row>
    <row r="94" spans="1:3" ht="15.75" customHeight="1">
      <c r="A94" s="128">
        <v>93</v>
      </c>
      <c r="B94" s="129">
        <v>49996</v>
      </c>
      <c r="C94" s="128">
        <f>SUM(B$2:B94)</f>
        <v>1054553</v>
      </c>
    </row>
    <row r="95" spans="1:3" ht="15.75" customHeight="1">
      <c r="A95" s="128">
        <v>94</v>
      </c>
      <c r="B95" s="129">
        <v>51076</v>
      </c>
      <c r="C95" s="128">
        <f>SUM(B$2:B95)</f>
        <v>1105629</v>
      </c>
    </row>
    <row r="96" spans="1:3" ht="15.75" customHeight="1">
      <c r="A96" s="128">
        <v>95</v>
      </c>
      <c r="B96" s="129">
        <v>52167</v>
      </c>
      <c r="C96" s="128">
        <f>SUM(B$2:B96)</f>
        <v>1157796</v>
      </c>
    </row>
    <row r="97" spans="1:3" ht="15.75" customHeight="1">
      <c r="A97" s="128">
        <v>96</v>
      </c>
      <c r="B97" s="129">
        <v>53270</v>
      </c>
      <c r="C97" s="128">
        <f>SUM(B$2:B97)</f>
        <v>1211066</v>
      </c>
    </row>
    <row r="98" spans="1:3" ht="15.75" customHeight="1">
      <c r="A98" s="128">
        <v>97</v>
      </c>
      <c r="B98" s="129">
        <v>54385</v>
      </c>
      <c r="C98" s="128">
        <f>SUM(B$2:B98)</f>
        <v>1265451</v>
      </c>
    </row>
    <row r="99" spans="1:3" ht="15.75" customHeight="1">
      <c r="A99" s="128">
        <v>98</v>
      </c>
      <c r="B99" s="129">
        <v>55511</v>
      </c>
      <c r="C99" s="128">
        <f>SUM(B$2:B99)</f>
        <v>1320962</v>
      </c>
    </row>
    <row r="100" spans="1:3" ht="15.75" customHeight="1">
      <c r="A100" s="128">
        <v>99</v>
      </c>
      <c r="B100" s="129">
        <v>56649</v>
      </c>
      <c r="C100" s="128">
        <f>SUM(B$2:B100)</f>
        <v>1377611</v>
      </c>
    </row>
    <row r="101" spans="1:3" ht="15.75" customHeight="1">
      <c r="A101" s="128">
        <v>100</v>
      </c>
      <c r="B101" s="129">
        <v>57798</v>
      </c>
      <c r="C101" s="128">
        <f>SUM(B$2:B101)</f>
        <v>1435409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D21"/>
  <sheetViews>
    <sheetView zoomScaleNormal="100" workbookViewId="0"/>
  </sheetViews>
  <sheetFormatPr defaultColWidth="12.5703125" defaultRowHeight="12.75"/>
  <sheetData>
    <row r="1" spans="1:4" ht="14.25" customHeight="1">
      <c r="A1" s="2" t="s">
        <v>733</v>
      </c>
      <c r="B1" s="2" t="s">
        <v>63</v>
      </c>
      <c r="C1" s="2" t="s">
        <v>4529</v>
      </c>
      <c r="D1" s="2" t="s">
        <v>4530</v>
      </c>
    </row>
    <row r="2" spans="1:4" ht="14.25" customHeight="1">
      <c r="A2" s="2">
        <v>1</v>
      </c>
      <c r="B2" s="2">
        <v>5</v>
      </c>
      <c r="C2" s="2">
        <v>2</v>
      </c>
      <c r="D2" s="2">
        <f>B2*C2</f>
        <v>10</v>
      </c>
    </row>
    <row r="3" spans="1:4" ht="14.25" customHeight="1">
      <c r="A3" s="2">
        <v>1</v>
      </c>
      <c r="B3" s="2">
        <v>10</v>
      </c>
      <c r="C3" s="2">
        <v>3</v>
      </c>
      <c r="D3" s="2">
        <f t="shared" ref="D3:D21" si="0">(B3-B2)*C3</f>
        <v>15</v>
      </c>
    </row>
    <row r="4" spans="1:4" ht="14.25" customHeight="1">
      <c r="A4" s="2">
        <v>1</v>
      </c>
      <c r="B4" s="2">
        <v>15</v>
      </c>
      <c r="C4" s="2">
        <f>C3+2</f>
        <v>5</v>
      </c>
      <c r="D4" s="2">
        <f t="shared" si="0"/>
        <v>25</v>
      </c>
    </row>
    <row r="5" spans="1:4" ht="14.25" customHeight="1">
      <c r="A5" s="2">
        <v>1</v>
      </c>
      <c r="B5" s="2">
        <v>20</v>
      </c>
      <c r="C5" s="2">
        <f>C4+2</f>
        <v>7</v>
      </c>
      <c r="D5" s="2">
        <f t="shared" si="0"/>
        <v>35</v>
      </c>
    </row>
    <row r="6" spans="1:4" ht="14.25" customHeight="1">
      <c r="A6" s="2">
        <v>1</v>
      </c>
      <c r="B6" s="2">
        <v>25</v>
      </c>
      <c r="C6" s="2">
        <f>C5+2</f>
        <v>9</v>
      </c>
      <c r="D6" s="2">
        <f t="shared" si="0"/>
        <v>45</v>
      </c>
    </row>
    <row r="7" spans="1:4" ht="14.25" customHeight="1">
      <c r="A7" s="2">
        <v>1</v>
      </c>
      <c r="B7" s="2">
        <v>30</v>
      </c>
      <c r="C7" s="2">
        <f>C6+3</f>
        <v>12</v>
      </c>
      <c r="D7" s="2">
        <f t="shared" si="0"/>
        <v>60</v>
      </c>
    </row>
    <row r="8" spans="1:4" ht="14.25" customHeight="1">
      <c r="A8" s="2">
        <v>1</v>
      </c>
      <c r="B8" s="2">
        <v>35</v>
      </c>
      <c r="C8" s="2">
        <f>C7+3</f>
        <v>15</v>
      </c>
      <c r="D8" s="2">
        <f t="shared" si="0"/>
        <v>75</v>
      </c>
    </row>
    <row r="9" spans="1:4" ht="14.25" customHeight="1">
      <c r="A9" s="2">
        <v>1</v>
      </c>
      <c r="B9" s="2">
        <v>40</v>
      </c>
      <c r="C9" s="2">
        <f>C8+3</f>
        <v>18</v>
      </c>
      <c r="D9" s="2">
        <f t="shared" si="0"/>
        <v>90</v>
      </c>
    </row>
    <row r="10" spans="1:4" ht="14.25" customHeight="1">
      <c r="A10" s="2">
        <v>1</v>
      </c>
      <c r="B10" s="2">
        <v>45</v>
      </c>
      <c r="C10" s="2">
        <f>C9+3</f>
        <v>21</v>
      </c>
      <c r="D10" s="2">
        <f t="shared" si="0"/>
        <v>105</v>
      </c>
    </row>
    <row r="11" spans="1:4" ht="14.25" customHeight="1">
      <c r="A11" s="2">
        <v>1</v>
      </c>
      <c r="B11" s="2">
        <v>50</v>
      </c>
      <c r="C11" s="2">
        <f>C10+4</f>
        <v>25</v>
      </c>
      <c r="D11" s="2">
        <f t="shared" si="0"/>
        <v>125</v>
      </c>
    </row>
    <row r="12" spans="1:4" ht="14.25" customHeight="1">
      <c r="A12" s="2">
        <v>1</v>
      </c>
      <c r="B12" s="2">
        <v>55</v>
      </c>
      <c r="C12" s="2">
        <f>C11+4</f>
        <v>29</v>
      </c>
      <c r="D12" s="2">
        <f t="shared" si="0"/>
        <v>145</v>
      </c>
    </row>
    <row r="13" spans="1:4" ht="14.25" customHeight="1">
      <c r="A13" s="2">
        <v>1</v>
      </c>
      <c r="B13" s="2">
        <f t="shared" ref="B13:B21" si="1">B12+5</f>
        <v>60</v>
      </c>
      <c r="C13" s="2">
        <f>C12+4</f>
        <v>33</v>
      </c>
      <c r="D13" s="2">
        <f t="shared" si="0"/>
        <v>165</v>
      </c>
    </row>
    <row r="14" spans="1:4" ht="14.25" customHeight="1">
      <c r="A14" s="2">
        <v>1</v>
      </c>
      <c r="B14" s="2">
        <f t="shared" si="1"/>
        <v>65</v>
      </c>
      <c r="C14" s="2">
        <f>C13+4</f>
        <v>37</v>
      </c>
      <c r="D14" s="2">
        <f t="shared" si="0"/>
        <v>185</v>
      </c>
    </row>
    <row r="15" spans="1:4" ht="14.25" customHeight="1">
      <c r="A15" s="2">
        <v>1</v>
      </c>
      <c r="B15" s="2">
        <f t="shared" si="1"/>
        <v>70</v>
      </c>
      <c r="C15" s="2">
        <f>C14+4</f>
        <v>41</v>
      </c>
      <c r="D15" s="2">
        <f t="shared" si="0"/>
        <v>205</v>
      </c>
    </row>
    <row r="16" spans="1:4" ht="14.25" customHeight="1">
      <c r="A16" s="2">
        <v>1</v>
      </c>
      <c r="B16" s="2">
        <f t="shared" si="1"/>
        <v>75</v>
      </c>
      <c r="C16" s="2">
        <f t="shared" ref="C16:C21" si="2">C15+5</f>
        <v>46</v>
      </c>
      <c r="D16" s="2">
        <f t="shared" si="0"/>
        <v>230</v>
      </c>
    </row>
    <row r="17" spans="1:4" ht="14.25" customHeight="1">
      <c r="A17" s="2">
        <v>1</v>
      </c>
      <c r="B17" s="2">
        <f t="shared" si="1"/>
        <v>80</v>
      </c>
      <c r="C17" s="2">
        <f t="shared" si="2"/>
        <v>51</v>
      </c>
      <c r="D17" s="2">
        <f t="shared" si="0"/>
        <v>255</v>
      </c>
    </row>
    <row r="18" spans="1:4" ht="14.25" customHeight="1">
      <c r="A18" s="2">
        <v>1</v>
      </c>
      <c r="B18" s="2">
        <f t="shared" si="1"/>
        <v>85</v>
      </c>
      <c r="C18" s="2">
        <f t="shared" si="2"/>
        <v>56</v>
      </c>
      <c r="D18" s="2">
        <f t="shared" si="0"/>
        <v>280</v>
      </c>
    </row>
    <row r="19" spans="1:4" ht="14.25" customHeight="1">
      <c r="A19" s="2">
        <v>1</v>
      </c>
      <c r="B19" s="2">
        <f t="shared" si="1"/>
        <v>90</v>
      </c>
      <c r="C19" s="2">
        <f t="shared" si="2"/>
        <v>61</v>
      </c>
      <c r="D19" s="2">
        <f t="shared" si="0"/>
        <v>305</v>
      </c>
    </row>
    <row r="20" spans="1:4" ht="14.25" customHeight="1">
      <c r="A20" s="2">
        <v>1</v>
      </c>
      <c r="B20" s="2">
        <f t="shared" si="1"/>
        <v>95</v>
      </c>
      <c r="C20" s="2">
        <f t="shared" si="2"/>
        <v>66</v>
      </c>
      <c r="D20" s="2">
        <f t="shared" si="0"/>
        <v>330</v>
      </c>
    </row>
    <row r="21" spans="1:4" ht="14.25" customHeight="1">
      <c r="A21" s="2">
        <v>1</v>
      </c>
      <c r="B21" s="2">
        <f t="shared" si="1"/>
        <v>100</v>
      </c>
      <c r="C21" s="2">
        <f t="shared" si="2"/>
        <v>71</v>
      </c>
      <c r="D21" s="2">
        <f t="shared" si="0"/>
        <v>355</v>
      </c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2:D232"/>
  <sheetViews>
    <sheetView topLeftCell="A25" zoomScaleNormal="100" workbookViewId="0"/>
  </sheetViews>
  <sheetFormatPr defaultColWidth="12.5703125" defaultRowHeight="12.75"/>
  <cols>
    <col min="5" max="5" width="14.7109375" customWidth="1"/>
  </cols>
  <sheetData>
    <row r="2" spans="1:4" ht="14.25" customHeight="1">
      <c r="A2" s="40" t="s">
        <v>0</v>
      </c>
      <c r="B2" s="40" t="s">
        <v>3490</v>
      </c>
      <c r="C2" s="40" t="s">
        <v>0</v>
      </c>
      <c r="D2" s="40" t="s">
        <v>4473</v>
      </c>
    </row>
    <row r="3" spans="1:4" ht="14.25" customHeight="1">
      <c r="A3" s="6">
        <v>100</v>
      </c>
      <c r="B3" s="6">
        <v>25</v>
      </c>
      <c r="C3" s="6">
        <v>10001</v>
      </c>
      <c r="D3" s="52" t="s">
        <v>75</v>
      </c>
    </row>
    <row r="4" spans="1:4" ht="14.25" customHeight="1">
      <c r="A4" s="6">
        <v>100</v>
      </c>
      <c r="B4" s="6">
        <v>25</v>
      </c>
      <c r="C4" s="6">
        <f t="shared" ref="C4:C9" si="0">C3+1</f>
        <v>10002</v>
      </c>
      <c r="D4" s="52" t="s">
        <v>75</v>
      </c>
    </row>
    <row r="5" spans="1:4" ht="14.25" customHeight="1">
      <c r="A5" s="6">
        <v>100</v>
      </c>
      <c r="B5" s="6">
        <v>25</v>
      </c>
      <c r="C5" s="6">
        <f t="shared" si="0"/>
        <v>10003</v>
      </c>
      <c r="D5" s="52" t="s">
        <v>75</v>
      </c>
    </row>
    <row r="6" spans="1:4" ht="14.25" customHeight="1">
      <c r="A6" s="6">
        <v>100</v>
      </c>
      <c r="B6" s="6">
        <v>25</v>
      </c>
      <c r="C6" s="6">
        <f t="shared" si="0"/>
        <v>10004</v>
      </c>
      <c r="D6" s="52" t="s">
        <v>75</v>
      </c>
    </row>
    <row r="7" spans="1:4" ht="14.25" customHeight="1">
      <c r="A7" s="6">
        <v>100</v>
      </c>
      <c r="B7" s="6">
        <v>25</v>
      </c>
      <c r="C7" s="6">
        <f t="shared" si="0"/>
        <v>10005</v>
      </c>
      <c r="D7" s="52" t="s">
        <v>75</v>
      </c>
    </row>
    <row r="8" spans="1:4" ht="14.25" customHeight="1">
      <c r="A8" s="6">
        <v>100</v>
      </c>
      <c r="B8" s="6">
        <v>25</v>
      </c>
      <c r="C8" s="6">
        <f t="shared" si="0"/>
        <v>10006</v>
      </c>
      <c r="D8" s="52" t="s">
        <v>75</v>
      </c>
    </row>
    <row r="9" spans="1:4" ht="14.25" customHeight="1">
      <c r="A9" s="6">
        <v>100</v>
      </c>
      <c r="B9" s="6">
        <v>25</v>
      </c>
      <c r="C9" s="6">
        <f t="shared" si="0"/>
        <v>10007</v>
      </c>
      <c r="D9" s="52" t="s">
        <v>75</v>
      </c>
    </row>
    <row r="10" spans="1:4" ht="14.25" customHeight="1">
      <c r="A10" s="6">
        <v>100</v>
      </c>
      <c r="B10" s="6">
        <v>25</v>
      </c>
      <c r="C10" s="6">
        <v>10008</v>
      </c>
      <c r="D10" s="52" t="s">
        <v>75</v>
      </c>
    </row>
    <row r="11" spans="1:4" ht="14.25" customHeight="1">
      <c r="A11" s="6">
        <v>100</v>
      </c>
      <c r="B11" s="6">
        <v>25</v>
      </c>
      <c r="C11" s="6">
        <v>10009</v>
      </c>
      <c r="D11" s="52" t="s">
        <v>75</v>
      </c>
    </row>
    <row r="12" spans="1:4" ht="14.25" customHeight="1">
      <c r="A12" s="6">
        <v>100</v>
      </c>
      <c r="B12" s="6">
        <v>25</v>
      </c>
      <c r="C12" s="6">
        <v>10010</v>
      </c>
      <c r="D12" s="52" t="s">
        <v>75</v>
      </c>
    </row>
    <row r="13" spans="1:4" ht="14.25" customHeight="1">
      <c r="A13" s="6">
        <v>100</v>
      </c>
      <c r="B13" s="6">
        <v>25</v>
      </c>
      <c r="C13" s="6">
        <v>10011</v>
      </c>
      <c r="D13" s="52" t="s">
        <v>75</v>
      </c>
    </row>
    <row r="14" spans="1:4" ht="14.25" customHeight="1">
      <c r="A14" s="6">
        <v>100</v>
      </c>
      <c r="B14" s="6">
        <v>25</v>
      </c>
      <c r="C14" s="6">
        <v>10012</v>
      </c>
      <c r="D14" s="52" t="s">
        <v>75</v>
      </c>
    </row>
    <row r="15" spans="1:4" ht="14.25" customHeight="1">
      <c r="A15" s="6">
        <v>100</v>
      </c>
      <c r="B15" s="6">
        <v>300</v>
      </c>
      <c r="C15" s="6">
        <v>10013</v>
      </c>
      <c r="D15" s="52" t="s">
        <v>77</v>
      </c>
    </row>
    <row r="16" spans="1:4" ht="14.25" customHeight="1">
      <c r="A16" s="6">
        <v>100</v>
      </c>
      <c r="B16" s="6">
        <v>300</v>
      </c>
      <c r="C16" s="6">
        <v>10014</v>
      </c>
      <c r="D16" s="52" t="s">
        <v>77</v>
      </c>
    </row>
    <row r="17" spans="1:4" ht="14.25" customHeight="1">
      <c r="A17" s="6">
        <v>100</v>
      </c>
      <c r="B17" s="6">
        <v>300</v>
      </c>
      <c r="C17" s="6">
        <v>10015</v>
      </c>
      <c r="D17" s="52" t="s">
        <v>77</v>
      </c>
    </row>
    <row r="18" spans="1:4" ht="14.25" customHeight="1">
      <c r="A18" s="6">
        <v>100</v>
      </c>
      <c r="B18" s="6">
        <v>300</v>
      </c>
      <c r="C18" s="6">
        <v>10016</v>
      </c>
      <c r="D18" s="52" t="s">
        <v>77</v>
      </c>
    </row>
    <row r="19" spans="1:4" ht="14.25" customHeight="1">
      <c r="A19" s="6">
        <v>100</v>
      </c>
      <c r="B19" s="6">
        <v>300</v>
      </c>
      <c r="C19" s="6">
        <v>10017</v>
      </c>
      <c r="D19" s="52" t="s">
        <v>77</v>
      </c>
    </row>
    <row r="20" spans="1:4" ht="14.25" customHeight="1">
      <c r="A20" s="6">
        <v>100</v>
      </c>
      <c r="B20" s="6">
        <v>300</v>
      </c>
      <c r="C20" s="6">
        <v>10018</v>
      </c>
      <c r="D20" s="52" t="s">
        <v>77</v>
      </c>
    </row>
    <row r="21" spans="1:4" ht="14.25" customHeight="1">
      <c r="A21" s="6">
        <v>100</v>
      </c>
      <c r="B21" s="6">
        <v>300</v>
      </c>
      <c r="C21" s="6">
        <v>10019</v>
      </c>
      <c r="D21" s="52" t="s">
        <v>77</v>
      </c>
    </row>
    <row r="22" spans="1:4" ht="14.25" customHeight="1">
      <c r="A22" s="6">
        <v>100</v>
      </c>
      <c r="B22" s="6">
        <v>300</v>
      </c>
      <c r="C22" s="6">
        <v>10020</v>
      </c>
      <c r="D22" s="52" t="s">
        <v>77</v>
      </c>
    </row>
    <row r="23" spans="1:4" ht="14.25" customHeight="1">
      <c r="A23" s="6">
        <v>100</v>
      </c>
      <c r="B23" s="6">
        <v>300</v>
      </c>
      <c r="C23" s="6">
        <v>10021</v>
      </c>
      <c r="D23" s="52" t="s">
        <v>77</v>
      </c>
    </row>
    <row r="24" spans="1:4" ht="14.25" customHeight="1">
      <c r="A24" s="6">
        <v>100</v>
      </c>
      <c r="B24" s="6">
        <v>700</v>
      </c>
      <c r="C24" s="6">
        <v>10022</v>
      </c>
      <c r="D24" s="52" t="s">
        <v>79</v>
      </c>
    </row>
    <row r="25" spans="1:4" ht="14.25" customHeight="1">
      <c r="A25" s="6">
        <v>100</v>
      </c>
      <c r="B25" s="6">
        <v>700</v>
      </c>
      <c r="C25" s="6">
        <v>10023</v>
      </c>
      <c r="D25" s="52" t="s">
        <v>79</v>
      </c>
    </row>
    <row r="26" spans="1:4" ht="14.25" customHeight="1">
      <c r="A26" s="6">
        <v>100</v>
      </c>
      <c r="B26" s="6">
        <v>700</v>
      </c>
      <c r="C26" s="6">
        <v>10024</v>
      </c>
      <c r="D26" s="52" t="s">
        <v>79</v>
      </c>
    </row>
    <row r="27" spans="1:4" ht="14.25" customHeight="1">
      <c r="A27" s="6">
        <v>100</v>
      </c>
      <c r="B27" s="6">
        <v>700</v>
      </c>
      <c r="C27" s="6">
        <v>10025</v>
      </c>
      <c r="D27" s="52" t="s">
        <v>79</v>
      </c>
    </row>
    <row r="28" spans="1:4" ht="14.25" customHeight="1">
      <c r="A28" s="6">
        <v>100</v>
      </c>
      <c r="B28" s="6">
        <v>700</v>
      </c>
      <c r="C28" s="6">
        <v>10026</v>
      </c>
      <c r="D28" s="52" t="s">
        <v>79</v>
      </c>
    </row>
    <row r="29" spans="1:4" ht="14.25" customHeight="1">
      <c r="A29" s="6">
        <v>100</v>
      </c>
      <c r="B29" s="6">
        <v>700</v>
      </c>
      <c r="C29" s="6">
        <v>10027</v>
      </c>
      <c r="D29" s="52" t="s">
        <v>79</v>
      </c>
    </row>
    <row r="30" spans="1:4" ht="14.25" customHeight="1">
      <c r="A30" s="6">
        <v>100</v>
      </c>
      <c r="B30" s="6">
        <v>700</v>
      </c>
      <c r="C30" s="6">
        <v>10028</v>
      </c>
      <c r="D30" s="52" t="s">
        <v>79</v>
      </c>
    </row>
    <row r="31" spans="1:4" ht="14.25" customHeight="1">
      <c r="A31" s="6">
        <v>100</v>
      </c>
      <c r="B31" s="6">
        <v>700</v>
      </c>
      <c r="C31" s="6">
        <v>10029</v>
      </c>
      <c r="D31" s="52" t="s">
        <v>79</v>
      </c>
    </row>
    <row r="32" spans="1:4" ht="14.25" customHeight="1">
      <c r="A32" s="6">
        <v>100</v>
      </c>
      <c r="B32" s="6">
        <v>700</v>
      </c>
      <c r="C32" s="6">
        <v>10030</v>
      </c>
      <c r="D32" s="52" t="s">
        <v>79</v>
      </c>
    </row>
    <row r="33" spans="1:4" ht="14.25" customHeight="1">
      <c r="A33" s="6">
        <v>100</v>
      </c>
      <c r="B33" s="6">
        <v>700</v>
      </c>
      <c r="C33" s="6">
        <v>10031</v>
      </c>
      <c r="D33" s="52" t="s">
        <v>79</v>
      </c>
    </row>
    <row r="35" spans="1:4" ht="14.25" customHeight="1">
      <c r="A35" s="40" t="s">
        <v>0</v>
      </c>
      <c r="B35" s="40" t="s">
        <v>3490</v>
      </c>
      <c r="C35" s="40" t="s">
        <v>0</v>
      </c>
      <c r="D35" s="40" t="s">
        <v>4473</v>
      </c>
    </row>
    <row r="36" spans="1:4" ht="14.25" customHeight="1">
      <c r="A36" s="6">
        <v>101</v>
      </c>
      <c r="B36" s="2">
        <f t="shared" ref="B36:B59" si="1">IF(D36="R",200,IF(D36="SR",45,IF(D36="SSR",5)))</f>
        <v>200</v>
      </c>
      <c r="C36" s="2">
        <v>80001</v>
      </c>
      <c r="D36" s="6" t="s">
        <v>79</v>
      </c>
    </row>
    <row r="37" spans="1:4" ht="14.25" customHeight="1">
      <c r="A37" s="6">
        <v>101</v>
      </c>
      <c r="B37" s="2">
        <f t="shared" si="1"/>
        <v>200</v>
      </c>
      <c r="C37" s="2">
        <v>81001</v>
      </c>
      <c r="D37" s="6" t="s">
        <v>79</v>
      </c>
    </row>
    <row r="38" spans="1:4" ht="14.25" customHeight="1">
      <c r="A38" s="6">
        <v>101</v>
      </c>
      <c r="B38" s="2">
        <f t="shared" si="1"/>
        <v>200</v>
      </c>
      <c r="C38" s="2">
        <v>82001</v>
      </c>
      <c r="D38" s="6" t="s">
        <v>79</v>
      </c>
    </row>
    <row r="39" spans="1:4" ht="14.25" customHeight="1">
      <c r="A39" s="6">
        <v>101</v>
      </c>
      <c r="B39" s="2">
        <f t="shared" si="1"/>
        <v>200</v>
      </c>
      <c r="C39" s="2">
        <v>83001</v>
      </c>
      <c r="D39" s="6" t="s">
        <v>79</v>
      </c>
    </row>
    <row r="40" spans="1:4" ht="14.25" customHeight="1">
      <c r="A40" s="6">
        <v>101</v>
      </c>
      <c r="B40" s="2">
        <f t="shared" si="1"/>
        <v>200</v>
      </c>
      <c r="C40" s="2">
        <v>84001</v>
      </c>
      <c r="D40" s="6" t="s">
        <v>79</v>
      </c>
    </row>
    <row r="41" spans="1:4" ht="14.25" customHeight="1">
      <c r="A41" s="6">
        <v>101</v>
      </c>
      <c r="B41" s="2">
        <f t="shared" si="1"/>
        <v>200</v>
      </c>
      <c r="C41" s="2">
        <v>85001</v>
      </c>
      <c r="D41" s="6" t="s">
        <v>79</v>
      </c>
    </row>
    <row r="42" spans="1:4" ht="14.25" customHeight="1">
      <c r="A42" s="6">
        <v>101</v>
      </c>
      <c r="B42" s="2">
        <f t="shared" si="1"/>
        <v>45</v>
      </c>
      <c r="C42" s="2">
        <f t="shared" ref="C42:C73" si="2">C36+1</f>
        <v>80002</v>
      </c>
      <c r="D42" s="6" t="s">
        <v>77</v>
      </c>
    </row>
    <row r="43" spans="1:4" ht="14.25" customHeight="1">
      <c r="A43" s="6">
        <v>101</v>
      </c>
      <c r="B43" s="2">
        <f t="shared" si="1"/>
        <v>45</v>
      </c>
      <c r="C43" s="2">
        <f t="shared" si="2"/>
        <v>81002</v>
      </c>
      <c r="D43" s="6" t="s">
        <v>77</v>
      </c>
    </row>
    <row r="44" spans="1:4" ht="14.25" customHeight="1">
      <c r="A44" s="6">
        <v>101</v>
      </c>
      <c r="B44" s="2">
        <f t="shared" si="1"/>
        <v>45</v>
      </c>
      <c r="C44" s="2">
        <f t="shared" si="2"/>
        <v>82002</v>
      </c>
      <c r="D44" s="6" t="s">
        <v>77</v>
      </c>
    </row>
    <row r="45" spans="1:4" ht="14.25" customHeight="1">
      <c r="A45" s="6">
        <v>101</v>
      </c>
      <c r="B45" s="2">
        <f t="shared" si="1"/>
        <v>45</v>
      </c>
      <c r="C45" s="2">
        <f t="shared" si="2"/>
        <v>83002</v>
      </c>
      <c r="D45" s="6" t="s">
        <v>77</v>
      </c>
    </row>
    <row r="46" spans="1:4" ht="14.25" customHeight="1">
      <c r="A46" s="6">
        <v>101</v>
      </c>
      <c r="B46" s="2">
        <f t="shared" si="1"/>
        <v>45</v>
      </c>
      <c r="C46" s="2">
        <f t="shared" si="2"/>
        <v>84002</v>
      </c>
      <c r="D46" s="6" t="s">
        <v>77</v>
      </c>
    </row>
    <row r="47" spans="1:4" ht="14.25" customHeight="1">
      <c r="A47" s="6">
        <v>101</v>
      </c>
      <c r="B47" s="2">
        <f t="shared" si="1"/>
        <v>45</v>
      </c>
      <c r="C47" s="2">
        <f t="shared" si="2"/>
        <v>85002</v>
      </c>
      <c r="D47" s="6" t="s">
        <v>77</v>
      </c>
    </row>
    <row r="48" spans="1:4" ht="14.25" customHeight="1">
      <c r="A48" s="6">
        <v>101</v>
      </c>
      <c r="B48" s="2">
        <f t="shared" si="1"/>
        <v>45</v>
      </c>
      <c r="C48" s="2">
        <f t="shared" si="2"/>
        <v>80003</v>
      </c>
      <c r="D48" s="6" t="s">
        <v>77</v>
      </c>
    </row>
    <row r="49" spans="1:4" ht="14.25" customHeight="1">
      <c r="A49" s="6">
        <v>101</v>
      </c>
      <c r="B49" s="2">
        <f t="shared" si="1"/>
        <v>45</v>
      </c>
      <c r="C49" s="2">
        <f t="shared" si="2"/>
        <v>81003</v>
      </c>
      <c r="D49" s="6" t="s">
        <v>77</v>
      </c>
    </row>
    <row r="50" spans="1:4" ht="14.25" customHeight="1">
      <c r="A50" s="6">
        <v>101</v>
      </c>
      <c r="B50" s="2">
        <f t="shared" si="1"/>
        <v>45</v>
      </c>
      <c r="C50" s="2">
        <f t="shared" si="2"/>
        <v>82003</v>
      </c>
      <c r="D50" s="6" t="s">
        <v>77</v>
      </c>
    </row>
    <row r="51" spans="1:4" ht="14.25" customHeight="1">
      <c r="A51" s="6">
        <v>101</v>
      </c>
      <c r="B51" s="2">
        <f t="shared" si="1"/>
        <v>45</v>
      </c>
      <c r="C51" s="2">
        <f t="shared" si="2"/>
        <v>83003</v>
      </c>
      <c r="D51" s="6" t="s">
        <v>77</v>
      </c>
    </row>
    <row r="52" spans="1:4" ht="14.25" customHeight="1">
      <c r="A52" s="6">
        <v>101</v>
      </c>
      <c r="B52" s="2">
        <f t="shared" si="1"/>
        <v>45</v>
      </c>
      <c r="C52" s="2">
        <f t="shared" si="2"/>
        <v>84003</v>
      </c>
      <c r="D52" s="6" t="s">
        <v>77</v>
      </c>
    </row>
    <row r="53" spans="1:4" ht="14.25" customHeight="1">
      <c r="A53" s="6">
        <v>101</v>
      </c>
      <c r="B53" s="2">
        <f t="shared" si="1"/>
        <v>45</v>
      </c>
      <c r="C53" s="2">
        <f t="shared" si="2"/>
        <v>85003</v>
      </c>
      <c r="D53" s="6" t="s">
        <v>77</v>
      </c>
    </row>
    <row r="54" spans="1:4" ht="14.25" customHeight="1">
      <c r="A54" s="6">
        <v>101</v>
      </c>
      <c r="B54" s="2">
        <f t="shared" si="1"/>
        <v>5</v>
      </c>
      <c r="C54" s="2">
        <f t="shared" si="2"/>
        <v>80004</v>
      </c>
      <c r="D54" s="6" t="s">
        <v>75</v>
      </c>
    </row>
    <row r="55" spans="1:4" ht="14.25" customHeight="1">
      <c r="A55" s="6">
        <v>101</v>
      </c>
      <c r="B55" s="2">
        <f t="shared" si="1"/>
        <v>5</v>
      </c>
      <c r="C55" s="2">
        <f t="shared" si="2"/>
        <v>81004</v>
      </c>
      <c r="D55" s="6" t="s">
        <v>75</v>
      </c>
    </row>
    <row r="56" spans="1:4" ht="14.25" customHeight="1">
      <c r="A56" s="6">
        <v>101</v>
      </c>
      <c r="B56" s="2">
        <f t="shared" si="1"/>
        <v>5</v>
      </c>
      <c r="C56" s="2">
        <f t="shared" si="2"/>
        <v>82004</v>
      </c>
      <c r="D56" s="6" t="s">
        <v>75</v>
      </c>
    </row>
    <row r="57" spans="1:4" ht="14.25" customHeight="1">
      <c r="A57" s="6">
        <v>101</v>
      </c>
      <c r="B57" s="2">
        <f t="shared" si="1"/>
        <v>5</v>
      </c>
      <c r="C57" s="2">
        <f t="shared" si="2"/>
        <v>83004</v>
      </c>
      <c r="D57" s="6" t="s">
        <v>75</v>
      </c>
    </row>
    <row r="58" spans="1:4" ht="14.25" customHeight="1">
      <c r="A58" s="6">
        <v>101</v>
      </c>
      <c r="B58" s="2">
        <f t="shared" si="1"/>
        <v>5</v>
      </c>
      <c r="C58" s="2">
        <f t="shared" si="2"/>
        <v>84004</v>
      </c>
      <c r="D58" s="6" t="s">
        <v>75</v>
      </c>
    </row>
    <row r="59" spans="1:4" ht="14.25" customHeight="1">
      <c r="A59" s="6">
        <v>101</v>
      </c>
      <c r="B59" s="2">
        <f t="shared" si="1"/>
        <v>5</v>
      </c>
      <c r="C59" s="2">
        <f t="shared" si="2"/>
        <v>85004</v>
      </c>
      <c r="D59" s="6" t="s">
        <v>75</v>
      </c>
    </row>
    <row r="60" spans="1:4" ht="14.25" customHeight="1">
      <c r="A60" s="6">
        <v>101</v>
      </c>
      <c r="B60" s="2">
        <v>195</v>
      </c>
      <c r="C60" s="2">
        <f t="shared" si="2"/>
        <v>80005</v>
      </c>
      <c r="D60" s="6" t="s">
        <v>79</v>
      </c>
    </row>
    <row r="61" spans="1:4" ht="14.25" customHeight="1">
      <c r="A61" s="6">
        <v>101</v>
      </c>
      <c r="B61" s="2">
        <f t="shared" ref="B61:B92" si="3">IF(D61="R",200,IF(D61="SR",45,IF(D61="SSR",5)))</f>
        <v>200</v>
      </c>
      <c r="C61" s="2">
        <f t="shared" si="2"/>
        <v>81005</v>
      </c>
      <c r="D61" s="6" t="s">
        <v>79</v>
      </c>
    </row>
    <row r="62" spans="1:4" ht="14.25" customHeight="1">
      <c r="A62" s="6">
        <v>101</v>
      </c>
      <c r="B62" s="2">
        <f t="shared" si="3"/>
        <v>200</v>
      </c>
      <c r="C62" s="2">
        <f t="shared" si="2"/>
        <v>82005</v>
      </c>
      <c r="D62" s="6" t="s">
        <v>79</v>
      </c>
    </row>
    <row r="63" spans="1:4" ht="14.25" customHeight="1">
      <c r="A63" s="6">
        <v>101</v>
      </c>
      <c r="B63" s="2">
        <f t="shared" si="3"/>
        <v>200</v>
      </c>
      <c r="C63" s="2">
        <f t="shared" si="2"/>
        <v>83005</v>
      </c>
      <c r="D63" s="6" t="s">
        <v>79</v>
      </c>
    </row>
    <row r="64" spans="1:4" ht="14.25" customHeight="1">
      <c r="A64" s="6">
        <v>101</v>
      </c>
      <c r="B64" s="2">
        <f t="shared" si="3"/>
        <v>200</v>
      </c>
      <c r="C64" s="2">
        <f t="shared" si="2"/>
        <v>84005</v>
      </c>
      <c r="D64" s="6" t="s">
        <v>79</v>
      </c>
    </row>
    <row r="65" spans="1:4" ht="14.25" customHeight="1">
      <c r="A65" s="6">
        <v>101</v>
      </c>
      <c r="B65" s="2">
        <f t="shared" si="3"/>
        <v>200</v>
      </c>
      <c r="C65" s="2">
        <f t="shared" si="2"/>
        <v>85005</v>
      </c>
      <c r="D65" s="6" t="s">
        <v>79</v>
      </c>
    </row>
    <row r="66" spans="1:4" ht="14.25" customHeight="1">
      <c r="A66" s="6">
        <v>101</v>
      </c>
      <c r="B66" s="2">
        <f t="shared" si="3"/>
        <v>45</v>
      </c>
      <c r="C66" s="2">
        <f t="shared" si="2"/>
        <v>80006</v>
      </c>
      <c r="D66" s="6" t="s">
        <v>77</v>
      </c>
    </row>
    <row r="67" spans="1:4" ht="14.25" customHeight="1">
      <c r="A67" s="6">
        <v>101</v>
      </c>
      <c r="B67" s="2">
        <f t="shared" si="3"/>
        <v>45</v>
      </c>
      <c r="C67" s="2">
        <f t="shared" si="2"/>
        <v>81006</v>
      </c>
      <c r="D67" s="6" t="s">
        <v>77</v>
      </c>
    </row>
    <row r="68" spans="1:4" ht="14.25" customHeight="1">
      <c r="A68" s="6">
        <v>101</v>
      </c>
      <c r="B68" s="2">
        <f t="shared" si="3"/>
        <v>45</v>
      </c>
      <c r="C68" s="2">
        <f t="shared" si="2"/>
        <v>82006</v>
      </c>
      <c r="D68" s="6" t="s">
        <v>77</v>
      </c>
    </row>
    <row r="69" spans="1:4" ht="14.25" customHeight="1">
      <c r="A69" s="6">
        <v>101</v>
      </c>
      <c r="B69" s="2">
        <f t="shared" si="3"/>
        <v>45</v>
      </c>
      <c r="C69" s="2">
        <f t="shared" si="2"/>
        <v>83006</v>
      </c>
      <c r="D69" s="6" t="s">
        <v>77</v>
      </c>
    </row>
    <row r="70" spans="1:4" ht="14.25" customHeight="1">
      <c r="A70" s="6">
        <v>101</v>
      </c>
      <c r="B70" s="2">
        <f t="shared" si="3"/>
        <v>45</v>
      </c>
      <c r="C70" s="2">
        <f t="shared" si="2"/>
        <v>84006</v>
      </c>
      <c r="D70" s="6" t="s">
        <v>77</v>
      </c>
    </row>
    <row r="71" spans="1:4" ht="14.25" customHeight="1">
      <c r="A71" s="6">
        <v>101</v>
      </c>
      <c r="B71" s="2">
        <f t="shared" si="3"/>
        <v>45</v>
      </c>
      <c r="C71" s="2">
        <f t="shared" si="2"/>
        <v>85006</v>
      </c>
      <c r="D71" s="6" t="s">
        <v>77</v>
      </c>
    </row>
    <row r="72" spans="1:4" ht="14.25" customHeight="1">
      <c r="A72" s="6">
        <v>101</v>
      </c>
      <c r="B72" s="2">
        <f t="shared" si="3"/>
        <v>45</v>
      </c>
      <c r="C72" s="2">
        <f t="shared" si="2"/>
        <v>80007</v>
      </c>
      <c r="D72" s="6" t="s">
        <v>77</v>
      </c>
    </row>
    <row r="73" spans="1:4" ht="14.25" customHeight="1">
      <c r="A73" s="6">
        <v>101</v>
      </c>
      <c r="B73" s="2">
        <f t="shared" si="3"/>
        <v>45</v>
      </c>
      <c r="C73" s="2">
        <f t="shared" si="2"/>
        <v>81007</v>
      </c>
      <c r="D73" s="6" t="s">
        <v>77</v>
      </c>
    </row>
    <row r="74" spans="1:4" ht="14.25" customHeight="1">
      <c r="A74" s="6">
        <v>101</v>
      </c>
      <c r="B74" s="2">
        <f t="shared" si="3"/>
        <v>45</v>
      </c>
      <c r="C74" s="2">
        <f t="shared" ref="C74:C105" si="4">C68+1</f>
        <v>82007</v>
      </c>
      <c r="D74" s="6" t="s">
        <v>77</v>
      </c>
    </row>
    <row r="75" spans="1:4" ht="14.25" customHeight="1">
      <c r="A75" s="6">
        <v>101</v>
      </c>
      <c r="B75" s="2">
        <f t="shared" si="3"/>
        <v>45</v>
      </c>
      <c r="C75" s="2">
        <f t="shared" si="4"/>
        <v>83007</v>
      </c>
      <c r="D75" s="6" t="s">
        <v>77</v>
      </c>
    </row>
    <row r="76" spans="1:4" ht="14.25" customHeight="1">
      <c r="A76" s="6">
        <v>101</v>
      </c>
      <c r="B76" s="2">
        <f t="shared" si="3"/>
        <v>45</v>
      </c>
      <c r="C76" s="2">
        <f t="shared" si="4"/>
        <v>84007</v>
      </c>
      <c r="D76" s="6" t="s">
        <v>77</v>
      </c>
    </row>
    <row r="77" spans="1:4" ht="14.25" customHeight="1">
      <c r="A77" s="6">
        <v>101</v>
      </c>
      <c r="B77" s="2">
        <f t="shared" si="3"/>
        <v>45</v>
      </c>
      <c r="C77" s="2">
        <f t="shared" si="4"/>
        <v>85007</v>
      </c>
      <c r="D77" s="6" t="s">
        <v>77</v>
      </c>
    </row>
    <row r="78" spans="1:4" ht="14.25" customHeight="1">
      <c r="A78" s="6">
        <v>101</v>
      </c>
      <c r="B78" s="2">
        <f t="shared" si="3"/>
        <v>5</v>
      </c>
      <c r="C78" s="2">
        <f t="shared" si="4"/>
        <v>80008</v>
      </c>
      <c r="D78" s="6" t="s">
        <v>75</v>
      </c>
    </row>
    <row r="79" spans="1:4" ht="14.25" customHeight="1">
      <c r="A79" s="6">
        <v>101</v>
      </c>
      <c r="B79" s="2">
        <f t="shared" si="3"/>
        <v>5</v>
      </c>
      <c r="C79" s="2">
        <f t="shared" si="4"/>
        <v>81008</v>
      </c>
      <c r="D79" s="6" t="s">
        <v>75</v>
      </c>
    </row>
    <row r="80" spans="1:4" ht="14.25" customHeight="1">
      <c r="A80" s="6">
        <v>101</v>
      </c>
      <c r="B80" s="2">
        <f t="shared" si="3"/>
        <v>5</v>
      </c>
      <c r="C80" s="2">
        <f t="shared" si="4"/>
        <v>82008</v>
      </c>
      <c r="D80" s="6" t="s">
        <v>75</v>
      </c>
    </row>
    <row r="81" spans="1:4" ht="14.25" customHeight="1">
      <c r="A81" s="6">
        <v>101</v>
      </c>
      <c r="B81" s="2">
        <f t="shared" si="3"/>
        <v>5</v>
      </c>
      <c r="C81" s="2">
        <f t="shared" si="4"/>
        <v>83008</v>
      </c>
      <c r="D81" s="6" t="s">
        <v>75</v>
      </c>
    </row>
    <row r="82" spans="1:4" ht="14.25" customHeight="1">
      <c r="A82" s="6">
        <v>101</v>
      </c>
      <c r="B82" s="2">
        <f t="shared" si="3"/>
        <v>5</v>
      </c>
      <c r="C82" s="2">
        <f t="shared" si="4"/>
        <v>84008</v>
      </c>
      <c r="D82" s="6" t="s">
        <v>75</v>
      </c>
    </row>
    <row r="83" spans="1:4" ht="14.25" customHeight="1">
      <c r="A83" s="6">
        <v>101</v>
      </c>
      <c r="B83" s="2">
        <f t="shared" si="3"/>
        <v>5</v>
      </c>
      <c r="C83" s="2">
        <f t="shared" si="4"/>
        <v>85008</v>
      </c>
      <c r="D83" s="6" t="s">
        <v>75</v>
      </c>
    </row>
    <row r="84" spans="1:4" ht="14.25" customHeight="1">
      <c r="A84" s="6">
        <v>101</v>
      </c>
      <c r="B84" s="2">
        <f t="shared" si="3"/>
        <v>200</v>
      </c>
      <c r="C84" s="2">
        <f t="shared" si="4"/>
        <v>80009</v>
      </c>
      <c r="D84" s="6" t="s">
        <v>79</v>
      </c>
    </row>
    <row r="85" spans="1:4" ht="14.25" customHeight="1">
      <c r="A85" s="6">
        <v>101</v>
      </c>
      <c r="B85" s="2">
        <f t="shared" si="3"/>
        <v>200</v>
      </c>
      <c r="C85" s="2">
        <f t="shared" si="4"/>
        <v>81009</v>
      </c>
      <c r="D85" s="6" t="s">
        <v>79</v>
      </c>
    </row>
    <row r="86" spans="1:4" ht="14.25" customHeight="1">
      <c r="A86" s="6">
        <v>101</v>
      </c>
      <c r="B86" s="2">
        <f t="shared" si="3"/>
        <v>200</v>
      </c>
      <c r="C86" s="2">
        <f t="shared" si="4"/>
        <v>82009</v>
      </c>
      <c r="D86" s="6" t="s">
        <v>79</v>
      </c>
    </row>
    <row r="87" spans="1:4" ht="14.25" customHeight="1">
      <c r="A87" s="6">
        <v>101</v>
      </c>
      <c r="B87" s="2">
        <f t="shared" si="3"/>
        <v>200</v>
      </c>
      <c r="C87" s="2">
        <f t="shared" si="4"/>
        <v>83009</v>
      </c>
      <c r="D87" s="6" t="s">
        <v>79</v>
      </c>
    </row>
    <row r="88" spans="1:4" ht="14.25" customHeight="1">
      <c r="A88" s="6">
        <v>101</v>
      </c>
      <c r="B88" s="2">
        <f t="shared" si="3"/>
        <v>200</v>
      </c>
      <c r="C88" s="2">
        <f t="shared" si="4"/>
        <v>84009</v>
      </c>
      <c r="D88" s="6" t="s">
        <v>79</v>
      </c>
    </row>
    <row r="89" spans="1:4" ht="14.25" customHeight="1">
      <c r="A89" s="6">
        <v>101</v>
      </c>
      <c r="B89" s="2">
        <f t="shared" si="3"/>
        <v>200</v>
      </c>
      <c r="C89" s="2">
        <f t="shared" si="4"/>
        <v>85009</v>
      </c>
      <c r="D89" s="6" t="s">
        <v>79</v>
      </c>
    </row>
    <row r="90" spans="1:4" ht="14.25" customHeight="1">
      <c r="A90" s="6">
        <v>101</v>
      </c>
      <c r="B90" s="2">
        <f t="shared" si="3"/>
        <v>45</v>
      </c>
      <c r="C90" s="2">
        <f t="shared" si="4"/>
        <v>80010</v>
      </c>
      <c r="D90" s="6" t="s">
        <v>77</v>
      </c>
    </row>
    <row r="91" spans="1:4" ht="14.25" customHeight="1">
      <c r="A91" s="6">
        <v>101</v>
      </c>
      <c r="B91" s="2">
        <f t="shared" si="3"/>
        <v>45</v>
      </c>
      <c r="C91" s="2">
        <f t="shared" si="4"/>
        <v>81010</v>
      </c>
      <c r="D91" s="6" t="s">
        <v>77</v>
      </c>
    </row>
    <row r="92" spans="1:4" ht="14.25" customHeight="1">
      <c r="A92" s="6">
        <v>101</v>
      </c>
      <c r="B92" s="2">
        <f t="shared" si="3"/>
        <v>45</v>
      </c>
      <c r="C92" s="2">
        <f t="shared" si="4"/>
        <v>82010</v>
      </c>
      <c r="D92" s="6" t="s">
        <v>77</v>
      </c>
    </row>
    <row r="93" spans="1:4" ht="14.25" customHeight="1">
      <c r="A93" s="6">
        <v>101</v>
      </c>
      <c r="B93" s="2">
        <f t="shared" ref="B93:B117" si="5">IF(D93="R",200,IF(D93="SR",45,IF(D93="SSR",5)))</f>
        <v>45</v>
      </c>
      <c r="C93" s="2">
        <f t="shared" si="4"/>
        <v>83010</v>
      </c>
      <c r="D93" s="6" t="s">
        <v>77</v>
      </c>
    </row>
    <row r="94" spans="1:4" ht="14.25" customHeight="1">
      <c r="A94" s="6">
        <v>101</v>
      </c>
      <c r="B94" s="2">
        <f t="shared" si="5"/>
        <v>45</v>
      </c>
      <c r="C94" s="2">
        <f t="shared" si="4"/>
        <v>84010</v>
      </c>
      <c r="D94" s="6" t="s">
        <v>77</v>
      </c>
    </row>
    <row r="95" spans="1:4" ht="14.25" customHeight="1">
      <c r="A95" s="6">
        <v>101</v>
      </c>
      <c r="B95" s="2">
        <f t="shared" si="5"/>
        <v>45</v>
      </c>
      <c r="C95" s="2">
        <f t="shared" si="4"/>
        <v>85010</v>
      </c>
      <c r="D95" s="6" t="s">
        <v>77</v>
      </c>
    </row>
    <row r="96" spans="1:4" ht="14.25" customHeight="1">
      <c r="A96" s="6">
        <v>101</v>
      </c>
      <c r="B96" s="2">
        <f t="shared" si="5"/>
        <v>45</v>
      </c>
      <c r="C96" s="2">
        <f t="shared" si="4"/>
        <v>80011</v>
      </c>
      <c r="D96" s="6" t="s">
        <v>77</v>
      </c>
    </row>
    <row r="97" spans="1:4" ht="14.25" customHeight="1">
      <c r="A97" s="6">
        <v>101</v>
      </c>
      <c r="B97" s="2">
        <f t="shared" si="5"/>
        <v>45</v>
      </c>
      <c r="C97" s="2">
        <f t="shared" si="4"/>
        <v>81011</v>
      </c>
      <c r="D97" s="6" t="s">
        <v>77</v>
      </c>
    </row>
    <row r="98" spans="1:4" ht="14.25" customHeight="1">
      <c r="A98" s="6">
        <v>101</v>
      </c>
      <c r="B98" s="2">
        <f t="shared" si="5"/>
        <v>45</v>
      </c>
      <c r="C98" s="2">
        <f t="shared" si="4"/>
        <v>82011</v>
      </c>
      <c r="D98" s="6" t="s">
        <v>77</v>
      </c>
    </row>
    <row r="99" spans="1:4" ht="14.25" customHeight="1">
      <c r="A99" s="6">
        <v>101</v>
      </c>
      <c r="B99" s="2">
        <f t="shared" si="5"/>
        <v>45</v>
      </c>
      <c r="C99" s="2">
        <f t="shared" si="4"/>
        <v>83011</v>
      </c>
      <c r="D99" s="6" t="s">
        <v>77</v>
      </c>
    </row>
    <row r="100" spans="1:4" ht="14.25" customHeight="1">
      <c r="A100" s="6">
        <v>101</v>
      </c>
      <c r="B100" s="2">
        <f t="shared" si="5"/>
        <v>45</v>
      </c>
      <c r="C100" s="2">
        <f t="shared" si="4"/>
        <v>84011</v>
      </c>
      <c r="D100" s="6" t="s">
        <v>77</v>
      </c>
    </row>
    <row r="101" spans="1:4" ht="14.25" customHeight="1">
      <c r="A101" s="6">
        <v>101</v>
      </c>
      <c r="B101" s="2">
        <f t="shared" si="5"/>
        <v>45</v>
      </c>
      <c r="C101" s="2">
        <f t="shared" si="4"/>
        <v>85011</v>
      </c>
      <c r="D101" s="6" t="s">
        <v>77</v>
      </c>
    </row>
    <row r="102" spans="1:4" ht="14.25" customHeight="1">
      <c r="A102" s="6">
        <v>101</v>
      </c>
      <c r="B102" s="2">
        <f t="shared" si="5"/>
        <v>5</v>
      </c>
      <c r="C102" s="2">
        <f t="shared" si="4"/>
        <v>80012</v>
      </c>
      <c r="D102" s="6" t="s">
        <v>75</v>
      </c>
    </row>
    <row r="103" spans="1:4" ht="14.25" customHeight="1">
      <c r="A103" s="6">
        <v>101</v>
      </c>
      <c r="B103" s="2">
        <f t="shared" si="5"/>
        <v>5</v>
      </c>
      <c r="C103" s="2">
        <f t="shared" si="4"/>
        <v>81012</v>
      </c>
      <c r="D103" s="6" t="s">
        <v>75</v>
      </c>
    </row>
    <row r="104" spans="1:4" ht="14.25" customHeight="1">
      <c r="A104" s="6">
        <v>101</v>
      </c>
      <c r="B104" s="2">
        <f t="shared" si="5"/>
        <v>5</v>
      </c>
      <c r="C104" s="2">
        <f t="shared" si="4"/>
        <v>82012</v>
      </c>
      <c r="D104" s="6" t="s">
        <v>75</v>
      </c>
    </row>
    <row r="105" spans="1:4" ht="14.25" customHeight="1">
      <c r="A105" s="6">
        <v>101</v>
      </c>
      <c r="B105" s="2">
        <f t="shared" si="5"/>
        <v>5</v>
      </c>
      <c r="C105" s="2">
        <f t="shared" si="4"/>
        <v>83012</v>
      </c>
      <c r="D105" s="6" t="s">
        <v>75</v>
      </c>
    </row>
    <row r="106" spans="1:4" ht="14.25" customHeight="1">
      <c r="A106" s="6">
        <v>101</v>
      </c>
      <c r="B106" s="2">
        <f t="shared" si="5"/>
        <v>5</v>
      </c>
      <c r="C106" s="2">
        <f t="shared" ref="C106:C107" si="6">C100+1</f>
        <v>84012</v>
      </c>
      <c r="D106" s="6" t="s">
        <v>75</v>
      </c>
    </row>
    <row r="107" spans="1:4" ht="14.25" customHeight="1">
      <c r="A107" s="6">
        <v>101</v>
      </c>
      <c r="B107" s="2">
        <f t="shared" si="5"/>
        <v>5</v>
      </c>
      <c r="C107" s="2">
        <f t="shared" si="6"/>
        <v>85012</v>
      </c>
      <c r="D107" s="6" t="s">
        <v>75</v>
      </c>
    </row>
    <row r="108" spans="1:4" ht="14.25" customHeight="1">
      <c r="A108" s="6">
        <v>101</v>
      </c>
      <c r="B108" s="2">
        <f t="shared" si="5"/>
        <v>200</v>
      </c>
      <c r="C108" s="2">
        <v>88000</v>
      </c>
      <c r="D108" s="6" t="s">
        <v>79</v>
      </c>
    </row>
    <row r="109" spans="1:4" ht="14.25" customHeight="1">
      <c r="A109" s="6">
        <v>101</v>
      </c>
      <c r="B109" s="2">
        <f t="shared" si="5"/>
        <v>200</v>
      </c>
      <c r="C109" s="2">
        <v>88001</v>
      </c>
      <c r="D109" s="6" t="s">
        <v>79</v>
      </c>
    </row>
    <row r="110" spans="1:4" ht="14.25" customHeight="1">
      <c r="A110" s="6">
        <v>101</v>
      </c>
      <c r="B110" s="2">
        <f t="shared" si="5"/>
        <v>200</v>
      </c>
      <c r="C110" s="2">
        <v>88002</v>
      </c>
      <c r="D110" s="6" t="s">
        <v>79</v>
      </c>
    </row>
    <row r="111" spans="1:4" ht="14.25" customHeight="1">
      <c r="A111" s="6">
        <v>101</v>
      </c>
      <c r="B111" s="2">
        <f t="shared" si="5"/>
        <v>200</v>
      </c>
      <c r="C111" s="2">
        <v>88003</v>
      </c>
      <c r="D111" s="6" t="s">
        <v>79</v>
      </c>
    </row>
    <row r="112" spans="1:4" ht="14.25" customHeight="1">
      <c r="A112" s="6">
        <v>101</v>
      </c>
      <c r="B112" s="2">
        <f t="shared" si="5"/>
        <v>200</v>
      </c>
      <c r="C112" s="2">
        <v>88004</v>
      </c>
      <c r="D112" s="6" t="s">
        <v>79</v>
      </c>
    </row>
    <row r="113" spans="1:4" ht="14.25" customHeight="1">
      <c r="A113" s="6">
        <v>101</v>
      </c>
      <c r="B113" s="2">
        <f t="shared" si="5"/>
        <v>200</v>
      </c>
      <c r="C113" s="2">
        <v>88005</v>
      </c>
      <c r="D113" s="6" t="s">
        <v>79</v>
      </c>
    </row>
    <row r="114" spans="1:4" ht="14.25" customHeight="1">
      <c r="A114" s="6">
        <v>101</v>
      </c>
      <c r="B114" s="2">
        <f t="shared" si="5"/>
        <v>200</v>
      </c>
      <c r="C114" s="2">
        <v>88006</v>
      </c>
      <c r="D114" s="6" t="s">
        <v>79</v>
      </c>
    </row>
    <row r="115" spans="1:4" ht="14.25" customHeight="1">
      <c r="A115" s="6">
        <v>101</v>
      </c>
      <c r="B115" s="2">
        <f t="shared" si="5"/>
        <v>200</v>
      </c>
      <c r="C115" s="2">
        <v>88007</v>
      </c>
      <c r="D115" s="6" t="s">
        <v>79</v>
      </c>
    </row>
    <row r="116" spans="1:4" ht="14.25" customHeight="1">
      <c r="A116" s="6">
        <v>101</v>
      </c>
      <c r="B116" s="2">
        <f t="shared" si="5"/>
        <v>200</v>
      </c>
      <c r="C116" s="2">
        <v>88008</v>
      </c>
      <c r="D116" s="6" t="s">
        <v>79</v>
      </c>
    </row>
    <row r="117" spans="1:4" ht="14.25" customHeight="1">
      <c r="A117" s="6">
        <v>101</v>
      </c>
      <c r="B117" s="2">
        <f t="shared" si="5"/>
        <v>200</v>
      </c>
      <c r="C117" s="2">
        <v>88009</v>
      </c>
      <c r="D117" s="6" t="s">
        <v>79</v>
      </c>
    </row>
    <row r="118" spans="1:4" ht="14.25" customHeight="1">
      <c r="A118" s="6">
        <v>101</v>
      </c>
      <c r="B118" s="2">
        <v>110</v>
      </c>
      <c r="C118" s="2">
        <v>88010</v>
      </c>
      <c r="D118" s="6" t="s">
        <v>79</v>
      </c>
    </row>
    <row r="119" spans="1:4" ht="14.25" customHeight="1">
      <c r="A119" s="6">
        <v>101</v>
      </c>
      <c r="B119" s="2">
        <f t="shared" ref="B119:B149" si="7">IF(D119="R",200,IF(D119="SR",45,IF(D119="SSR",5)))</f>
        <v>200</v>
      </c>
      <c r="C119" s="2">
        <v>88011</v>
      </c>
      <c r="D119" s="6" t="s">
        <v>79</v>
      </c>
    </row>
    <row r="120" spans="1:4" ht="14.25" customHeight="1">
      <c r="A120" s="6">
        <v>101</v>
      </c>
      <c r="B120" s="2">
        <f t="shared" si="7"/>
        <v>200</v>
      </c>
      <c r="C120" s="2">
        <v>88012</v>
      </c>
      <c r="D120" s="6" t="s">
        <v>79</v>
      </c>
    </row>
    <row r="121" spans="1:4" ht="14.25" customHeight="1">
      <c r="A121" s="6">
        <v>101</v>
      </c>
      <c r="B121" s="2">
        <f t="shared" si="7"/>
        <v>200</v>
      </c>
      <c r="C121" s="2">
        <v>88013</v>
      </c>
      <c r="D121" s="6" t="s">
        <v>79</v>
      </c>
    </row>
    <row r="122" spans="1:4" ht="14.25" customHeight="1">
      <c r="A122" s="6">
        <v>101</v>
      </c>
      <c r="B122" s="2">
        <f t="shared" si="7"/>
        <v>200</v>
      </c>
      <c r="C122" s="2">
        <v>88014</v>
      </c>
      <c r="D122" s="6" t="s">
        <v>79</v>
      </c>
    </row>
    <row r="123" spans="1:4" ht="14.25" customHeight="1">
      <c r="A123" s="6">
        <v>101</v>
      </c>
      <c r="B123" s="2">
        <f t="shared" si="7"/>
        <v>200</v>
      </c>
      <c r="C123" s="2">
        <v>88015</v>
      </c>
      <c r="D123" s="6" t="s">
        <v>79</v>
      </c>
    </row>
    <row r="124" spans="1:4" ht="14.25" customHeight="1">
      <c r="A124" s="6">
        <v>101</v>
      </c>
      <c r="B124" s="2">
        <f t="shared" si="7"/>
        <v>200</v>
      </c>
      <c r="C124" s="2">
        <v>88016</v>
      </c>
      <c r="D124" s="6" t="s">
        <v>79</v>
      </c>
    </row>
    <row r="125" spans="1:4" ht="14.25" customHeight="1">
      <c r="A125" s="6">
        <v>101</v>
      </c>
      <c r="B125" s="2">
        <f t="shared" si="7"/>
        <v>200</v>
      </c>
      <c r="C125" s="2">
        <v>88017</v>
      </c>
      <c r="D125" s="6" t="s">
        <v>79</v>
      </c>
    </row>
    <row r="126" spans="1:4" ht="14.25" customHeight="1">
      <c r="A126" s="6">
        <v>101</v>
      </c>
      <c r="B126" s="2">
        <f t="shared" si="7"/>
        <v>200</v>
      </c>
      <c r="C126" s="2">
        <v>88018</v>
      </c>
      <c r="D126" s="6" t="s">
        <v>79</v>
      </c>
    </row>
    <row r="127" spans="1:4" ht="14.25" customHeight="1">
      <c r="A127" s="6">
        <v>101</v>
      </c>
      <c r="B127" s="2">
        <f t="shared" si="7"/>
        <v>200</v>
      </c>
      <c r="C127" s="2">
        <v>88019</v>
      </c>
      <c r="D127" s="6" t="s">
        <v>79</v>
      </c>
    </row>
    <row r="128" spans="1:4" ht="14.25" customHeight="1">
      <c r="A128" s="6">
        <v>101</v>
      </c>
      <c r="B128" s="2">
        <f t="shared" si="7"/>
        <v>45</v>
      </c>
      <c r="C128" s="2">
        <v>88020</v>
      </c>
      <c r="D128" s="6" t="s">
        <v>77</v>
      </c>
    </row>
    <row r="129" spans="1:4" ht="14.25" customHeight="1">
      <c r="A129" s="6">
        <v>101</v>
      </c>
      <c r="B129" s="2">
        <f t="shared" si="7"/>
        <v>45</v>
      </c>
      <c r="C129" s="2">
        <v>88021</v>
      </c>
      <c r="D129" s="6" t="s">
        <v>77</v>
      </c>
    </row>
    <row r="130" spans="1:4" ht="14.25" customHeight="1">
      <c r="A130" s="6">
        <v>101</v>
      </c>
      <c r="B130" s="2">
        <f t="shared" si="7"/>
        <v>45</v>
      </c>
      <c r="C130" s="2">
        <v>88022</v>
      </c>
      <c r="D130" s="6" t="s">
        <v>77</v>
      </c>
    </row>
    <row r="131" spans="1:4" ht="14.25" customHeight="1">
      <c r="A131" s="6">
        <v>101</v>
      </c>
      <c r="B131" s="2">
        <f t="shared" si="7"/>
        <v>45</v>
      </c>
      <c r="C131" s="2">
        <v>88023</v>
      </c>
      <c r="D131" s="6" t="s">
        <v>77</v>
      </c>
    </row>
    <row r="132" spans="1:4" ht="14.25" customHeight="1">
      <c r="A132" s="6">
        <v>101</v>
      </c>
      <c r="B132" s="2">
        <f t="shared" si="7"/>
        <v>45</v>
      </c>
      <c r="C132" s="2">
        <v>88024</v>
      </c>
      <c r="D132" s="6" t="s">
        <v>77</v>
      </c>
    </row>
    <row r="133" spans="1:4" ht="14.25" customHeight="1">
      <c r="A133" s="6">
        <v>101</v>
      </c>
      <c r="B133" s="2">
        <f t="shared" si="7"/>
        <v>45</v>
      </c>
      <c r="C133" s="2">
        <v>88025</v>
      </c>
      <c r="D133" s="6" t="s">
        <v>77</v>
      </c>
    </row>
    <row r="134" spans="1:4" ht="14.25" customHeight="1">
      <c r="A134" s="6">
        <v>101</v>
      </c>
      <c r="B134" s="2">
        <f t="shared" si="7"/>
        <v>45</v>
      </c>
      <c r="C134" s="2">
        <v>88026</v>
      </c>
      <c r="D134" s="6" t="s">
        <v>77</v>
      </c>
    </row>
    <row r="135" spans="1:4" ht="14.25" customHeight="1">
      <c r="A135" s="6">
        <v>101</v>
      </c>
      <c r="B135" s="2">
        <f t="shared" si="7"/>
        <v>45</v>
      </c>
      <c r="C135" s="2">
        <v>88027</v>
      </c>
      <c r="D135" s="6" t="s">
        <v>77</v>
      </c>
    </row>
    <row r="136" spans="1:4" ht="14.25" customHeight="1">
      <c r="A136" s="6">
        <v>101</v>
      </c>
      <c r="B136" s="2">
        <f t="shared" si="7"/>
        <v>45</v>
      </c>
      <c r="C136" s="2">
        <v>88028</v>
      </c>
      <c r="D136" s="6" t="s">
        <v>77</v>
      </c>
    </row>
    <row r="137" spans="1:4" ht="14.25" customHeight="1">
      <c r="A137" s="6">
        <v>101</v>
      </c>
      <c r="B137" s="2">
        <f t="shared" si="7"/>
        <v>45</v>
      </c>
      <c r="C137" s="2">
        <v>88029</v>
      </c>
      <c r="D137" s="6" t="s">
        <v>77</v>
      </c>
    </row>
    <row r="138" spans="1:4" ht="14.25" customHeight="1">
      <c r="A138" s="6">
        <v>101</v>
      </c>
      <c r="B138" s="2">
        <f t="shared" si="7"/>
        <v>45</v>
      </c>
      <c r="C138" s="2">
        <v>88030</v>
      </c>
      <c r="D138" s="6" t="s">
        <v>77</v>
      </c>
    </row>
    <row r="139" spans="1:4" ht="14.25" customHeight="1">
      <c r="A139" s="6">
        <v>101</v>
      </c>
      <c r="B139" s="2">
        <f t="shared" si="7"/>
        <v>45</v>
      </c>
      <c r="C139" s="2">
        <v>88031</v>
      </c>
      <c r="D139" s="6" t="s">
        <v>77</v>
      </c>
    </row>
    <row r="140" spans="1:4" ht="14.25" customHeight="1">
      <c r="A140" s="6">
        <v>101</v>
      </c>
      <c r="B140" s="2">
        <f t="shared" si="7"/>
        <v>5</v>
      </c>
      <c r="C140" s="2">
        <v>88032</v>
      </c>
      <c r="D140" s="6" t="s">
        <v>75</v>
      </c>
    </row>
    <row r="141" spans="1:4" ht="14.25" customHeight="1">
      <c r="A141" s="6">
        <v>101</v>
      </c>
      <c r="B141" s="2">
        <f t="shared" si="7"/>
        <v>5</v>
      </c>
      <c r="C141" s="2">
        <v>88033</v>
      </c>
      <c r="D141" s="6" t="s">
        <v>75</v>
      </c>
    </row>
    <row r="142" spans="1:4" ht="14.25" customHeight="1">
      <c r="A142" s="6">
        <v>101</v>
      </c>
      <c r="B142" s="2">
        <f t="shared" si="7"/>
        <v>5</v>
      </c>
      <c r="C142" s="2">
        <v>88034</v>
      </c>
      <c r="D142" s="6" t="s">
        <v>75</v>
      </c>
    </row>
    <row r="143" spans="1:4" ht="14.25" customHeight="1">
      <c r="A143" s="6">
        <v>101</v>
      </c>
      <c r="B143" s="2">
        <f t="shared" si="7"/>
        <v>5</v>
      </c>
      <c r="C143" s="2">
        <v>88035</v>
      </c>
      <c r="D143" s="6" t="s">
        <v>75</v>
      </c>
    </row>
    <row r="144" spans="1:4" ht="14.25" customHeight="1">
      <c r="A144" s="6">
        <v>101</v>
      </c>
      <c r="B144" s="2">
        <f t="shared" si="7"/>
        <v>5</v>
      </c>
      <c r="C144" s="2">
        <v>88036</v>
      </c>
      <c r="D144" s="6" t="s">
        <v>75</v>
      </c>
    </row>
    <row r="145" spans="1:4" ht="14.25" customHeight="1">
      <c r="A145" s="6">
        <v>101</v>
      </c>
      <c r="B145" s="2">
        <f t="shared" si="7"/>
        <v>5</v>
      </c>
      <c r="C145" s="2">
        <v>88037</v>
      </c>
      <c r="D145" s="6" t="s">
        <v>75</v>
      </c>
    </row>
    <row r="146" spans="1:4" ht="14.25" customHeight="1">
      <c r="A146" s="6">
        <v>101</v>
      </c>
      <c r="B146" s="2">
        <f t="shared" si="7"/>
        <v>5</v>
      </c>
      <c r="C146" s="2">
        <v>88038</v>
      </c>
      <c r="D146" s="6" t="s">
        <v>75</v>
      </c>
    </row>
    <row r="147" spans="1:4" ht="14.25" customHeight="1">
      <c r="A147" s="6">
        <v>101</v>
      </c>
      <c r="B147" s="2">
        <f t="shared" si="7"/>
        <v>5</v>
      </c>
      <c r="C147" s="2">
        <v>88039</v>
      </c>
      <c r="D147" s="6" t="s">
        <v>75</v>
      </c>
    </row>
    <row r="148" spans="1:4" ht="14.25" customHeight="1">
      <c r="A148" s="6">
        <v>101</v>
      </c>
      <c r="B148" s="2">
        <f t="shared" si="7"/>
        <v>200</v>
      </c>
      <c r="C148" s="2">
        <v>88040</v>
      </c>
      <c r="D148" s="6" t="s">
        <v>79</v>
      </c>
    </row>
    <row r="149" spans="1:4" ht="14.25" customHeight="1">
      <c r="A149" s="6">
        <v>101</v>
      </c>
      <c r="B149" s="2">
        <f t="shared" si="7"/>
        <v>5</v>
      </c>
      <c r="C149" s="2">
        <v>88041</v>
      </c>
      <c r="D149" s="6" t="s">
        <v>75</v>
      </c>
    </row>
    <row r="152" spans="1:4" ht="14.25" customHeight="1">
      <c r="A152" s="40" t="s">
        <v>0</v>
      </c>
      <c r="B152" s="40" t="s">
        <v>3490</v>
      </c>
      <c r="C152" s="40" t="s">
        <v>0</v>
      </c>
      <c r="D152" s="40" t="s">
        <v>4473</v>
      </c>
    </row>
    <row r="153" spans="1:4" ht="14.25" customHeight="1">
      <c r="A153" s="6">
        <v>102</v>
      </c>
      <c r="B153" s="6">
        <v>400</v>
      </c>
      <c r="C153" s="6">
        <v>70001</v>
      </c>
      <c r="D153" s="6" t="s">
        <v>79</v>
      </c>
    </row>
    <row r="154" spans="1:4" ht="14.25" customHeight="1">
      <c r="A154" s="6">
        <v>102</v>
      </c>
      <c r="B154" s="6">
        <v>400</v>
      </c>
      <c r="C154" s="6">
        <v>70002</v>
      </c>
      <c r="D154" s="6" t="s">
        <v>79</v>
      </c>
    </row>
    <row r="155" spans="1:4" ht="14.25" customHeight="1">
      <c r="A155" s="6">
        <v>102</v>
      </c>
      <c r="B155" s="6">
        <v>400</v>
      </c>
      <c r="C155" s="6">
        <v>70003</v>
      </c>
      <c r="D155" s="6" t="s">
        <v>79</v>
      </c>
    </row>
    <row r="156" spans="1:4" ht="14.25" customHeight="1">
      <c r="A156" s="6">
        <v>102</v>
      </c>
      <c r="B156" s="6">
        <f t="shared" ref="B156:B162" si="8">IF(D156="R",300,IF(D156="SR",50,IF(D156="SSR",10)))</f>
        <v>50</v>
      </c>
      <c r="C156" s="6">
        <v>70004</v>
      </c>
      <c r="D156" s="6" t="s">
        <v>77</v>
      </c>
    </row>
    <row r="157" spans="1:4" ht="14.25" customHeight="1">
      <c r="A157" s="6">
        <v>102</v>
      </c>
      <c r="B157" s="6">
        <f t="shared" si="8"/>
        <v>50</v>
      </c>
      <c r="C157" s="6">
        <v>70005</v>
      </c>
      <c r="D157" s="6" t="s">
        <v>77</v>
      </c>
    </row>
    <row r="158" spans="1:4" ht="14.25" customHeight="1">
      <c r="A158" s="6">
        <v>102</v>
      </c>
      <c r="B158" s="6">
        <f t="shared" si="8"/>
        <v>50</v>
      </c>
      <c r="C158" s="6">
        <v>70006</v>
      </c>
      <c r="D158" s="6" t="s">
        <v>77</v>
      </c>
    </row>
    <row r="159" spans="1:4" ht="14.25" customHeight="1">
      <c r="A159" s="6">
        <v>102</v>
      </c>
      <c r="B159" s="6">
        <f t="shared" si="8"/>
        <v>50</v>
      </c>
      <c r="C159" s="6">
        <v>70007</v>
      </c>
      <c r="D159" s="6" t="s">
        <v>77</v>
      </c>
    </row>
    <row r="160" spans="1:4" ht="14.25" customHeight="1">
      <c r="A160" s="6">
        <v>102</v>
      </c>
      <c r="B160" s="6">
        <f t="shared" si="8"/>
        <v>10</v>
      </c>
      <c r="C160" s="6">
        <v>70008</v>
      </c>
      <c r="D160" s="6" t="s">
        <v>75</v>
      </c>
    </row>
    <row r="161" spans="1:4" ht="14.25" customHeight="1">
      <c r="A161" s="6">
        <v>102</v>
      </c>
      <c r="B161" s="6">
        <f t="shared" si="8"/>
        <v>10</v>
      </c>
      <c r="C161" s="6">
        <v>70009</v>
      </c>
      <c r="D161" s="6" t="s">
        <v>75</v>
      </c>
    </row>
    <row r="162" spans="1:4" ht="14.25" customHeight="1">
      <c r="A162" s="6">
        <v>102</v>
      </c>
      <c r="B162" s="6">
        <f t="shared" si="8"/>
        <v>10</v>
      </c>
      <c r="C162" s="6">
        <v>70010</v>
      </c>
      <c r="D162" s="6" t="s">
        <v>75</v>
      </c>
    </row>
    <row r="163" spans="1:4" ht="14.25" customHeight="1">
      <c r="A163" s="6">
        <v>102</v>
      </c>
      <c r="B163" s="6">
        <v>400</v>
      </c>
      <c r="C163" s="6">
        <v>70011</v>
      </c>
      <c r="D163" s="6" t="s">
        <v>79</v>
      </c>
    </row>
    <row r="164" spans="1:4" ht="14.25" customHeight="1">
      <c r="A164" s="6">
        <v>102</v>
      </c>
      <c r="B164" s="6">
        <v>400</v>
      </c>
      <c r="C164" s="6">
        <v>70012</v>
      </c>
      <c r="D164" s="6" t="s">
        <v>79</v>
      </c>
    </row>
    <row r="165" spans="1:4" ht="14.25" customHeight="1">
      <c r="A165" s="6">
        <v>102</v>
      </c>
      <c r="B165" s="6">
        <v>400</v>
      </c>
      <c r="C165" s="6">
        <v>70013</v>
      </c>
      <c r="D165" s="6" t="s">
        <v>79</v>
      </c>
    </row>
    <row r="166" spans="1:4" ht="14.25" customHeight="1">
      <c r="A166" s="6">
        <v>102</v>
      </c>
      <c r="B166" s="6">
        <f t="shared" ref="B166:B172" si="9">IF(D166="R",300,IF(D166="SR",50,IF(D166="SSR",10)))</f>
        <v>50</v>
      </c>
      <c r="C166" s="6">
        <v>70014</v>
      </c>
      <c r="D166" s="6" t="s">
        <v>77</v>
      </c>
    </row>
    <row r="167" spans="1:4" ht="14.25" customHeight="1">
      <c r="A167" s="6">
        <v>102</v>
      </c>
      <c r="B167" s="6">
        <f t="shared" si="9"/>
        <v>50</v>
      </c>
      <c r="C167" s="6">
        <v>70015</v>
      </c>
      <c r="D167" s="6" t="s">
        <v>77</v>
      </c>
    </row>
    <row r="168" spans="1:4" ht="14.25" customHeight="1">
      <c r="A168" s="6">
        <v>102</v>
      </c>
      <c r="B168" s="6">
        <f t="shared" si="9"/>
        <v>50</v>
      </c>
      <c r="C168" s="6">
        <v>70016</v>
      </c>
      <c r="D168" s="6" t="s">
        <v>77</v>
      </c>
    </row>
    <row r="169" spans="1:4" ht="14.25" customHeight="1">
      <c r="A169" s="6">
        <v>102</v>
      </c>
      <c r="B169" s="6">
        <f t="shared" si="9"/>
        <v>50</v>
      </c>
      <c r="C169" s="6">
        <v>70017</v>
      </c>
      <c r="D169" s="6" t="s">
        <v>77</v>
      </c>
    </row>
    <row r="170" spans="1:4" ht="14.25" customHeight="1">
      <c r="A170" s="6">
        <v>102</v>
      </c>
      <c r="B170" s="6">
        <f t="shared" si="9"/>
        <v>10</v>
      </c>
      <c r="C170" s="6">
        <v>70018</v>
      </c>
      <c r="D170" s="6" t="s">
        <v>75</v>
      </c>
    </row>
    <row r="171" spans="1:4" ht="14.25" customHeight="1">
      <c r="A171" s="6">
        <v>102</v>
      </c>
      <c r="B171" s="6">
        <f t="shared" si="9"/>
        <v>10</v>
      </c>
      <c r="C171" s="6">
        <v>70019</v>
      </c>
      <c r="D171" s="6" t="s">
        <v>75</v>
      </c>
    </row>
    <row r="172" spans="1:4" ht="14.25" customHeight="1">
      <c r="A172" s="6">
        <v>102</v>
      </c>
      <c r="B172" s="6">
        <f t="shared" si="9"/>
        <v>10</v>
      </c>
      <c r="C172" s="6">
        <v>70020</v>
      </c>
      <c r="D172" s="6" t="s">
        <v>75</v>
      </c>
    </row>
    <row r="173" spans="1:4" ht="14.25" customHeight="1">
      <c r="A173" s="6">
        <v>102</v>
      </c>
      <c r="B173" s="6">
        <v>400</v>
      </c>
      <c r="C173" s="6">
        <v>70021</v>
      </c>
      <c r="D173" s="6" t="s">
        <v>79</v>
      </c>
    </row>
    <row r="174" spans="1:4" ht="14.25" customHeight="1">
      <c r="A174" s="6">
        <v>102</v>
      </c>
      <c r="B174" s="6">
        <v>400</v>
      </c>
      <c r="C174" s="6">
        <v>70022</v>
      </c>
      <c r="D174" s="6" t="s">
        <v>79</v>
      </c>
    </row>
    <row r="175" spans="1:4" ht="14.25" customHeight="1">
      <c r="A175" s="6">
        <v>102</v>
      </c>
      <c r="B175" s="6">
        <v>400</v>
      </c>
      <c r="C175" s="6">
        <v>70023</v>
      </c>
      <c r="D175" s="6" t="s">
        <v>79</v>
      </c>
    </row>
    <row r="176" spans="1:4" ht="14.25" customHeight="1">
      <c r="A176" s="6">
        <v>102</v>
      </c>
      <c r="B176" s="6">
        <f t="shared" ref="B176:B222" si="10">IF(D176="R",300,IF(D176="SR",50,IF(D176="SSR",10)))</f>
        <v>50</v>
      </c>
      <c r="C176" s="6">
        <v>70024</v>
      </c>
      <c r="D176" s="6" t="s">
        <v>77</v>
      </c>
    </row>
    <row r="177" spans="1:4" ht="14.25" customHeight="1">
      <c r="A177" s="6">
        <v>102</v>
      </c>
      <c r="B177" s="6">
        <f t="shared" si="10"/>
        <v>50</v>
      </c>
      <c r="C177" s="6">
        <v>70025</v>
      </c>
      <c r="D177" s="6" t="s">
        <v>77</v>
      </c>
    </row>
    <row r="178" spans="1:4" ht="14.25" customHeight="1">
      <c r="A178" s="6">
        <v>102</v>
      </c>
      <c r="B178" s="6">
        <f t="shared" si="10"/>
        <v>50</v>
      </c>
      <c r="C178" s="6">
        <v>70026</v>
      </c>
      <c r="D178" s="6" t="s">
        <v>77</v>
      </c>
    </row>
    <row r="179" spans="1:4" ht="14.25" customHeight="1">
      <c r="A179" s="6">
        <v>102</v>
      </c>
      <c r="B179" s="6">
        <f t="shared" si="10"/>
        <v>50</v>
      </c>
      <c r="C179" s="6">
        <v>70027</v>
      </c>
      <c r="D179" s="6" t="s">
        <v>77</v>
      </c>
    </row>
    <row r="180" spans="1:4" ht="14.25" customHeight="1">
      <c r="A180" s="6">
        <v>102</v>
      </c>
      <c r="B180" s="6">
        <f t="shared" si="10"/>
        <v>10</v>
      </c>
      <c r="C180" s="6">
        <v>70028</v>
      </c>
      <c r="D180" s="6" t="s">
        <v>75</v>
      </c>
    </row>
    <row r="181" spans="1:4" ht="14.25" customHeight="1">
      <c r="A181" s="6">
        <v>102</v>
      </c>
      <c r="B181" s="6">
        <f t="shared" si="10"/>
        <v>10</v>
      </c>
      <c r="C181" s="6">
        <v>70029</v>
      </c>
      <c r="D181" s="6" t="s">
        <v>75</v>
      </c>
    </row>
    <row r="182" spans="1:4" ht="14.25" customHeight="1">
      <c r="A182" s="6">
        <v>102</v>
      </c>
      <c r="B182" s="6">
        <f t="shared" si="10"/>
        <v>10</v>
      </c>
      <c r="C182" s="6">
        <v>70030</v>
      </c>
      <c r="D182" s="6" t="s">
        <v>75</v>
      </c>
    </row>
    <row r="183" spans="1:4" ht="14.25" customHeight="1">
      <c r="A183" s="6">
        <v>102</v>
      </c>
      <c r="B183" s="6">
        <f t="shared" si="10"/>
        <v>300</v>
      </c>
      <c r="C183" s="6">
        <v>70031</v>
      </c>
      <c r="D183" s="6" t="s">
        <v>79</v>
      </c>
    </row>
    <row r="184" spans="1:4" ht="14.25" customHeight="1">
      <c r="A184" s="6">
        <v>102</v>
      </c>
      <c r="B184" s="6">
        <f t="shared" si="10"/>
        <v>300</v>
      </c>
      <c r="C184" s="6">
        <v>70032</v>
      </c>
      <c r="D184" s="6" t="s">
        <v>79</v>
      </c>
    </row>
    <row r="185" spans="1:4" ht="14.25" customHeight="1">
      <c r="A185" s="6">
        <v>102</v>
      </c>
      <c r="B185" s="6">
        <f t="shared" si="10"/>
        <v>300</v>
      </c>
      <c r="C185" s="6">
        <v>70033</v>
      </c>
      <c r="D185" s="6" t="s">
        <v>79</v>
      </c>
    </row>
    <row r="186" spans="1:4" ht="14.25" customHeight="1">
      <c r="A186" s="6">
        <v>102</v>
      </c>
      <c r="B186" s="6">
        <f t="shared" si="10"/>
        <v>50</v>
      </c>
      <c r="C186" s="6">
        <v>70034</v>
      </c>
      <c r="D186" s="6" t="s">
        <v>77</v>
      </c>
    </row>
    <row r="187" spans="1:4" ht="14.25" customHeight="1">
      <c r="A187" s="6">
        <v>102</v>
      </c>
      <c r="B187" s="6">
        <f t="shared" si="10"/>
        <v>50</v>
      </c>
      <c r="C187" s="6">
        <v>70035</v>
      </c>
      <c r="D187" s="6" t="s">
        <v>77</v>
      </c>
    </row>
    <row r="188" spans="1:4" ht="14.25" customHeight="1">
      <c r="A188" s="6">
        <v>102</v>
      </c>
      <c r="B188" s="6">
        <f t="shared" si="10"/>
        <v>50</v>
      </c>
      <c r="C188" s="6">
        <v>70036</v>
      </c>
      <c r="D188" s="6" t="s">
        <v>77</v>
      </c>
    </row>
    <row r="189" spans="1:4" ht="14.25" customHeight="1">
      <c r="A189" s="6">
        <v>102</v>
      </c>
      <c r="B189" s="6">
        <f t="shared" si="10"/>
        <v>50</v>
      </c>
      <c r="C189" s="6">
        <v>70037</v>
      </c>
      <c r="D189" s="6" t="s">
        <v>77</v>
      </c>
    </row>
    <row r="190" spans="1:4" ht="14.25" customHeight="1">
      <c r="A190" s="6">
        <v>102</v>
      </c>
      <c r="B190" s="6">
        <f t="shared" si="10"/>
        <v>10</v>
      </c>
      <c r="C190" s="6">
        <v>70038</v>
      </c>
      <c r="D190" s="6" t="s">
        <v>75</v>
      </c>
    </row>
    <row r="191" spans="1:4" ht="14.25" customHeight="1">
      <c r="A191" s="6">
        <v>102</v>
      </c>
      <c r="B191" s="6">
        <f t="shared" si="10"/>
        <v>10</v>
      </c>
      <c r="C191" s="6">
        <v>70039</v>
      </c>
      <c r="D191" s="6" t="s">
        <v>75</v>
      </c>
    </row>
    <row r="192" spans="1:4" ht="14.25" customHeight="1">
      <c r="A192" s="6">
        <v>102</v>
      </c>
      <c r="B192" s="6">
        <f t="shared" si="10"/>
        <v>10</v>
      </c>
      <c r="C192" s="6">
        <v>70040</v>
      </c>
      <c r="D192" s="6" t="s">
        <v>75</v>
      </c>
    </row>
    <row r="193" spans="1:4" ht="14.25" customHeight="1">
      <c r="A193" s="6">
        <v>102</v>
      </c>
      <c r="B193" s="6">
        <f t="shared" si="10"/>
        <v>300</v>
      </c>
      <c r="C193" s="6">
        <v>70041</v>
      </c>
      <c r="D193" s="6" t="s">
        <v>79</v>
      </c>
    </row>
    <row r="194" spans="1:4" ht="14.25" customHeight="1">
      <c r="A194" s="6">
        <v>102</v>
      </c>
      <c r="B194" s="6">
        <f t="shared" si="10"/>
        <v>300</v>
      </c>
      <c r="C194" s="6">
        <v>70042</v>
      </c>
      <c r="D194" s="6" t="s">
        <v>79</v>
      </c>
    </row>
    <row r="195" spans="1:4" ht="14.25" customHeight="1">
      <c r="A195" s="6">
        <v>102</v>
      </c>
      <c r="B195" s="6">
        <f t="shared" si="10"/>
        <v>300</v>
      </c>
      <c r="C195" s="6">
        <v>70043</v>
      </c>
      <c r="D195" s="6" t="s">
        <v>79</v>
      </c>
    </row>
    <row r="196" spans="1:4" ht="14.25" customHeight="1">
      <c r="A196" s="6">
        <v>102</v>
      </c>
      <c r="B196" s="6">
        <f t="shared" si="10"/>
        <v>50</v>
      </c>
      <c r="C196" s="6">
        <v>70044</v>
      </c>
      <c r="D196" s="6" t="s">
        <v>77</v>
      </c>
    </row>
    <row r="197" spans="1:4" ht="14.25" customHeight="1">
      <c r="A197" s="6">
        <v>102</v>
      </c>
      <c r="B197" s="6">
        <f t="shared" si="10"/>
        <v>50</v>
      </c>
      <c r="C197" s="6">
        <v>70045</v>
      </c>
      <c r="D197" s="6" t="s">
        <v>77</v>
      </c>
    </row>
    <row r="198" spans="1:4" ht="14.25" customHeight="1">
      <c r="A198" s="6">
        <v>102</v>
      </c>
      <c r="B198" s="6">
        <f t="shared" si="10"/>
        <v>50</v>
      </c>
      <c r="C198" s="6">
        <v>70046</v>
      </c>
      <c r="D198" s="6" t="s">
        <v>77</v>
      </c>
    </row>
    <row r="199" spans="1:4" ht="14.25" customHeight="1">
      <c r="A199" s="6">
        <v>102</v>
      </c>
      <c r="B199" s="6">
        <f t="shared" si="10"/>
        <v>50</v>
      </c>
      <c r="C199" s="6">
        <v>70047</v>
      </c>
      <c r="D199" s="6" t="s">
        <v>77</v>
      </c>
    </row>
    <row r="200" spans="1:4" ht="14.25" customHeight="1">
      <c r="A200" s="6">
        <v>102</v>
      </c>
      <c r="B200" s="6">
        <f t="shared" si="10"/>
        <v>10</v>
      </c>
      <c r="C200" s="6">
        <v>70048</v>
      </c>
      <c r="D200" s="6" t="s">
        <v>75</v>
      </c>
    </row>
    <row r="201" spans="1:4" ht="14.25" customHeight="1">
      <c r="A201" s="6">
        <v>102</v>
      </c>
      <c r="B201" s="6">
        <f t="shared" si="10"/>
        <v>10</v>
      </c>
      <c r="C201" s="6">
        <v>70049</v>
      </c>
      <c r="D201" s="6" t="s">
        <v>75</v>
      </c>
    </row>
    <row r="202" spans="1:4" ht="14.25" customHeight="1">
      <c r="A202" s="6">
        <v>102</v>
      </c>
      <c r="B202" s="6">
        <f t="shared" si="10"/>
        <v>10</v>
      </c>
      <c r="C202" s="6">
        <v>70050</v>
      </c>
      <c r="D202" s="6" t="s">
        <v>75</v>
      </c>
    </row>
    <row r="203" spans="1:4" ht="14.25" customHeight="1">
      <c r="A203" s="6">
        <v>102</v>
      </c>
      <c r="B203" s="6">
        <f t="shared" si="10"/>
        <v>300</v>
      </c>
      <c r="C203" s="6">
        <v>70051</v>
      </c>
      <c r="D203" s="6" t="s">
        <v>79</v>
      </c>
    </row>
    <row r="204" spans="1:4" ht="14.25" customHeight="1">
      <c r="A204" s="6">
        <v>102</v>
      </c>
      <c r="B204" s="6">
        <f t="shared" si="10"/>
        <v>300</v>
      </c>
      <c r="C204" s="6">
        <v>70052</v>
      </c>
      <c r="D204" s="6" t="s">
        <v>79</v>
      </c>
    </row>
    <row r="205" spans="1:4" ht="14.25" customHeight="1">
      <c r="A205" s="6">
        <v>102</v>
      </c>
      <c r="B205" s="6">
        <f t="shared" si="10"/>
        <v>300</v>
      </c>
      <c r="C205" s="6">
        <v>70053</v>
      </c>
      <c r="D205" s="6" t="s">
        <v>79</v>
      </c>
    </row>
    <row r="206" spans="1:4" ht="14.25" customHeight="1">
      <c r="A206" s="6">
        <v>102</v>
      </c>
      <c r="B206" s="6">
        <f t="shared" si="10"/>
        <v>50</v>
      </c>
      <c r="C206" s="6">
        <v>70054</v>
      </c>
      <c r="D206" s="6" t="s">
        <v>77</v>
      </c>
    </row>
    <row r="207" spans="1:4" ht="14.25" customHeight="1">
      <c r="A207" s="6">
        <v>102</v>
      </c>
      <c r="B207" s="6">
        <f t="shared" si="10"/>
        <v>50</v>
      </c>
      <c r="C207" s="6">
        <v>70055</v>
      </c>
      <c r="D207" s="6" t="s">
        <v>77</v>
      </c>
    </row>
    <row r="208" spans="1:4" ht="14.25" customHeight="1">
      <c r="A208" s="6">
        <v>102</v>
      </c>
      <c r="B208" s="6">
        <f t="shared" si="10"/>
        <v>50</v>
      </c>
      <c r="C208" s="6">
        <v>70056</v>
      </c>
      <c r="D208" s="6" t="s">
        <v>77</v>
      </c>
    </row>
    <row r="209" spans="1:4" ht="14.25" customHeight="1">
      <c r="A209" s="6">
        <v>102</v>
      </c>
      <c r="B209" s="6">
        <f t="shared" si="10"/>
        <v>50</v>
      </c>
      <c r="C209" s="6">
        <v>70057</v>
      </c>
      <c r="D209" s="6" t="s">
        <v>77</v>
      </c>
    </row>
    <row r="210" spans="1:4" ht="14.25" customHeight="1">
      <c r="A210" s="6">
        <v>102</v>
      </c>
      <c r="B210" s="6">
        <f t="shared" si="10"/>
        <v>10</v>
      </c>
      <c r="C210" s="6">
        <v>70058</v>
      </c>
      <c r="D210" s="6" t="s">
        <v>75</v>
      </c>
    </row>
    <row r="211" spans="1:4" ht="14.25" customHeight="1">
      <c r="A211" s="6">
        <v>102</v>
      </c>
      <c r="B211" s="6">
        <f t="shared" si="10"/>
        <v>10</v>
      </c>
      <c r="C211" s="6">
        <v>70059</v>
      </c>
      <c r="D211" s="6" t="s">
        <v>75</v>
      </c>
    </row>
    <row r="212" spans="1:4" ht="14.25" customHeight="1">
      <c r="A212" s="6">
        <v>102</v>
      </c>
      <c r="B212" s="6">
        <f t="shared" si="10"/>
        <v>10</v>
      </c>
      <c r="C212" s="6">
        <v>70060</v>
      </c>
      <c r="D212" s="6" t="s">
        <v>75</v>
      </c>
    </row>
    <row r="213" spans="1:4" ht="14.25" customHeight="1">
      <c r="A213" s="6">
        <v>102</v>
      </c>
      <c r="B213" s="6">
        <f t="shared" si="10"/>
        <v>300</v>
      </c>
      <c r="C213" s="6">
        <v>70061</v>
      </c>
      <c r="D213" s="6" t="s">
        <v>79</v>
      </c>
    </row>
    <row r="214" spans="1:4" ht="14.25" customHeight="1">
      <c r="A214" s="6">
        <v>102</v>
      </c>
      <c r="B214" s="6">
        <f t="shared" si="10"/>
        <v>300</v>
      </c>
      <c r="C214" s="6">
        <v>70062</v>
      </c>
      <c r="D214" s="6" t="s">
        <v>79</v>
      </c>
    </row>
    <row r="215" spans="1:4" ht="14.25" customHeight="1">
      <c r="A215" s="6">
        <v>102</v>
      </c>
      <c r="B215" s="6">
        <f t="shared" si="10"/>
        <v>300</v>
      </c>
      <c r="C215" s="6">
        <v>70063</v>
      </c>
      <c r="D215" s="6" t="s">
        <v>79</v>
      </c>
    </row>
    <row r="216" spans="1:4" ht="14.25" customHeight="1">
      <c r="A216" s="6">
        <v>102</v>
      </c>
      <c r="B216" s="6">
        <f t="shared" si="10"/>
        <v>50</v>
      </c>
      <c r="C216" s="6">
        <v>70064</v>
      </c>
      <c r="D216" s="6" t="s">
        <v>77</v>
      </c>
    </row>
    <row r="217" spans="1:4" ht="14.25" customHeight="1">
      <c r="A217" s="6">
        <v>102</v>
      </c>
      <c r="B217" s="6">
        <f t="shared" si="10"/>
        <v>50</v>
      </c>
      <c r="C217" s="6">
        <v>70065</v>
      </c>
      <c r="D217" s="6" t="s">
        <v>77</v>
      </c>
    </row>
    <row r="218" spans="1:4" ht="14.25" customHeight="1">
      <c r="A218" s="6">
        <v>102</v>
      </c>
      <c r="B218" s="6">
        <f t="shared" si="10"/>
        <v>50</v>
      </c>
      <c r="C218" s="6">
        <v>70066</v>
      </c>
      <c r="D218" s="6" t="s">
        <v>77</v>
      </c>
    </row>
    <row r="219" spans="1:4" ht="14.25" customHeight="1">
      <c r="A219" s="6">
        <v>102</v>
      </c>
      <c r="B219" s="6">
        <f t="shared" si="10"/>
        <v>50</v>
      </c>
      <c r="C219" s="6">
        <v>70067</v>
      </c>
      <c r="D219" s="6" t="s">
        <v>77</v>
      </c>
    </row>
    <row r="220" spans="1:4" ht="14.25" customHeight="1">
      <c r="A220" s="6">
        <v>102</v>
      </c>
      <c r="B220" s="6">
        <f t="shared" si="10"/>
        <v>10</v>
      </c>
      <c r="C220" s="6">
        <v>70068</v>
      </c>
      <c r="D220" s="6" t="s">
        <v>75</v>
      </c>
    </row>
    <row r="221" spans="1:4" ht="14.25" customHeight="1">
      <c r="A221" s="6">
        <v>102</v>
      </c>
      <c r="B221" s="6">
        <f t="shared" si="10"/>
        <v>10</v>
      </c>
      <c r="C221" s="6">
        <v>70069</v>
      </c>
      <c r="D221" s="6" t="s">
        <v>75</v>
      </c>
    </row>
    <row r="222" spans="1:4" ht="14.25" customHeight="1">
      <c r="A222" s="6">
        <v>102</v>
      </c>
      <c r="B222" s="6">
        <f t="shared" si="10"/>
        <v>10</v>
      </c>
      <c r="C222" s="6">
        <v>70070</v>
      </c>
      <c r="D222" s="6" t="s">
        <v>75</v>
      </c>
    </row>
    <row r="223" spans="1:4" ht="14.25" customHeight="1">
      <c r="A223" s="6">
        <v>102</v>
      </c>
      <c r="B223" s="6">
        <v>360</v>
      </c>
      <c r="C223" s="6">
        <v>70071</v>
      </c>
      <c r="D223" s="6" t="s">
        <v>79</v>
      </c>
    </row>
    <row r="224" spans="1:4" ht="14.25" customHeight="1">
      <c r="A224" s="6">
        <v>102</v>
      </c>
      <c r="B224" s="6">
        <f t="shared" ref="B224:B232" si="11">IF(D224="R",300,IF(D224="SR",50,IF(D224="SSR",10)))</f>
        <v>300</v>
      </c>
      <c r="C224" s="6">
        <v>70072</v>
      </c>
      <c r="D224" s="6" t="s">
        <v>79</v>
      </c>
    </row>
    <row r="225" spans="1:4" ht="14.25" customHeight="1">
      <c r="A225" s="6">
        <v>102</v>
      </c>
      <c r="B225" s="6">
        <f t="shared" si="11"/>
        <v>300</v>
      </c>
      <c r="C225" s="6">
        <v>70073</v>
      </c>
      <c r="D225" s="6" t="s">
        <v>79</v>
      </c>
    </row>
    <row r="226" spans="1:4" ht="14.25" customHeight="1">
      <c r="A226" s="6">
        <v>102</v>
      </c>
      <c r="B226" s="6">
        <f t="shared" si="11"/>
        <v>50</v>
      </c>
      <c r="C226" s="6">
        <v>70074</v>
      </c>
      <c r="D226" s="6" t="s">
        <v>77</v>
      </c>
    </row>
    <row r="227" spans="1:4" ht="14.25" customHeight="1">
      <c r="A227" s="6">
        <v>102</v>
      </c>
      <c r="B227" s="6">
        <f t="shared" si="11"/>
        <v>50</v>
      </c>
      <c r="C227" s="6">
        <v>70075</v>
      </c>
      <c r="D227" s="6" t="s">
        <v>77</v>
      </c>
    </row>
    <row r="228" spans="1:4" ht="14.25" customHeight="1">
      <c r="A228" s="6">
        <v>102</v>
      </c>
      <c r="B228" s="6">
        <f t="shared" si="11"/>
        <v>50</v>
      </c>
      <c r="C228" s="6">
        <v>70076</v>
      </c>
      <c r="D228" s="6" t="s">
        <v>77</v>
      </c>
    </row>
    <row r="229" spans="1:4" ht="14.25" customHeight="1">
      <c r="A229" s="6">
        <v>102</v>
      </c>
      <c r="B229" s="6">
        <f t="shared" si="11"/>
        <v>50</v>
      </c>
      <c r="C229" s="6">
        <v>70077</v>
      </c>
      <c r="D229" s="6" t="s">
        <v>77</v>
      </c>
    </row>
    <row r="230" spans="1:4" ht="14.25" customHeight="1">
      <c r="A230" s="6">
        <v>102</v>
      </c>
      <c r="B230" s="6">
        <f t="shared" si="11"/>
        <v>10</v>
      </c>
      <c r="C230" s="6">
        <v>70078</v>
      </c>
      <c r="D230" s="6" t="s">
        <v>75</v>
      </c>
    </row>
    <row r="231" spans="1:4" ht="14.25" customHeight="1">
      <c r="A231" s="6">
        <v>102</v>
      </c>
      <c r="B231" s="6">
        <f t="shared" si="11"/>
        <v>10</v>
      </c>
      <c r="C231" s="6">
        <v>70079</v>
      </c>
      <c r="D231" s="6" t="s">
        <v>75</v>
      </c>
    </row>
    <row r="232" spans="1:4" ht="14.25" customHeight="1">
      <c r="A232" s="6">
        <v>102</v>
      </c>
      <c r="B232" s="6">
        <f t="shared" si="11"/>
        <v>10</v>
      </c>
      <c r="C232" s="6">
        <v>70080</v>
      </c>
      <c r="D232" s="6" t="s">
        <v>75</v>
      </c>
    </row>
  </sheetData>
  <phoneticPr fontId="29" type="noConversion"/>
  <dataValidations count="2">
    <dataValidation type="list" allowBlank="1" showErrorMessage="1" sqref="D3:D33" xr:uid="{00000000-0002-0000-1C00-000000000000}">
      <formula1>"SSR,SR,R"</formula1>
      <formula2>0</formula2>
    </dataValidation>
    <dataValidation type="list" allowBlank="1" showErrorMessage="1" sqref="D36:D149 D153:D232" xr:uid="{00000000-0002-0000-1C00-000001000000}">
      <formula1>"R,SR,SSR"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2:H5"/>
  <sheetViews>
    <sheetView zoomScaleNormal="100" workbookViewId="0">
      <selection activeCell="J10" sqref="J10"/>
    </sheetView>
  </sheetViews>
  <sheetFormatPr defaultColWidth="12.5703125" defaultRowHeight="12.75"/>
  <sheetData>
    <row r="2" spans="1:8" ht="14.25" customHeight="1">
      <c r="A2" s="40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</row>
    <row r="3" spans="1:8" ht="14.25" customHeight="1">
      <c r="A3" s="6">
        <v>100</v>
      </c>
      <c r="B3" s="8" t="s">
        <v>8</v>
      </c>
      <c r="C3" s="6">
        <v>1001</v>
      </c>
      <c r="D3" s="6">
        <v>300</v>
      </c>
      <c r="E3" s="6">
        <v>1001</v>
      </c>
      <c r="F3" s="6">
        <v>3000</v>
      </c>
      <c r="G3" s="81">
        <v>46245.999305555553</v>
      </c>
      <c r="H3" s="81">
        <v>46610.999305555553</v>
      </c>
    </row>
    <row r="4" spans="1:8" ht="14.25" customHeight="1">
      <c r="A4" s="6">
        <v>101</v>
      </c>
      <c r="B4" s="8" t="s">
        <v>9</v>
      </c>
      <c r="C4" s="6">
        <v>1001</v>
      </c>
      <c r="D4" s="6">
        <v>300</v>
      </c>
      <c r="E4" s="6">
        <v>1001</v>
      </c>
      <c r="F4" s="6">
        <v>3000</v>
      </c>
      <c r="G4" s="81"/>
      <c r="H4" s="81"/>
    </row>
    <row r="5" spans="1:8" ht="14.25" customHeight="1">
      <c r="A5" s="6">
        <v>102</v>
      </c>
      <c r="B5" s="8" t="s">
        <v>10</v>
      </c>
      <c r="C5" s="6">
        <v>1001</v>
      </c>
      <c r="D5" s="6">
        <v>300</v>
      </c>
      <c r="E5" s="6">
        <v>1001</v>
      </c>
      <c r="F5" s="6">
        <v>3000</v>
      </c>
      <c r="G5" s="81"/>
      <c r="H5" s="81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#上陣</vt:lpstr>
      <vt:lpstr>#基本說明</vt:lpstr>
      <vt:lpstr>#職業</vt:lpstr>
      <vt:lpstr>#副本玩法</vt:lpstr>
      <vt:lpstr>#向性</vt:lpstr>
      <vt:lpstr>#lock</vt:lpstr>
      <vt:lpstr>character</vt:lpstr>
      <vt:lpstr>nature</vt:lpstr>
      <vt:lpstr>skill</vt:lpstr>
      <vt:lpstr>buff</vt:lpstr>
      <vt:lpstr>card</vt:lpstr>
      <vt:lpstr>maplist</vt:lpstr>
      <vt:lpstr>mapdata</vt:lpstr>
      <vt:lpstr>dungeonprefeb</vt:lpstr>
      <vt:lpstr>text</vt:lpstr>
      <vt:lpstr>dungeon</vt:lpstr>
      <vt:lpstr>equipment</vt:lpstr>
      <vt:lpstr>build</vt:lpstr>
      <vt:lpstr>start_gift</vt:lpstr>
      <vt:lpstr>item</vt:lpstr>
      <vt:lpstr>idlezone</vt:lpstr>
      <vt:lpstr>refine</vt:lpstr>
      <vt:lpstr>cost</vt:lpstr>
      <vt:lpstr>taglist</vt:lpstr>
      <vt:lpstr>talentlist</vt:lpstr>
      <vt:lpstr>talent</vt:lpstr>
      <vt:lpstr>levelcurve</vt:lpstr>
      <vt:lpstr>curve</vt:lpstr>
      <vt:lpstr>gacha</vt:lpstr>
      <vt:lpstr>gachalist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思诶 張</cp:lastModifiedBy>
  <cp:revision>0</cp:revision>
  <dcterms:created xsi:type="dcterms:W3CDTF">2026-09-08T12:53:19Z</dcterms:created>
  <dcterms:modified xsi:type="dcterms:W3CDTF">2026-09-09T17:01:07Z</dcterms:modified>
  <dc:language>en-US</dc:language>
</cp:coreProperties>
</file>